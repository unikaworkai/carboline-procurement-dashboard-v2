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_Tier_Full_List" sheetId="1" state="visible" r:id="rId3"/>
    <sheet name="Site_Summary" sheetId="2" state="visible" r:id="rId4"/>
    <sheet name="Master_Data" sheetId="3" state="visible" r:id="rId5"/>
    <sheet name="Out_Of_Scope_Explained" sheetId="4" state="visible" r:id="rId6"/>
    <sheet name="ABC_by_Site" sheetId="5" state="visible" r:id="rId7"/>
    <sheet name="Action_Item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<sst xmlns="http://schemas.openxmlformats.org/spreadsheetml/2006/main" count="32931" uniqueCount="4334">
  <si>
    <t xml:space="preserve">D-TIER: 1,760 items | 1,457 Never Consumed | 244 Slow Movers | 13 Have ROP in LN</t>
  </si>
  <si>
    <t xml:space="preserve">item_code</t>
  </si>
  <si>
    <t xml:space="preserve">item_description</t>
  </si>
  <si>
    <t xml:space="preserve">item_group</t>
  </si>
  <si>
    <t xml:space="preserve">item_group_label</t>
  </si>
  <si>
    <t xml:space="preserve">planning_signal</t>
  </si>
  <si>
    <t xml:space="preserve">standard_cost_usd</t>
  </si>
  <si>
    <t xml:space="preserve">total_lbs_all_years</t>
  </si>
  <si>
    <t xml:space="preserve">lbs_2021_2023</t>
  </si>
  <si>
    <t xml:space="preserve">lbs_2024_2025</t>
  </si>
  <si>
    <t xml:space="preserve">last_year_consumed</t>
  </si>
  <si>
    <t xml:space="preserve">has_rop_in_ln</t>
  </si>
  <si>
    <t xml:space="preserve">d_tier_reason</t>
  </si>
  <si>
    <t xml:space="preserve">0263CLER</t>
  </si>
  <si>
    <t xml:space="preserve">No description on file</t>
  </si>
  <si>
    <t xml:space="preserve">8003</t>
  </si>
  <si>
    <t xml:space="preserve">Raw Materials (8003)</t>
  </si>
  <si>
    <t xml:space="preserve">RMI</t>
  </si>
  <si>
    <t xml:space="preserve">Never</t>
  </si>
  <si>
    <t xml:space="preserve">NO — no ROP set in LN</t>
  </si>
  <si>
    <t xml:space="preserve">NEVER CONSUMED — set up in LN but never used. Strong candidate for deactivation.</t>
  </si>
  <si>
    <t xml:space="preserve">0263CLER_TEST</t>
  </si>
  <si>
    <t xml:space="preserve">OBS</t>
  </si>
  <si>
    <t xml:space="preserve">0263DEEP</t>
  </si>
  <si>
    <t xml:space="preserve">0263WITE</t>
  </si>
  <si>
    <t xml:space="preserve">081DR716A</t>
  </si>
  <si>
    <t xml:space="preserve">084D0725A</t>
  </si>
  <si>
    <t xml:space="preserve">RMD</t>
  </si>
  <si>
    <t xml:space="preserve">084D0766A</t>
  </si>
  <si>
    <t xml:space="preserve">084D0900A</t>
  </si>
  <si>
    <t xml:space="preserve">084DF748A</t>
  </si>
  <si>
    <t xml:space="preserve">085D02000</t>
  </si>
  <si>
    <t xml:space="preserve">086D00000</t>
  </si>
  <si>
    <t xml:space="preserve">089D02000</t>
  </si>
  <si>
    <t xml:space="preserve">090D6562A</t>
  </si>
  <si>
    <t xml:space="preserve">090DR715A</t>
  </si>
  <si>
    <t xml:space="preserve">090DR716A</t>
  </si>
  <si>
    <t xml:space="preserve">091D0000A</t>
  </si>
  <si>
    <t xml:space="preserve">091D0910B</t>
  </si>
  <si>
    <t xml:space="preserve">092D0900A</t>
  </si>
  <si>
    <t xml:space="preserve">092D0910B</t>
  </si>
  <si>
    <t xml:space="preserve">092DF748A</t>
  </si>
  <si>
    <t xml:space="preserve">092DR716A</t>
  </si>
  <si>
    <t xml:space="preserve">093D00000</t>
  </si>
  <si>
    <t xml:space="preserve">NOT SET</t>
  </si>
  <si>
    <t xml:space="preserve">096D0800A</t>
  </si>
  <si>
    <t xml:space="preserve">097D00000</t>
  </si>
  <si>
    <t xml:space="preserve">099D0766A</t>
  </si>
  <si>
    <t xml:space="preserve">100D0200A</t>
  </si>
  <si>
    <t xml:space="preserve">100D0900A</t>
  </si>
  <si>
    <t xml:space="preserve">100D0909B</t>
  </si>
  <si>
    <t xml:space="preserve">100D2158A</t>
  </si>
  <si>
    <t xml:space="preserve">100D4217A</t>
  </si>
  <si>
    <t xml:space="preserve">100D6365A</t>
  </si>
  <si>
    <t xml:space="preserve">100D6562A</t>
  </si>
  <si>
    <t xml:space="preserve">100DA668A</t>
  </si>
  <si>
    <t xml:space="preserve">100DF748A</t>
  </si>
  <si>
    <t xml:space="preserve">100DG289A</t>
  </si>
  <si>
    <t xml:space="preserve">100DR715A</t>
  </si>
  <si>
    <t xml:space="preserve">100DR716A</t>
  </si>
  <si>
    <t xml:space="preserve">100DS201A</t>
  </si>
  <si>
    <t xml:space="preserve">100DV173A</t>
  </si>
  <si>
    <t xml:space="preserve">100DV218A</t>
  </si>
  <si>
    <t xml:space="preserve">102D0000A</t>
  </si>
  <si>
    <t xml:space="preserve">102D0725A</t>
  </si>
  <si>
    <t xml:space="preserve">102D0800A</t>
  </si>
  <si>
    <t xml:space="preserve">103D0794A</t>
  </si>
  <si>
    <t xml:space="preserve">103D0900A</t>
  </si>
  <si>
    <t xml:space="preserve">103D1237A</t>
  </si>
  <si>
    <t xml:space="preserve">103D2158A</t>
  </si>
  <si>
    <t xml:space="preserve">103D2160A</t>
  </si>
  <si>
    <t xml:space="preserve">103D6562A</t>
  </si>
  <si>
    <t xml:space="preserve">103DA668A</t>
  </si>
  <si>
    <t xml:space="preserve">103DF748A</t>
  </si>
  <si>
    <t xml:space="preserve">103DG289A</t>
  </si>
  <si>
    <t xml:space="preserve">103DR715A</t>
  </si>
  <si>
    <t xml:space="preserve">103DR716A</t>
  </si>
  <si>
    <t xml:space="preserve">104D6562A</t>
  </si>
  <si>
    <t xml:space="preserve">104DF748A</t>
  </si>
  <si>
    <t xml:space="preserve">104DR716A</t>
  </si>
  <si>
    <t xml:space="preserve">105D0000A</t>
  </si>
  <si>
    <t xml:space="preserve">105D0800A</t>
  </si>
  <si>
    <t xml:space="preserve">105D0900A</t>
  </si>
  <si>
    <t xml:space="preserve">105D6365A</t>
  </si>
  <si>
    <t xml:space="preserve">105D6562A</t>
  </si>
  <si>
    <t xml:space="preserve">105DA668A</t>
  </si>
  <si>
    <t xml:space="preserve">105DF748A</t>
  </si>
  <si>
    <t xml:space="preserve">105DR218A</t>
  </si>
  <si>
    <t xml:space="preserve">105DR715A</t>
  </si>
  <si>
    <t xml:space="preserve">105DR716A</t>
  </si>
  <si>
    <t xml:space="preserve">106D0700A</t>
  </si>
  <si>
    <t xml:space="preserve">106D0900A</t>
  </si>
  <si>
    <t xml:space="preserve">107D0521A</t>
  </si>
  <si>
    <t xml:space="preserve">107D1237A</t>
  </si>
  <si>
    <t xml:space="preserve">107DF748A</t>
  </si>
  <si>
    <t xml:space="preserve">107DG289A</t>
  </si>
  <si>
    <t xml:space="preserve">107DR715A</t>
  </si>
  <si>
    <t xml:space="preserve">109D0700A</t>
  </si>
  <si>
    <t xml:space="preserve">111DR716A</t>
  </si>
  <si>
    <t xml:space="preserve">112DR716A</t>
  </si>
  <si>
    <t xml:space="preserve">115D0904C</t>
  </si>
  <si>
    <t xml:space="preserve">116D0725A</t>
  </si>
  <si>
    <t xml:space="preserve">116D0800A</t>
  </si>
  <si>
    <t xml:space="preserve">116D0900A</t>
  </si>
  <si>
    <t xml:space="preserve">116D2867A</t>
  </si>
  <si>
    <t xml:space="preserve">116D4217A</t>
  </si>
  <si>
    <t xml:space="preserve">116D6365A</t>
  </si>
  <si>
    <t xml:space="preserve">116D6562A</t>
  </si>
  <si>
    <t xml:space="preserve">116D8601A</t>
  </si>
  <si>
    <t xml:space="preserve">116D9793A</t>
  </si>
  <si>
    <t xml:space="preserve">116DA668A</t>
  </si>
  <si>
    <t xml:space="preserve">116DC298A</t>
  </si>
  <si>
    <t xml:space="preserve">116DF748A</t>
  </si>
  <si>
    <t xml:space="preserve">116DH751A</t>
  </si>
  <si>
    <t xml:space="preserve">116DK715A</t>
  </si>
  <si>
    <t xml:space="preserve">116DQ707A</t>
  </si>
  <si>
    <t xml:space="preserve">116DT377A</t>
  </si>
  <si>
    <t xml:space="preserve">116DV173A</t>
  </si>
  <si>
    <t xml:space="preserve">116DV218A</t>
  </si>
  <si>
    <t xml:space="preserve">117D0800A</t>
  </si>
  <si>
    <t xml:space="preserve">117D0900B</t>
  </si>
  <si>
    <t xml:space="preserve">117DINTRA</t>
  </si>
  <si>
    <t xml:space="preserve">117DINTRB</t>
  </si>
  <si>
    <t xml:space="preserve">121D4217A</t>
  </si>
  <si>
    <t xml:space="preserve">121DF792A</t>
  </si>
  <si>
    <t xml:space="preserve">123D0766A</t>
  </si>
  <si>
    <t xml:space="preserve">123D0800A</t>
  </si>
  <si>
    <t xml:space="preserve">123D2158A</t>
  </si>
  <si>
    <t xml:space="preserve">123D4217A</t>
  </si>
  <si>
    <t xml:space="preserve">123D6562A</t>
  </si>
  <si>
    <t xml:space="preserve">123DC383A</t>
  </si>
  <si>
    <t xml:space="preserve">123DF748A</t>
  </si>
  <si>
    <t xml:space="preserve">123DF878A</t>
  </si>
  <si>
    <t xml:space="preserve">123DG289A</t>
  </si>
  <si>
    <t xml:space="preserve">123DS201A</t>
  </si>
  <si>
    <t xml:space="preserve">123DV173A</t>
  </si>
  <si>
    <t xml:space="preserve">123DV218A</t>
  </si>
  <si>
    <t xml:space="preserve">126D0904C</t>
  </si>
  <si>
    <t xml:space="preserve">128D0908B</t>
  </si>
  <si>
    <t xml:space="preserve">128DR716A</t>
  </si>
  <si>
    <t xml:space="preserve">129D0800A</t>
  </si>
  <si>
    <t xml:space="preserve">129D6562A</t>
  </si>
  <si>
    <t xml:space="preserve">129DF748A</t>
  </si>
  <si>
    <t xml:space="preserve">129DR716A</t>
  </si>
  <si>
    <t xml:space="preserve">129DV179A</t>
  </si>
  <si>
    <t xml:space="preserve">131D0800A</t>
  </si>
  <si>
    <t xml:space="preserve">131DR715A</t>
  </si>
  <si>
    <t xml:space="preserve">131DR716A</t>
  </si>
  <si>
    <t xml:space="preserve">134D0725A</t>
  </si>
  <si>
    <t xml:space="preserve">134DA668A</t>
  </si>
  <si>
    <t xml:space="preserve">134DR716A</t>
  </si>
  <si>
    <t xml:space="preserve">136D0800A</t>
  </si>
  <si>
    <t xml:space="preserve">136D0900A</t>
  </si>
  <si>
    <t xml:space="preserve">136D6562A</t>
  </si>
  <si>
    <t xml:space="preserve">136DR716A</t>
  </si>
  <si>
    <t xml:space="preserve">144D0800A</t>
  </si>
  <si>
    <t xml:space="preserve">145D0700A</t>
  </si>
  <si>
    <t xml:space="preserve">145D0800A</t>
  </si>
  <si>
    <t xml:space="preserve">146D0766A</t>
  </si>
  <si>
    <t xml:space="preserve">146D0800A</t>
  </si>
  <si>
    <t xml:space="preserve">146D4867A</t>
  </si>
  <si>
    <t xml:space="preserve">146DA888A</t>
  </si>
  <si>
    <t xml:space="preserve">146DWITEA</t>
  </si>
  <si>
    <t xml:space="preserve">147D0800A</t>
  </si>
  <si>
    <t xml:space="preserve">147D4217A</t>
  </si>
  <si>
    <t xml:space="preserve">148D09040</t>
  </si>
  <si>
    <t xml:space="preserve">15500910</t>
  </si>
  <si>
    <t xml:space="preserve">164D0000A</t>
  </si>
  <si>
    <t xml:space="preserve">165D0000A</t>
  </si>
  <si>
    <t xml:space="preserve">166D0500A</t>
  </si>
  <si>
    <t xml:space="preserve">166D0725A</t>
  </si>
  <si>
    <t xml:space="preserve">166D0766A</t>
  </si>
  <si>
    <t xml:space="preserve">166D0800A</t>
  </si>
  <si>
    <t xml:space="preserve">166DF748A</t>
  </si>
  <si>
    <t xml:space="preserve">166DV173A</t>
  </si>
  <si>
    <t xml:space="preserve">167D0725A</t>
  </si>
  <si>
    <t xml:space="preserve">167D0766A</t>
  </si>
  <si>
    <t xml:space="preserve">167DA843A</t>
  </si>
  <si>
    <t xml:space="preserve">167DF748A</t>
  </si>
  <si>
    <t xml:space="preserve">167DV218A</t>
  </si>
  <si>
    <t xml:space="preserve">168D0904C</t>
  </si>
  <si>
    <t xml:space="preserve">176D0904C</t>
  </si>
  <si>
    <t xml:space="preserve">180D0725A</t>
  </si>
  <si>
    <t xml:space="preserve">180D0908B</t>
  </si>
  <si>
    <t xml:space="preserve">183D0700A</t>
  </si>
  <si>
    <t xml:space="preserve">185D1435A</t>
  </si>
  <si>
    <t xml:space="preserve">190D0000A</t>
  </si>
  <si>
    <t xml:space="preserve">190D0766A</t>
  </si>
  <si>
    <t xml:space="preserve">190DG289A</t>
  </si>
  <si>
    <t xml:space="preserve">194D0725A</t>
  </si>
  <si>
    <t xml:space="preserve">194D0766A</t>
  </si>
  <si>
    <t xml:space="preserve">194D0908B</t>
  </si>
  <si>
    <t xml:space="preserve">194DF748A</t>
  </si>
  <si>
    <t xml:space="preserve">197D0904C</t>
  </si>
  <si>
    <t xml:space="preserve">206D4864A</t>
  </si>
  <si>
    <t xml:space="preserve">206DF899A</t>
  </si>
  <si>
    <t xml:space="preserve">207D0000A</t>
  </si>
  <si>
    <t xml:space="preserve">207D0904C</t>
  </si>
  <si>
    <t xml:space="preserve">207D21580</t>
  </si>
  <si>
    <t xml:space="preserve">208D0000A</t>
  </si>
  <si>
    <t xml:space="preserve">209D0000A</t>
  </si>
  <si>
    <t xml:space="preserve">209D0900B</t>
  </si>
  <si>
    <t xml:space="preserve">210D0700A</t>
  </si>
  <si>
    <t xml:space="preserve">211D0000A</t>
  </si>
  <si>
    <t xml:space="preserve">211D6562A</t>
  </si>
  <si>
    <t xml:space="preserve">213D00000</t>
  </si>
  <si>
    <t xml:space="preserve">216D0500A</t>
  </si>
  <si>
    <t xml:space="preserve">216D0908B</t>
  </si>
  <si>
    <t xml:space="preserve">216DR715A</t>
  </si>
  <si>
    <t xml:space="preserve">216DR716A</t>
  </si>
  <si>
    <t xml:space="preserve">217D0800A</t>
  </si>
  <si>
    <t xml:space="preserve">217D0908B</t>
  </si>
  <si>
    <t xml:space="preserve">217D6562A</t>
  </si>
  <si>
    <t xml:space="preserve">217DR715A</t>
  </si>
  <si>
    <t xml:space="preserve">217DR716A</t>
  </si>
  <si>
    <t xml:space="preserve">224D0700A</t>
  </si>
  <si>
    <t xml:space="preserve">228D6562A</t>
  </si>
  <si>
    <t xml:space="preserve">228DR715A</t>
  </si>
  <si>
    <t xml:space="preserve">228DR716A</t>
  </si>
  <si>
    <t xml:space="preserve">229D0000A</t>
  </si>
  <si>
    <t xml:space="preserve">230D0800B</t>
  </si>
  <si>
    <t xml:space="preserve">230D0900A</t>
  </si>
  <si>
    <t xml:space="preserve">232D0766A</t>
  </si>
  <si>
    <t xml:space="preserve">232D0800A</t>
  </si>
  <si>
    <t xml:space="preserve">232D1432A</t>
  </si>
  <si>
    <t xml:space="preserve">232DF748A</t>
  </si>
  <si>
    <t xml:space="preserve">232DH751A</t>
  </si>
  <si>
    <t xml:space="preserve">232DQ702A</t>
  </si>
  <si>
    <t xml:space="preserve">233D0000A</t>
  </si>
  <si>
    <t xml:space="preserve">234D0000A</t>
  </si>
  <si>
    <t xml:space="preserve">235D0766A</t>
  </si>
  <si>
    <t xml:space="preserve">235D0900A</t>
  </si>
  <si>
    <t xml:space="preserve">237D0766A</t>
  </si>
  <si>
    <t xml:space="preserve">237D0800A</t>
  </si>
  <si>
    <t xml:space="preserve">237D0900A</t>
  </si>
  <si>
    <t xml:space="preserve">237D2158A</t>
  </si>
  <si>
    <t xml:space="preserve">237D6562A</t>
  </si>
  <si>
    <t xml:space="preserve">244D0800B</t>
  </si>
  <si>
    <t xml:space="preserve">245D0725A</t>
  </si>
  <si>
    <t xml:space="preserve">245D0766A</t>
  </si>
  <si>
    <t xml:space="preserve">245D0900A</t>
  </si>
  <si>
    <t xml:space="preserve">246D0766A</t>
  </si>
  <si>
    <t xml:space="preserve">246D0800A</t>
  </si>
  <si>
    <t xml:space="preserve">250D0900A</t>
  </si>
  <si>
    <t xml:space="preserve">250D0910B</t>
  </si>
  <si>
    <t xml:space="preserve">255D0100A</t>
  </si>
  <si>
    <t xml:space="preserve">255D0700A</t>
  </si>
  <si>
    <t xml:space="preserve">255D0908B</t>
  </si>
  <si>
    <t xml:space="preserve">256D00000</t>
  </si>
  <si>
    <t xml:space="preserve">259D0900A</t>
  </si>
  <si>
    <t xml:space="preserve">264D0800A</t>
  </si>
  <si>
    <t xml:space="preserve">266D0000A</t>
  </si>
  <si>
    <t xml:space="preserve">267D0200A</t>
  </si>
  <si>
    <t xml:space="preserve">267D0725A</t>
  </si>
  <si>
    <t xml:space="preserve">267D0766A</t>
  </si>
  <si>
    <t xml:space="preserve">267D0800A</t>
  </si>
  <si>
    <t xml:space="preserve">267DC703A</t>
  </si>
  <si>
    <t xml:space="preserve">267DF748A</t>
  </si>
  <si>
    <t xml:space="preserve">267DG289A</t>
  </si>
  <si>
    <t xml:space="preserve">268D0000A</t>
  </si>
  <si>
    <t xml:space="preserve">269D0700A</t>
  </si>
  <si>
    <t xml:space="preserve">269D0725A</t>
  </si>
  <si>
    <t xml:space="preserve">269D0766A</t>
  </si>
  <si>
    <t xml:space="preserve">269D0800A</t>
  </si>
  <si>
    <t xml:space="preserve">269D5803A</t>
  </si>
  <si>
    <t xml:space="preserve">269DV173A</t>
  </si>
  <si>
    <t xml:space="preserve">270D0766A</t>
  </si>
  <si>
    <t xml:space="preserve">284D0700A</t>
  </si>
  <si>
    <t xml:space="preserve">284D0900A</t>
  </si>
  <si>
    <t xml:space="preserve">286D0500C</t>
  </si>
  <si>
    <t xml:space="preserve">286D0700C</t>
  </si>
  <si>
    <t xml:space="preserve">288D0900B</t>
  </si>
  <si>
    <t xml:space="preserve">288D6562A</t>
  </si>
  <si>
    <t xml:space="preserve">289D0766A</t>
  </si>
  <si>
    <t xml:space="preserve">289D6562A</t>
  </si>
  <si>
    <t xml:space="preserve">295D0000A</t>
  </si>
  <si>
    <t xml:space="preserve">296D0000A</t>
  </si>
  <si>
    <t xml:space="preserve">299D0500B</t>
  </si>
  <si>
    <t xml:space="preserve">327DINTW0</t>
  </si>
  <si>
    <t xml:space="preserve">408D00000</t>
  </si>
  <si>
    <t xml:space="preserve">43694</t>
  </si>
  <si>
    <t xml:space="preserve">4451Q0340</t>
  </si>
  <si>
    <t xml:space="preserve">88570200</t>
  </si>
  <si>
    <t xml:space="preserve">88570800</t>
  </si>
  <si>
    <t xml:space="preserve">AP15</t>
  </si>
  <si>
    <t xml:space="preserve">AP47</t>
  </si>
  <si>
    <t xml:space="preserve">RMN</t>
  </si>
  <si>
    <t xml:space="preserve">AP50</t>
  </si>
  <si>
    <t xml:space="preserve">AP54</t>
  </si>
  <si>
    <t xml:space="preserve">B1000</t>
  </si>
  <si>
    <t xml:space="preserve">B1002</t>
  </si>
  <si>
    <t xml:space="preserve">B1003</t>
  </si>
  <si>
    <t xml:space="preserve">B1007</t>
  </si>
  <si>
    <t xml:space="preserve">B1009</t>
  </si>
  <si>
    <t xml:space="preserve">B1010</t>
  </si>
  <si>
    <t xml:space="preserve">B1012</t>
  </si>
  <si>
    <t xml:space="preserve">B1013</t>
  </si>
  <si>
    <t xml:space="preserve">B1014</t>
  </si>
  <si>
    <t xml:space="preserve">B25</t>
  </si>
  <si>
    <t xml:space="preserve">B40</t>
  </si>
  <si>
    <t xml:space="preserve">B51</t>
  </si>
  <si>
    <t xml:space="preserve">B68</t>
  </si>
  <si>
    <t xml:space="preserve">B69</t>
  </si>
  <si>
    <t xml:space="preserve">B71</t>
  </si>
  <si>
    <t xml:space="preserve">B74</t>
  </si>
  <si>
    <t xml:space="preserve">B75</t>
  </si>
  <si>
    <t xml:space="preserve">B78</t>
  </si>
  <si>
    <t xml:space="preserve">B79</t>
  </si>
  <si>
    <t xml:space="preserve">B80</t>
  </si>
  <si>
    <t xml:space="preserve">B81</t>
  </si>
  <si>
    <t xml:space="preserve">B85</t>
  </si>
  <si>
    <t xml:space="preserve">B89</t>
  </si>
  <si>
    <t xml:space="preserve">BR11</t>
  </si>
  <si>
    <t xml:space="preserve">C450R800</t>
  </si>
  <si>
    <t xml:space="preserve">CM1007R</t>
  </si>
  <si>
    <t xml:space="preserve">CM1008</t>
  </si>
  <si>
    <t xml:space="preserve">CM1010</t>
  </si>
  <si>
    <t xml:space="preserve">CM1011</t>
  </si>
  <si>
    <t xml:space="preserve">CM1019</t>
  </si>
  <si>
    <t xml:space="preserve">CM1021</t>
  </si>
  <si>
    <t xml:space="preserve">CM1022</t>
  </si>
  <si>
    <t xml:space="preserve">CM1037</t>
  </si>
  <si>
    <t xml:space="preserve">CM1042</t>
  </si>
  <si>
    <t xml:space="preserve">CM1043</t>
  </si>
  <si>
    <t xml:space="preserve">CM1050</t>
  </si>
  <si>
    <t xml:space="preserve">CM1051</t>
  </si>
  <si>
    <t xml:space="preserve">CM1055</t>
  </si>
  <si>
    <t xml:space="preserve">CM1056</t>
  </si>
  <si>
    <t xml:space="preserve">CM1058</t>
  </si>
  <si>
    <t xml:space="preserve">CM1060</t>
  </si>
  <si>
    <t xml:space="preserve">CM1069</t>
  </si>
  <si>
    <t xml:space="preserve">CM1078</t>
  </si>
  <si>
    <t xml:space="preserve">CM1081</t>
  </si>
  <si>
    <t xml:space="preserve">CM1093</t>
  </si>
  <si>
    <t xml:space="preserve">CM110</t>
  </si>
  <si>
    <t xml:space="preserve">CM1102</t>
  </si>
  <si>
    <t xml:space="preserve">CM1103</t>
  </si>
  <si>
    <t xml:space="preserve">CM1105</t>
  </si>
  <si>
    <t xml:space="preserve">CM1106</t>
  </si>
  <si>
    <t xml:space="preserve">CM1108</t>
  </si>
  <si>
    <t xml:space="preserve">CM1118</t>
  </si>
  <si>
    <t xml:space="preserve">CM1119</t>
  </si>
  <si>
    <t xml:space="preserve">CM1120</t>
  </si>
  <si>
    <t xml:space="preserve">CM1129</t>
  </si>
  <si>
    <t xml:space="preserve">CM113</t>
  </si>
  <si>
    <t xml:space="preserve">CM1135</t>
  </si>
  <si>
    <t xml:space="preserve">CM1144</t>
  </si>
  <si>
    <t xml:space="preserve">CM1145</t>
  </si>
  <si>
    <t xml:space="preserve">CM1146</t>
  </si>
  <si>
    <t xml:space="preserve">CM1147</t>
  </si>
  <si>
    <t xml:space="preserve">CM1152</t>
  </si>
  <si>
    <t xml:space="preserve">CM1154</t>
  </si>
  <si>
    <t xml:space="preserve">CM1155</t>
  </si>
  <si>
    <t xml:space="preserve">CM1156</t>
  </si>
  <si>
    <t xml:space="preserve">CM1161</t>
  </si>
  <si>
    <t xml:space="preserve">CM1162</t>
  </si>
  <si>
    <t xml:space="preserve">CM1169F</t>
  </si>
  <si>
    <t xml:space="preserve">CM1172</t>
  </si>
  <si>
    <t xml:space="preserve">CM1173</t>
  </si>
  <si>
    <t xml:space="preserve">CM1184</t>
  </si>
  <si>
    <t xml:space="preserve">CM1187</t>
  </si>
  <si>
    <t xml:space="preserve">CM1190</t>
  </si>
  <si>
    <t xml:space="preserve">CM1196</t>
  </si>
  <si>
    <t xml:space="preserve">CM1208</t>
  </si>
  <si>
    <t xml:space="preserve">CM1213</t>
  </si>
  <si>
    <t xml:space="preserve">CM1214</t>
  </si>
  <si>
    <t xml:space="preserve">CM1216</t>
  </si>
  <si>
    <t xml:space="preserve">CM1217</t>
  </si>
  <si>
    <t xml:space="preserve">CM1220</t>
  </si>
  <si>
    <t xml:space="preserve">CM1221</t>
  </si>
  <si>
    <t xml:space="preserve">CM1226F</t>
  </si>
  <si>
    <t xml:space="preserve">CM1228</t>
  </si>
  <si>
    <t xml:space="preserve">CM1230F</t>
  </si>
  <si>
    <t xml:space="preserve">CM1235</t>
  </si>
  <si>
    <t xml:space="preserve">CM1236</t>
  </si>
  <si>
    <t xml:space="preserve">CM1237</t>
  </si>
  <si>
    <t xml:space="preserve">CM1238</t>
  </si>
  <si>
    <t xml:space="preserve">CM1239</t>
  </si>
  <si>
    <t xml:space="preserve">CM1240</t>
  </si>
  <si>
    <t xml:space="preserve">CM1243</t>
  </si>
  <si>
    <t xml:space="preserve">CM1250</t>
  </si>
  <si>
    <t xml:space="preserve">CM1277</t>
  </si>
  <si>
    <t xml:space="preserve">CM1290</t>
  </si>
  <si>
    <t xml:space="preserve">CM138</t>
  </si>
  <si>
    <t xml:space="preserve">CM165</t>
  </si>
  <si>
    <t xml:space="preserve">CM208</t>
  </si>
  <si>
    <t xml:space="preserve">CM209</t>
  </si>
  <si>
    <t xml:space="preserve">CM215</t>
  </si>
  <si>
    <t xml:space="preserve">CM216</t>
  </si>
  <si>
    <t xml:space="preserve">CM218</t>
  </si>
  <si>
    <t xml:space="preserve">CM258</t>
  </si>
  <si>
    <t xml:space="preserve">CM259</t>
  </si>
  <si>
    <t xml:space="preserve">CM265</t>
  </si>
  <si>
    <t xml:space="preserve">CM274</t>
  </si>
  <si>
    <t xml:space="preserve">CM281F</t>
  </si>
  <si>
    <t xml:space="preserve">CM292</t>
  </si>
  <si>
    <t xml:space="preserve">CM293</t>
  </si>
  <si>
    <t xml:space="preserve">CM315</t>
  </si>
  <si>
    <t xml:space="preserve">CM333</t>
  </si>
  <si>
    <t xml:space="preserve">CM368</t>
  </si>
  <si>
    <t xml:space="preserve">CM379F</t>
  </si>
  <si>
    <t xml:space="preserve">CM387F</t>
  </si>
  <si>
    <t xml:space="preserve">CM398</t>
  </si>
  <si>
    <t xml:space="preserve">CM404</t>
  </si>
  <si>
    <t xml:space="preserve">CM405</t>
  </si>
  <si>
    <t xml:space="preserve">CM407</t>
  </si>
  <si>
    <t xml:space="preserve">CM411</t>
  </si>
  <si>
    <t xml:space="preserve">CM416</t>
  </si>
  <si>
    <t xml:space="preserve">CM417</t>
  </si>
  <si>
    <t xml:space="preserve">CM430</t>
  </si>
  <si>
    <t xml:space="preserve">CM434</t>
  </si>
  <si>
    <t xml:space="preserve">CM446</t>
  </si>
  <si>
    <t xml:space="preserve">CM451F</t>
  </si>
  <si>
    <t xml:space="preserve">CM457</t>
  </si>
  <si>
    <t xml:space="preserve">CM459</t>
  </si>
  <si>
    <t xml:space="preserve">CM464</t>
  </si>
  <si>
    <t xml:space="preserve">CM465</t>
  </si>
  <si>
    <t xml:space="preserve">CM467</t>
  </si>
  <si>
    <t xml:space="preserve">CM475</t>
  </si>
  <si>
    <t xml:space="preserve">CM483</t>
  </si>
  <si>
    <t xml:space="preserve">CM494</t>
  </si>
  <si>
    <t xml:space="preserve">CM495</t>
  </si>
  <si>
    <t xml:space="preserve">CM498</t>
  </si>
  <si>
    <t xml:space="preserve">CM504F</t>
  </si>
  <si>
    <t xml:space="preserve">CM507</t>
  </si>
  <si>
    <t xml:space="preserve">CM519</t>
  </si>
  <si>
    <t xml:space="preserve">CM520</t>
  </si>
  <si>
    <t xml:space="preserve">CM522</t>
  </si>
  <si>
    <t xml:space="preserve">CM523</t>
  </si>
  <si>
    <t xml:space="preserve">CM524</t>
  </si>
  <si>
    <t xml:space="preserve">CM526</t>
  </si>
  <si>
    <t xml:space="preserve">CM527</t>
  </si>
  <si>
    <t xml:space="preserve">CM528</t>
  </si>
  <si>
    <t xml:space="preserve">CM530</t>
  </si>
  <si>
    <t xml:space="preserve">CM531</t>
  </si>
  <si>
    <t xml:space="preserve">CM533</t>
  </si>
  <si>
    <t xml:space="preserve">CM534</t>
  </si>
  <si>
    <t xml:space="preserve">CM539</t>
  </si>
  <si>
    <t xml:space="preserve">CM541</t>
  </si>
  <si>
    <t xml:space="preserve">CM548</t>
  </si>
  <si>
    <t xml:space="preserve">CM549</t>
  </si>
  <si>
    <t xml:space="preserve">CM552</t>
  </si>
  <si>
    <t xml:space="preserve">CM566</t>
  </si>
  <si>
    <t xml:space="preserve">CM574</t>
  </si>
  <si>
    <t xml:space="preserve">CM581</t>
  </si>
  <si>
    <t xml:space="preserve">CM587</t>
  </si>
  <si>
    <t xml:space="preserve">CM589</t>
  </si>
  <si>
    <t xml:space="preserve">CM595</t>
  </si>
  <si>
    <t xml:space="preserve">CM602</t>
  </si>
  <si>
    <t xml:space="preserve">CM603</t>
  </si>
  <si>
    <t xml:space="preserve">CM604</t>
  </si>
  <si>
    <t xml:space="preserve">CM606</t>
  </si>
  <si>
    <t xml:space="preserve">CM607</t>
  </si>
  <si>
    <t xml:space="preserve">CM616</t>
  </si>
  <si>
    <t xml:space="preserve">CM617</t>
  </si>
  <si>
    <t xml:space="preserve">CM628</t>
  </si>
  <si>
    <t xml:space="preserve">CM629</t>
  </si>
  <si>
    <t xml:space="preserve">CM631</t>
  </si>
  <si>
    <t xml:space="preserve">CM646</t>
  </si>
  <si>
    <t xml:space="preserve">CM650</t>
  </si>
  <si>
    <t xml:space="preserve">CM653</t>
  </si>
  <si>
    <t xml:space="preserve">CM668</t>
  </si>
  <si>
    <t xml:space="preserve">CM673</t>
  </si>
  <si>
    <t xml:space="preserve">CM674</t>
  </si>
  <si>
    <t xml:space="preserve">CM676</t>
  </si>
  <si>
    <t xml:space="preserve">CM690</t>
  </si>
  <si>
    <t xml:space="preserve">CM691</t>
  </si>
  <si>
    <t xml:space="preserve">CM692</t>
  </si>
  <si>
    <t xml:space="preserve">CM696F</t>
  </si>
  <si>
    <t xml:space="preserve">CM698</t>
  </si>
  <si>
    <t xml:space="preserve">CM720</t>
  </si>
  <si>
    <t xml:space="preserve">CM725</t>
  </si>
  <si>
    <t xml:space="preserve">CM726</t>
  </si>
  <si>
    <t xml:space="preserve">CM728</t>
  </si>
  <si>
    <t xml:space="preserve">CM739</t>
  </si>
  <si>
    <t xml:space="preserve">CM750</t>
  </si>
  <si>
    <t xml:space="preserve">CM756</t>
  </si>
  <si>
    <t xml:space="preserve">CM760</t>
  </si>
  <si>
    <t xml:space="preserve">CM761</t>
  </si>
  <si>
    <t xml:space="preserve">CM764</t>
  </si>
  <si>
    <t xml:space="preserve">CM765</t>
  </si>
  <si>
    <t xml:space="preserve">CM766</t>
  </si>
  <si>
    <t xml:space="preserve">CM775</t>
  </si>
  <si>
    <t xml:space="preserve">CM777F</t>
  </si>
  <si>
    <t xml:space="preserve">CM787</t>
  </si>
  <si>
    <t xml:space="preserve">CM792F</t>
  </si>
  <si>
    <t xml:space="preserve">CM793F</t>
  </si>
  <si>
    <t xml:space="preserve">CM795</t>
  </si>
  <si>
    <t xml:space="preserve">RMU</t>
  </si>
  <si>
    <t xml:space="preserve">CM800F</t>
  </si>
  <si>
    <t xml:space="preserve">CM802</t>
  </si>
  <si>
    <t xml:space="preserve">CM804</t>
  </si>
  <si>
    <t xml:space="preserve">CM813</t>
  </si>
  <si>
    <t xml:space="preserve">CM813F</t>
  </si>
  <si>
    <t xml:space="preserve">CM814</t>
  </si>
  <si>
    <t xml:space="preserve">CM817F</t>
  </si>
  <si>
    <t xml:space="preserve">CM821F</t>
  </si>
  <si>
    <t xml:space="preserve">CM822F</t>
  </si>
  <si>
    <t xml:space="preserve">CM823F</t>
  </si>
  <si>
    <t xml:space="preserve">CM827F</t>
  </si>
  <si>
    <t xml:space="preserve">CM832</t>
  </si>
  <si>
    <t xml:space="preserve">CM834F</t>
  </si>
  <si>
    <t xml:space="preserve">CM837</t>
  </si>
  <si>
    <t xml:space="preserve">CM857</t>
  </si>
  <si>
    <t xml:space="preserve">CM862</t>
  </si>
  <si>
    <t xml:space="preserve">CM869F</t>
  </si>
  <si>
    <t xml:space="preserve">CM876</t>
  </si>
  <si>
    <t xml:space="preserve">CM880</t>
  </si>
  <si>
    <t xml:space="preserve">CM895</t>
  </si>
  <si>
    <t xml:space="preserve">CM905</t>
  </si>
  <si>
    <t xml:space="preserve">CM91</t>
  </si>
  <si>
    <t xml:space="preserve">CM914</t>
  </si>
  <si>
    <t xml:space="preserve">CM917</t>
  </si>
  <si>
    <t xml:space="preserve">CM934</t>
  </si>
  <si>
    <t xml:space="preserve">CM936F</t>
  </si>
  <si>
    <t xml:space="preserve">CM942</t>
  </si>
  <si>
    <t xml:space="preserve">CM946</t>
  </si>
  <si>
    <t xml:space="preserve">CM948</t>
  </si>
  <si>
    <t xml:space="preserve">CM953</t>
  </si>
  <si>
    <t xml:space="preserve">CM957</t>
  </si>
  <si>
    <t xml:space="preserve">CM958</t>
  </si>
  <si>
    <t xml:space="preserve">CM961</t>
  </si>
  <si>
    <t xml:space="preserve">CM962</t>
  </si>
  <si>
    <t xml:space="preserve">CM982</t>
  </si>
  <si>
    <t xml:space="preserve">CM983</t>
  </si>
  <si>
    <t xml:space="preserve">CM985</t>
  </si>
  <si>
    <t xml:space="preserve">CM988F</t>
  </si>
  <si>
    <t xml:space="preserve">CM989</t>
  </si>
  <si>
    <t xml:space="preserve">CM992</t>
  </si>
  <si>
    <t xml:space="preserve">CM993</t>
  </si>
  <si>
    <t xml:space="preserve">CM994</t>
  </si>
  <si>
    <t xml:space="preserve">CM995</t>
  </si>
  <si>
    <t xml:space="preserve">CS1001</t>
  </si>
  <si>
    <t xml:space="preserve">CS1007</t>
  </si>
  <si>
    <t xml:space="preserve">CS103</t>
  </si>
  <si>
    <t xml:space="preserve">CS106</t>
  </si>
  <si>
    <t xml:space="preserve">CS85</t>
  </si>
  <si>
    <t xml:space="preserve">CS93</t>
  </si>
  <si>
    <t xml:space="preserve">CS93F</t>
  </si>
  <si>
    <t xml:space="preserve">CS95</t>
  </si>
  <si>
    <t xml:space="preserve">CS96</t>
  </si>
  <si>
    <t xml:space="preserve">D46</t>
  </si>
  <si>
    <t xml:space="preserve">D48</t>
  </si>
  <si>
    <t xml:space="preserve">F1560000A</t>
  </si>
  <si>
    <t xml:space="preserve">F1560910B</t>
  </si>
  <si>
    <t xml:space="preserve">G1003</t>
  </si>
  <si>
    <t xml:space="preserve">G35</t>
  </si>
  <si>
    <t xml:space="preserve">H1001</t>
  </si>
  <si>
    <t xml:space="preserve">H1003</t>
  </si>
  <si>
    <t xml:space="preserve">H1008</t>
  </si>
  <si>
    <t xml:space="preserve">H1013</t>
  </si>
  <si>
    <t xml:space="preserve">H1018</t>
  </si>
  <si>
    <t xml:space="preserve">H1028</t>
  </si>
  <si>
    <t xml:space="preserve">H1029</t>
  </si>
  <si>
    <t xml:space="preserve">H1030</t>
  </si>
  <si>
    <t xml:space="preserve">H1032</t>
  </si>
  <si>
    <t xml:space="preserve">H1034</t>
  </si>
  <si>
    <t xml:space="preserve">H1037</t>
  </si>
  <si>
    <t xml:space="preserve">H1038</t>
  </si>
  <si>
    <t xml:space="preserve">H1040</t>
  </si>
  <si>
    <t xml:space="preserve">H1041</t>
  </si>
  <si>
    <t xml:space="preserve">H1044</t>
  </si>
  <si>
    <t xml:space="preserve">H1045</t>
  </si>
  <si>
    <t xml:space="preserve">H1047</t>
  </si>
  <si>
    <t xml:space="preserve">H1052</t>
  </si>
  <si>
    <t xml:space="preserve">H1054</t>
  </si>
  <si>
    <t xml:space="preserve">H1056</t>
  </si>
  <si>
    <t xml:space="preserve">H1059</t>
  </si>
  <si>
    <t xml:space="preserve">H1067</t>
  </si>
  <si>
    <t xml:space="preserve">H1069</t>
  </si>
  <si>
    <t xml:space="preserve">H1074</t>
  </si>
  <si>
    <t xml:space="preserve">H1075</t>
  </si>
  <si>
    <t xml:space="preserve">H1077</t>
  </si>
  <si>
    <t xml:space="preserve">H1300</t>
  </si>
  <si>
    <t xml:space="preserve">H1301</t>
  </si>
  <si>
    <t xml:space="preserve">H1302</t>
  </si>
  <si>
    <t xml:space="preserve">H141F</t>
  </si>
  <si>
    <t xml:space="preserve">H177F</t>
  </si>
  <si>
    <t xml:space="preserve">H182F</t>
  </si>
  <si>
    <t xml:space="preserve">H183F</t>
  </si>
  <si>
    <t xml:space="preserve">H186F</t>
  </si>
  <si>
    <t xml:space="preserve">H192F</t>
  </si>
  <si>
    <t xml:space="preserve">H205F</t>
  </si>
  <si>
    <t xml:space="preserve">H210F</t>
  </si>
  <si>
    <t xml:space="preserve">H229</t>
  </si>
  <si>
    <t xml:space="preserve">H232</t>
  </si>
  <si>
    <t xml:space="preserve">H248</t>
  </si>
  <si>
    <t xml:space="preserve">H254</t>
  </si>
  <si>
    <t xml:space="preserve">H263F</t>
  </si>
  <si>
    <t xml:space="preserve">H268</t>
  </si>
  <si>
    <t xml:space="preserve">H270</t>
  </si>
  <si>
    <t xml:space="preserve">H272</t>
  </si>
  <si>
    <t xml:space="preserve">H275</t>
  </si>
  <si>
    <t xml:space="preserve">H276</t>
  </si>
  <si>
    <t xml:space="preserve">H279</t>
  </si>
  <si>
    <t xml:space="preserve">H298F</t>
  </si>
  <si>
    <t xml:space="preserve">INA</t>
  </si>
  <si>
    <t xml:space="preserve">H312</t>
  </si>
  <si>
    <t xml:space="preserve">H318F</t>
  </si>
  <si>
    <t xml:space="preserve">H319F</t>
  </si>
  <si>
    <t xml:space="preserve">H320F</t>
  </si>
  <si>
    <t xml:space="preserve">H322F</t>
  </si>
  <si>
    <t xml:space="preserve">H340F</t>
  </si>
  <si>
    <t xml:space="preserve">H341F</t>
  </si>
  <si>
    <t xml:space="preserve">H347</t>
  </si>
  <si>
    <t xml:space="preserve">H349</t>
  </si>
  <si>
    <t xml:space="preserve">H351F</t>
  </si>
  <si>
    <t xml:space="preserve">H354F</t>
  </si>
  <si>
    <t xml:space="preserve">H356</t>
  </si>
  <si>
    <t xml:space="preserve">H357</t>
  </si>
  <si>
    <t xml:space="preserve">H358</t>
  </si>
  <si>
    <t xml:space="preserve">H365F</t>
  </si>
  <si>
    <t xml:space="preserve">H366F</t>
  </si>
  <si>
    <t xml:space="preserve">H368</t>
  </si>
  <si>
    <t xml:space="preserve">H369F</t>
  </si>
  <si>
    <t xml:space="preserve">H371</t>
  </si>
  <si>
    <t xml:space="preserve">H381</t>
  </si>
  <si>
    <t xml:space="preserve">H382</t>
  </si>
  <si>
    <t xml:space="preserve">H384</t>
  </si>
  <si>
    <t xml:space="preserve">H390</t>
  </si>
  <si>
    <t xml:space="preserve">H392</t>
  </si>
  <si>
    <t xml:space="preserve">H394</t>
  </si>
  <si>
    <t xml:space="preserve">H395</t>
  </si>
  <si>
    <t xml:space="preserve">H399</t>
  </si>
  <si>
    <t xml:space="preserve">H401</t>
  </si>
  <si>
    <t xml:space="preserve">H402F</t>
  </si>
  <si>
    <t xml:space="preserve">H405F</t>
  </si>
  <si>
    <t xml:space="preserve">H406F</t>
  </si>
  <si>
    <t xml:space="preserve">H412</t>
  </si>
  <si>
    <t xml:space="preserve">H417</t>
  </si>
  <si>
    <t xml:space="preserve">H4201</t>
  </si>
  <si>
    <t xml:space="preserve">H421</t>
  </si>
  <si>
    <t xml:space="preserve">H423F</t>
  </si>
  <si>
    <t xml:space="preserve">H425F</t>
  </si>
  <si>
    <t xml:space="preserve">H428</t>
  </si>
  <si>
    <t xml:space="preserve">H432</t>
  </si>
  <si>
    <t xml:space="preserve">H445</t>
  </si>
  <si>
    <t xml:space="preserve">H447F</t>
  </si>
  <si>
    <t xml:space="preserve">H449</t>
  </si>
  <si>
    <t xml:space="preserve">H451</t>
  </si>
  <si>
    <t xml:space="preserve">H452</t>
  </si>
  <si>
    <t xml:space="preserve">H456</t>
  </si>
  <si>
    <t xml:space="preserve">H458</t>
  </si>
  <si>
    <t xml:space="preserve">H459</t>
  </si>
  <si>
    <t xml:space="preserve">H461</t>
  </si>
  <si>
    <t xml:space="preserve">H462</t>
  </si>
  <si>
    <t xml:space="preserve">H465</t>
  </si>
  <si>
    <t xml:space="preserve">H466</t>
  </si>
  <si>
    <t xml:space="preserve">H470</t>
  </si>
  <si>
    <t xml:space="preserve">H472</t>
  </si>
  <si>
    <t xml:space="preserve">H473</t>
  </si>
  <si>
    <t xml:space="preserve">H474</t>
  </si>
  <si>
    <t xml:space="preserve">H48</t>
  </si>
  <si>
    <t xml:space="preserve">H53</t>
  </si>
  <si>
    <t xml:space="preserve">H57F</t>
  </si>
  <si>
    <t xml:space="preserve">H67R</t>
  </si>
  <si>
    <t xml:space="preserve">H700</t>
  </si>
  <si>
    <t xml:space="preserve">H77F</t>
  </si>
  <si>
    <t xml:space="preserve">H86</t>
  </si>
  <si>
    <t xml:space="preserve">H890</t>
  </si>
  <si>
    <t xml:space="preserve">H891</t>
  </si>
  <si>
    <t xml:space="preserve">H92</t>
  </si>
  <si>
    <t xml:space="preserve">K17</t>
  </si>
  <si>
    <t xml:space="preserve">K24</t>
  </si>
  <si>
    <t xml:space="preserve">K31</t>
  </si>
  <si>
    <t xml:space="preserve">L25</t>
  </si>
  <si>
    <t xml:space="preserve">L46</t>
  </si>
  <si>
    <t xml:space="preserve">L47</t>
  </si>
  <si>
    <t xml:space="preserve">O84</t>
  </si>
  <si>
    <t xml:space="preserve">P1001</t>
  </si>
  <si>
    <t xml:space="preserve">P18F</t>
  </si>
  <si>
    <t xml:space="preserve">P40</t>
  </si>
  <si>
    <t xml:space="preserve">P72</t>
  </si>
  <si>
    <t xml:space="preserve">P73</t>
  </si>
  <si>
    <t xml:space="preserve">P76F</t>
  </si>
  <si>
    <t xml:space="preserve">P77</t>
  </si>
  <si>
    <t xml:space="preserve">P78F</t>
  </si>
  <si>
    <t xml:space="preserve">P80F</t>
  </si>
  <si>
    <t xml:space="preserve">P82F</t>
  </si>
  <si>
    <t xml:space="preserve">P84</t>
  </si>
  <si>
    <t xml:space="preserve">P87</t>
  </si>
  <si>
    <t xml:space="preserve">P90</t>
  </si>
  <si>
    <t xml:space="preserve">P91F</t>
  </si>
  <si>
    <t xml:space="preserve">PAC8035</t>
  </si>
  <si>
    <t xml:space="preserve">PAE0174</t>
  </si>
  <si>
    <t xml:space="preserve">PAE0277</t>
  </si>
  <si>
    <t xml:space="preserve">PAE0278</t>
  </si>
  <si>
    <t xml:space="preserve">PAF1015</t>
  </si>
  <si>
    <t xml:space="preserve">PAF9025</t>
  </si>
  <si>
    <t xml:space="preserve">PAQD1025</t>
  </si>
  <si>
    <t xml:space="preserve">PAQD2050</t>
  </si>
  <si>
    <t xml:space="preserve">PAS1025</t>
  </si>
  <si>
    <t xml:space="preserve">PAS2050</t>
  </si>
  <si>
    <t xml:space="preserve">PAS3013</t>
  </si>
  <si>
    <t xml:space="preserve">PAS4067</t>
  </si>
  <si>
    <t xml:space="preserve">PAS5035</t>
  </si>
  <si>
    <t xml:space="preserve">PAS5077</t>
  </si>
  <si>
    <t xml:space="preserve">PAS5081</t>
  </si>
  <si>
    <t xml:space="preserve">PAS6006</t>
  </si>
  <si>
    <t xml:space="preserve">PAS6030</t>
  </si>
  <si>
    <t xml:space="preserve">PAS6050</t>
  </si>
  <si>
    <t xml:space="preserve">PAS8035</t>
  </si>
  <si>
    <t xml:space="preserve">PAS9015</t>
  </si>
  <si>
    <t xml:space="preserve">PAYD6006</t>
  </si>
  <si>
    <t xml:space="preserve">PCC1035</t>
  </si>
  <si>
    <t xml:space="preserve">PCC3013</t>
  </si>
  <si>
    <t xml:space="preserve">PD0136</t>
  </si>
  <si>
    <t xml:space="preserve">PD0363</t>
  </si>
  <si>
    <t xml:space="preserve">PD4726</t>
  </si>
  <si>
    <t xml:space="preserve">PDEP0023</t>
  </si>
  <si>
    <t xml:space="preserve">PDEP0081</t>
  </si>
  <si>
    <t xml:space="preserve">PDNP6056</t>
  </si>
  <si>
    <t xml:space="preserve">PDR1903</t>
  </si>
  <si>
    <t xml:space="preserve">PDR1904</t>
  </si>
  <si>
    <t xml:space="preserve">PED3013</t>
  </si>
  <si>
    <t xml:space="preserve">PED4070</t>
  </si>
  <si>
    <t xml:space="preserve">PED5035</t>
  </si>
  <si>
    <t xml:space="preserve">PED6006</t>
  </si>
  <si>
    <t xml:space="preserve">PED6014</t>
  </si>
  <si>
    <t xml:space="preserve">PED9999</t>
  </si>
  <si>
    <t xml:space="preserve">PEP1015</t>
  </si>
  <si>
    <t xml:space="preserve">PEP3013</t>
  </si>
  <si>
    <t xml:space="preserve">PHDD9066</t>
  </si>
  <si>
    <t xml:space="preserve">PHU5035</t>
  </si>
  <si>
    <t xml:space="preserve">PHU9058</t>
  </si>
  <si>
    <t xml:space="preserve">PHU9059</t>
  </si>
  <si>
    <t xml:space="preserve">PQ0550</t>
  </si>
  <si>
    <t xml:space="preserve">PQ6060</t>
  </si>
  <si>
    <t xml:space="preserve">PSFD1015</t>
  </si>
  <si>
    <t xml:space="preserve">PUD6097</t>
  </si>
  <si>
    <t xml:space="preserve">PVOC0550</t>
  </si>
  <si>
    <t xml:space="preserve">PVOC5077</t>
  </si>
  <si>
    <t xml:space="preserve">PVOC5094</t>
  </si>
  <si>
    <t xml:space="preserve">PVOC6097</t>
  </si>
  <si>
    <t xml:space="preserve">PXV9015</t>
  </si>
  <si>
    <t xml:space="preserve">R1004</t>
  </si>
  <si>
    <t xml:space="preserve">R1005</t>
  </si>
  <si>
    <t xml:space="preserve">R1006</t>
  </si>
  <si>
    <t xml:space="preserve">R1010</t>
  </si>
  <si>
    <t xml:space="preserve">R102</t>
  </si>
  <si>
    <t xml:space="preserve">R111</t>
  </si>
  <si>
    <t xml:space="preserve">R112</t>
  </si>
  <si>
    <t xml:space="preserve">R114</t>
  </si>
  <si>
    <t xml:space="preserve">R118</t>
  </si>
  <si>
    <t xml:space="preserve">R121</t>
  </si>
  <si>
    <t xml:space="preserve">R124</t>
  </si>
  <si>
    <t xml:space="preserve">R81</t>
  </si>
  <si>
    <t xml:space="preserve">R87</t>
  </si>
  <si>
    <t xml:space="preserve">RH1001</t>
  </si>
  <si>
    <t xml:space="preserve">RH1004</t>
  </si>
  <si>
    <t xml:space="preserve">RH212</t>
  </si>
  <si>
    <t xml:space="preserve">RH219</t>
  </si>
  <si>
    <t xml:space="preserve">RH228</t>
  </si>
  <si>
    <t xml:space="preserve">RH238</t>
  </si>
  <si>
    <t xml:space="preserve">RH254F</t>
  </si>
  <si>
    <t xml:space="preserve">RH255F</t>
  </si>
  <si>
    <t xml:space="preserve">RH259F</t>
  </si>
  <si>
    <t xml:space="preserve">RH261</t>
  </si>
  <si>
    <t xml:space="preserve">RH266F</t>
  </si>
  <si>
    <t xml:space="preserve">RH270</t>
  </si>
  <si>
    <t xml:space="preserve">RH277</t>
  </si>
  <si>
    <t xml:space="preserve">RH300F</t>
  </si>
  <si>
    <t xml:space="preserve">RH73</t>
  </si>
  <si>
    <t xml:space="preserve">RH81</t>
  </si>
  <si>
    <t xml:space="preserve">RH819</t>
  </si>
  <si>
    <t xml:space="preserve">RL2766300</t>
  </si>
  <si>
    <t xml:space="preserve">RL634300</t>
  </si>
  <si>
    <t xml:space="preserve">RL7564402</t>
  </si>
  <si>
    <t xml:space="preserve">RL944300</t>
  </si>
  <si>
    <t xml:space="preserve">RL964402</t>
  </si>
  <si>
    <t xml:space="preserve">RL975300</t>
  </si>
  <si>
    <t xml:space="preserve">RS1003</t>
  </si>
  <si>
    <t xml:space="preserve">RS1007</t>
  </si>
  <si>
    <t xml:space="preserve">RS1015</t>
  </si>
  <si>
    <t xml:space="preserve">RS1017</t>
  </si>
  <si>
    <t xml:space="preserve">RS1045</t>
  </si>
  <si>
    <t xml:space="preserve">RS1051</t>
  </si>
  <si>
    <t xml:space="preserve">RS1057</t>
  </si>
  <si>
    <t xml:space="preserve">RS1064</t>
  </si>
  <si>
    <t xml:space="preserve">RS1067</t>
  </si>
  <si>
    <t xml:space="preserve">RS1068</t>
  </si>
  <si>
    <t xml:space="preserve">RS1072</t>
  </si>
  <si>
    <t xml:space="preserve">RS1073</t>
  </si>
  <si>
    <t xml:space="preserve">RS1078</t>
  </si>
  <si>
    <t xml:space="preserve">RS1079</t>
  </si>
  <si>
    <t xml:space="preserve">RS1080</t>
  </si>
  <si>
    <t xml:space="preserve">RS1081</t>
  </si>
  <si>
    <t xml:space="preserve">RS1086</t>
  </si>
  <si>
    <t xml:space="preserve">RS1088</t>
  </si>
  <si>
    <t xml:space="preserve">RS1089</t>
  </si>
  <si>
    <t xml:space="preserve">RS1095</t>
  </si>
  <si>
    <t xml:space="preserve">RS1101</t>
  </si>
  <si>
    <t xml:space="preserve">RS1102</t>
  </si>
  <si>
    <t xml:space="preserve">RS1108</t>
  </si>
  <si>
    <t xml:space="preserve">RS1112</t>
  </si>
  <si>
    <t xml:space="preserve">RS1121</t>
  </si>
  <si>
    <t xml:space="preserve">RS1128</t>
  </si>
  <si>
    <t xml:space="preserve">RS1129</t>
  </si>
  <si>
    <t xml:space="preserve">RS1130</t>
  </si>
  <si>
    <t xml:space="preserve">RS1131</t>
  </si>
  <si>
    <t xml:space="preserve">RS1132</t>
  </si>
  <si>
    <t xml:space="preserve">RS1133</t>
  </si>
  <si>
    <t xml:space="preserve">RS1134</t>
  </si>
  <si>
    <t xml:space="preserve">RS1139</t>
  </si>
  <si>
    <t xml:space="preserve">RS1143</t>
  </si>
  <si>
    <t xml:space="preserve">RS1144</t>
  </si>
  <si>
    <t xml:space="preserve">RS1145</t>
  </si>
  <si>
    <t xml:space="preserve">RS1149</t>
  </si>
  <si>
    <t xml:space="preserve">RS1153</t>
  </si>
  <si>
    <t xml:space="preserve">RS1170</t>
  </si>
  <si>
    <t xml:space="preserve">RS134</t>
  </si>
  <si>
    <t xml:space="preserve">BLK</t>
  </si>
  <si>
    <t xml:space="preserve">RS135</t>
  </si>
  <si>
    <t xml:space="preserve">RS266R</t>
  </si>
  <si>
    <t xml:space="preserve">RS279</t>
  </si>
  <si>
    <t xml:space="preserve">RS283</t>
  </si>
  <si>
    <t xml:space="preserve">RS310</t>
  </si>
  <si>
    <t xml:space="preserve">RS371</t>
  </si>
  <si>
    <t xml:space="preserve">RS384</t>
  </si>
  <si>
    <t xml:space="preserve">RS400</t>
  </si>
  <si>
    <t xml:space="preserve">RS405</t>
  </si>
  <si>
    <t xml:space="preserve">RS436</t>
  </si>
  <si>
    <t xml:space="preserve">RS456</t>
  </si>
  <si>
    <t xml:space="preserve">RS461</t>
  </si>
  <si>
    <t xml:space="preserve">RS475</t>
  </si>
  <si>
    <t xml:space="preserve">RS500</t>
  </si>
  <si>
    <t xml:space="preserve">RS610</t>
  </si>
  <si>
    <t xml:space="preserve">RS617</t>
  </si>
  <si>
    <t xml:space="preserve">RS621</t>
  </si>
  <si>
    <t xml:space="preserve">RS633</t>
  </si>
  <si>
    <t xml:space="preserve">RS650</t>
  </si>
  <si>
    <t xml:space="preserve">RS681</t>
  </si>
  <si>
    <t xml:space="preserve">RS682</t>
  </si>
  <si>
    <t xml:space="preserve">RS688</t>
  </si>
  <si>
    <t xml:space="preserve">RS689</t>
  </si>
  <si>
    <t xml:space="preserve">RS701</t>
  </si>
  <si>
    <t xml:space="preserve">RS705</t>
  </si>
  <si>
    <t xml:space="preserve">RS707</t>
  </si>
  <si>
    <t xml:space="preserve">RS710</t>
  </si>
  <si>
    <t xml:space="preserve">RS729</t>
  </si>
  <si>
    <t xml:space="preserve">RS730</t>
  </si>
  <si>
    <t xml:space="preserve">RS756</t>
  </si>
  <si>
    <t xml:space="preserve">RS786</t>
  </si>
  <si>
    <t xml:space="preserve">RS805</t>
  </si>
  <si>
    <t xml:space="preserve">RS807</t>
  </si>
  <si>
    <t xml:space="preserve">RS812</t>
  </si>
  <si>
    <t xml:space="preserve">RS813</t>
  </si>
  <si>
    <t xml:space="preserve">RS832</t>
  </si>
  <si>
    <t xml:space="preserve">RS85125</t>
  </si>
  <si>
    <t xml:space="preserve">RS85150</t>
  </si>
  <si>
    <t xml:space="preserve">RS872</t>
  </si>
  <si>
    <t xml:space="preserve">RS879</t>
  </si>
  <si>
    <t xml:space="preserve">RS887</t>
  </si>
  <si>
    <t xml:space="preserve">RS889</t>
  </si>
  <si>
    <t xml:space="preserve">RS898</t>
  </si>
  <si>
    <t xml:space="preserve">RS923</t>
  </si>
  <si>
    <t xml:space="preserve">RS930</t>
  </si>
  <si>
    <t xml:space="preserve">RS935</t>
  </si>
  <si>
    <t xml:space="preserve">RS937F</t>
  </si>
  <si>
    <t xml:space="preserve">RS944</t>
  </si>
  <si>
    <t xml:space="preserve">RS945</t>
  </si>
  <si>
    <t xml:space="preserve">RS951</t>
  </si>
  <si>
    <t xml:space="preserve">RS957</t>
  </si>
  <si>
    <t xml:space="preserve">RS965</t>
  </si>
  <si>
    <t xml:space="preserve">RS969</t>
  </si>
  <si>
    <t xml:space="preserve">RS974</t>
  </si>
  <si>
    <t xml:space="preserve">RS975</t>
  </si>
  <si>
    <t xml:space="preserve">RS976</t>
  </si>
  <si>
    <t xml:space="preserve">RS981</t>
  </si>
  <si>
    <t xml:space="preserve">RS983</t>
  </si>
  <si>
    <t xml:space="preserve">RS984</t>
  </si>
  <si>
    <t xml:space="preserve">RS986</t>
  </si>
  <si>
    <t xml:space="preserve">RS987</t>
  </si>
  <si>
    <t xml:space="preserve">S03205</t>
  </si>
  <si>
    <t xml:space="preserve">S03525</t>
  </si>
  <si>
    <t xml:space="preserve">S22635</t>
  </si>
  <si>
    <t xml:space="preserve">S23480</t>
  </si>
  <si>
    <t xml:space="preserve">S23481</t>
  </si>
  <si>
    <t xml:space="preserve">S23495</t>
  </si>
  <si>
    <t xml:space="preserve">SL227</t>
  </si>
  <si>
    <t xml:space="preserve">T100</t>
  </si>
  <si>
    <t xml:space="preserve">T115</t>
  </si>
  <si>
    <t xml:space="preserve">T125</t>
  </si>
  <si>
    <t xml:space="preserve">T130</t>
  </si>
  <si>
    <t xml:space="preserve">T137</t>
  </si>
  <si>
    <t xml:space="preserve">T164</t>
  </si>
  <si>
    <t xml:space="preserve">T170</t>
  </si>
  <si>
    <t xml:space="preserve">T181</t>
  </si>
  <si>
    <t xml:space="preserve">T186F</t>
  </si>
  <si>
    <t xml:space="preserve">T191</t>
  </si>
  <si>
    <t xml:space="preserve">T204</t>
  </si>
  <si>
    <t xml:space="preserve">T41</t>
  </si>
  <si>
    <t xml:space="preserve">T44</t>
  </si>
  <si>
    <t xml:space="preserve">T46</t>
  </si>
  <si>
    <t xml:space="preserve">T75</t>
  </si>
  <si>
    <t xml:space="preserve">W100</t>
  </si>
  <si>
    <t xml:space="preserve">W30</t>
  </si>
  <si>
    <t xml:space="preserve">W40</t>
  </si>
  <si>
    <t xml:space="preserve">W70</t>
  </si>
  <si>
    <t xml:space="preserve">W77</t>
  </si>
  <si>
    <t xml:space="preserve">W88</t>
  </si>
  <si>
    <t xml:space="preserve">W92</t>
  </si>
  <si>
    <t xml:space="preserve">W98</t>
  </si>
  <si>
    <t xml:space="preserve">Y1001</t>
  </si>
  <si>
    <t xml:space="preserve">Y1002</t>
  </si>
  <si>
    <t xml:space="preserve">Y1003</t>
  </si>
  <si>
    <t xml:space="preserve">Y108</t>
  </si>
  <si>
    <t xml:space="preserve">Y112</t>
  </si>
  <si>
    <t xml:space="preserve">Y114</t>
  </si>
  <si>
    <t xml:space="preserve">Y115</t>
  </si>
  <si>
    <t xml:space="preserve">Y119</t>
  </si>
  <si>
    <t xml:space="preserve">Y135</t>
  </si>
  <si>
    <t xml:space="preserve">Y147</t>
  </si>
  <si>
    <t xml:space="preserve">Y56</t>
  </si>
  <si>
    <t xml:space="preserve">Y93</t>
  </si>
  <si>
    <t xml:space="preserve">Z100</t>
  </si>
  <si>
    <t xml:space="preserve">Z106</t>
  </si>
  <si>
    <t xml:space="preserve">Z107</t>
  </si>
  <si>
    <t xml:space="preserve">Z112</t>
  </si>
  <si>
    <t xml:space="preserve">Z116</t>
  </si>
  <si>
    <t xml:space="preserve">Z21</t>
  </si>
  <si>
    <t xml:space="preserve">Z43</t>
  </si>
  <si>
    <t xml:space="preserve">Z6</t>
  </si>
  <si>
    <t xml:space="preserve">Z93</t>
  </si>
  <si>
    <t xml:space="preserve">ZINC 14</t>
  </si>
  <si>
    <t xml:space="preserve">ZINC 17</t>
  </si>
  <si>
    <t xml:space="preserve">ZINC 24</t>
  </si>
  <si>
    <t xml:space="preserve">ZINC 26</t>
  </si>
  <si>
    <t xml:space="preserve">1/2 PALLET</t>
  </si>
  <si>
    <t xml:space="preserve">8010</t>
  </si>
  <si>
    <t xml:space="preserve">Packaging (8010)</t>
  </si>
  <si>
    <t xml:space="preserve">10-0100</t>
  </si>
  <si>
    <t xml:space="preserve">10-0102</t>
  </si>
  <si>
    <t xml:space="preserve">10-0103</t>
  </si>
  <si>
    <t xml:space="preserve">10-0109</t>
  </si>
  <si>
    <t xml:space="preserve">10-0110</t>
  </si>
  <si>
    <t xml:space="preserve">10-0111</t>
  </si>
  <si>
    <t xml:space="preserve">10-0112</t>
  </si>
  <si>
    <t xml:space="preserve">10-0113</t>
  </si>
  <si>
    <t xml:space="preserve">10-0120</t>
  </si>
  <si>
    <t xml:space="preserve">10-0121</t>
  </si>
  <si>
    <t xml:space="preserve">10-0142</t>
  </si>
  <si>
    <t xml:space="preserve">10-0148</t>
  </si>
  <si>
    <t xml:space="preserve">10-0161</t>
  </si>
  <si>
    <t xml:space="preserve">10-0162</t>
  </si>
  <si>
    <t xml:space="preserve">10-0163</t>
  </si>
  <si>
    <t xml:space="preserve">10-0164</t>
  </si>
  <si>
    <t xml:space="preserve">10-0166</t>
  </si>
  <si>
    <t xml:space="preserve">10-0167</t>
  </si>
  <si>
    <t xml:space="preserve">10-0168</t>
  </si>
  <si>
    <t xml:space="preserve">10-0169</t>
  </si>
  <si>
    <t xml:space="preserve">10-0170</t>
  </si>
  <si>
    <t xml:space="preserve">10-0171</t>
  </si>
  <si>
    <t xml:space="preserve">10-0174</t>
  </si>
  <si>
    <t xml:space="preserve">10-0176</t>
  </si>
  <si>
    <t xml:space="preserve">10-0177</t>
  </si>
  <si>
    <t xml:space="preserve">10-0178</t>
  </si>
  <si>
    <t xml:space="preserve">10-0181</t>
  </si>
  <si>
    <t xml:space="preserve">10-0182</t>
  </si>
  <si>
    <t xml:space="preserve">10-0183</t>
  </si>
  <si>
    <t xml:space="preserve">10-0184</t>
  </si>
  <si>
    <t xml:space="preserve">10-0185</t>
  </si>
  <si>
    <t xml:space="preserve">10-0186</t>
  </si>
  <si>
    <t xml:space="preserve">10-0187</t>
  </si>
  <si>
    <t xml:space="preserve">10-0188</t>
  </si>
  <si>
    <t xml:space="preserve">10-0189</t>
  </si>
  <si>
    <t xml:space="preserve">10-0191</t>
  </si>
  <si>
    <t xml:space="preserve">10-0192</t>
  </si>
  <si>
    <t xml:space="preserve">10-0193</t>
  </si>
  <si>
    <t xml:space="preserve">10-0194</t>
  </si>
  <si>
    <t xml:space="preserve">10-0196</t>
  </si>
  <si>
    <t xml:space="preserve">10-0197</t>
  </si>
  <si>
    <t xml:space="preserve">10-0198</t>
  </si>
  <si>
    <t xml:space="preserve">10-0199</t>
  </si>
  <si>
    <t xml:space="preserve">10-0200</t>
  </si>
  <si>
    <t xml:space="preserve">10-0202</t>
  </si>
  <si>
    <t xml:space="preserve">10-0204</t>
  </si>
  <si>
    <t xml:space="preserve">10-0205</t>
  </si>
  <si>
    <t xml:space="preserve">10-0206</t>
  </si>
  <si>
    <t xml:space="preserve">10-0208</t>
  </si>
  <si>
    <t xml:space="preserve">10-0209</t>
  </si>
  <si>
    <t xml:space="preserve">10-0210</t>
  </si>
  <si>
    <t xml:space="preserve">10-0226</t>
  </si>
  <si>
    <t xml:space="preserve">10-0229</t>
  </si>
  <si>
    <t xml:space="preserve">10-0230</t>
  </si>
  <si>
    <t xml:space="preserve">10-0231</t>
  </si>
  <si>
    <t xml:space="preserve">10-0232</t>
  </si>
  <si>
    <t xml:space="preserve">10-0233</t>
  </si>
  <si>
    <t xml:space="preserve">10-0234</t>
  </si>
  <si>
    <t xml:space="preserve">10-0235</t>
  </si>
  <si>
    <t xml:space="preserve">10-0236</t>
  </si>
  <si>
    <t xml:space="preserve">10-0237</t>
  </si>
  <si>
    <t xml:space="preserve">10-0238</t>
  </si>
  <si>
    <t xml:space="preserve">10-1447</t>
  </si>
  <si>
    <t xml:space="preserve">10-1455</t>
  </si>
  <si>
    <t xml:space="preserve">10-1456</t>
  </si>
  <si>
    <t xml:space="preserve">10-1457</t>
  </si>
  <si>
    <t xml:space="preserve">10-1458</t>
  </si>
  <si>
    <t xml:space="preserve">10-1459</t>
  </si>
  <si>
    <t xml:space="preserve">10-1460</t>
  </si>
  <si>
    <t xml:space="preserve">10-1461</t>
  </si>
  <si>
    <t xml:space="preserve">10-1474</t>
  </si>
  <si>
    <t xml:space="preserve">10-1475</t>
  </si>
  <si>
    <t xml:space="preserve">10-1476</t>
  </si>
  <si>
    <t xml:space="preserve">10-1477</t>
  </si>
  <si>
    <t xml:space="preserve">10-1479</t>
  </si>
  <si>
    <t xml:space="preserve">10-50014</t>
  </si>
  <si>
    <t xml:space="preserve">10-50107</t>
  </si>
  <si>
    <t xml:space="preserve">10-50110</t>
  </si>
  <si>
    <t xml:space="preserve">10-50320</t>
  </si>
  <si>
    <t xml:space="preserve">10-50420</t>
  </si>
  <si>
    <t xml:space="preserve">10-50520</t>
  </si>
  <si>
    <t xml:space="preserve">10-60220</t>
  </si>
  <si>
    <t xml:space="preserve">10-60720</t>
  </si>
  <si>
    <t xml:space="preserve">137SS0000</t>
  </si>
  <si>
    <t xml:space="preserve">5*001B</t>
  </si>
  <si>
    <t xml:space="preserve">5*001R</t>
  </si>
  <si>
    <t xml:space="preserve">5*003R</t>
  </si>
  <si>
    <t xml:space="preserve">5*010R</t>
  </si>
  <si>
    <t xml:space="preserve">5*010RP</t>
  </si>
  <si>
    <t xml:space="preserve">5*012</t>
  </si>
  <si>
    <t xml:space="preserve">5*016</t>
  </si>
  <si>
    <t xml:space="preserve">5*017</t>
  </si>
  <si>
    <t xml:space="preserve">5*020M</t>
  </si>
  <si>
    <t xml:space="preserve">5*020R</t>
  </si>
  <si>
    <t xml:space="preserve">5*020RP</t>
  </si>
  <si>
    <t xml:space="preserve">5*023</t>
  </si>
  <si>
    <t xml:space="preserve">5*034</t>
  </si>
  <si>
    <t xml:space="preserve">5*039A</t>
  </si>
  <si>
    <t xml:space="preserve">5*039W</t>
  </si>
  <si>
    <t xml:space="preserve">5*047</t>
  </si>
  <si>
    <t xml:space="preserve">5*048</t>
  </si>
  <si>
    <t xml:space="preserve">5*048M</t>
  </si>
  <si>
    <t xml:space="preserve">5*050R</t>
  </si>
  <si>
    <t xml:space="preserve">5*056</t>
  </si>
  <si>
    <t xml:space="preserve">5*069A</t>
  </si>
  <si>
    <t xml:space="preserve">5*069W</t>
  </si>
  <si>
    <t xml:space="preserve">5*071</t>
  </si>
  <si>
    <t xml:space="preserve">5*072</t>
  </si>
  <si>
    <t xml:space="preserve">5*073</t>
  </si>
  <si>
    <t xml:space="preserve">5*074</t>
  </si>
  <si>
    <t xml:space="preserve">5*0N3R</t>
  </si>
  <si>
    <t xml:space="preserve">5*100P</t>
  </si>
  <si>
    <t xml:space="preserve">5*110</t>
  </si>
  <si>
    <t xml:space="preserve">5*111</t>
  </si>
  <si>
    <t xml:space="preserve">5*135</t>
  </si>
  <si>
    <t xml:space="preserve">5*139</t>
  </si>
  <si>
    <t xml:space="preserve">5*141</t>
  </si>
  <si>
    <t xml:space="preserve">5*145</t>
  </si>
  <si>
    <t xml:space="preserve">5*170</t>
  </si>
  <si>
    <t xml:space="preserve">5*218</t>
  </si>
  <si>
    <t xml:space="preserve">5*250R</t>
  </si>
  <si>
    <t xml:space="preserve">5*291R</t>
  </si>
  <si>
    <t xml:space="preserve">5*292M</t>
  </si>
  <si>
    <t xml:space="preserve">5*292R</t>
  </si>
  <si>
    <t xml:space="preserve">5*292TR</t>
  </si>
  <si>
    <t xml:space="preserve">5*293R</t>
  </si>
  <si>
    <t xml:space="preserve">5*400R</t>
  </si>
  <si>
    <t xml:space="preserve">5*CZ1</t>
  </si>
  <si>
    <t xml:space="preserve">5*CZ2</t>
  </si>
  <si>
    <t xml:space="preserve">5*CZ3</t>
  </si>
  <si>
    <t xml:space="preserve">5*CZ4</t>
  </si>
  <si>
    <t xml:space="preserve">50008</t>
  </si>
  <si>
    <t xml:space="preserve">50011</t>
  </si>
  <si>
    <t xml:space="preserve">50012</t>
  </si>
  <si>
    <t xml:space="preserve">UPV</t>
  </si>
  <si>
    <t xml:space="preserve">50014</t>
  </si>
  <si>
    <t xml:space="preserve">50015</t>
  </si>
  <si>
    <t xml:space="preserve">50016</t>
  </si>
  <si>
    <t xml:space="preserve">50017</t>
  </si>
  <si>
    <t xml:space="preserve">50018</t>
  </si>
  <si>
    <t xml:space="preserve">50019</t>
  </si>
  <si>
    <t xml:space="preserve">50020</t>
  </si>
  <si>
    <t xml:space="preserve">50021</t>
  </si>
  <si>
    <t xml:space="preserve">50022</t>
  </si>
  <si>
    <t xml:space="preserve">50068</t>
  </si>
  <si>
    <t xml:space="preserve">50069</t>
  </si>
  <si>
    <t xml:space="preserve">50078</t>
  </si>
  <si>
    <t xml:space="preserve">50079</t>
  </si>
  <si>
    <t xml:space="preserve">50081</t>
  </si>
  <si>
    <t xml:space="preserve">OLD</t>
  </si>
  <si>
    <t xml:space="preserve">50082</t>
  </si>
  <si>
    <t xml:space="preserve">50083</t>
  </si>
  <si>
    <t xml:space="preserve">50085</t>
  </si>
  <si>
    <t xml:space="preserve">50099</t>
  </si>
  <si>
    <t xml:space="preserve">50100</t>
  </si>
  <si>
    <t xml:space="preserve">50101</t>
  </si>
  <si>
    <t xml:space="preserve">50107</t>
  </si>
  <si>
    <t xml:space="preserve">50110</t>
  </si>
  <si>
    <t xml:space="preserve">50112</t>
  </si>
  <si>
    <t xml:space="preserve">50113</t>
  </si>
  <si>
    <t xml:space="preserve">50120</t>
  </si>
  <si>
    <t xml:space="preserve">50121</t>
  </si>
  <si>
    <t xml:space="preserve">50122</t>
  </si>
  <si>
    <t xml:space="preserve">50123</t>
  </si>
  <si>
    <t xml:space="preserve">50124</t>
  </si>
  <si>
    <t xml:space="preserve">50125</t>
  </si>
  <si>
    <t xml:space="preserve">50126</t>
  </si>
  <si>
    <t xml:space="preserve">50127</t>
  </si>
  <si>
    <t xml:space="preserve">50131</t>
  </si>
  <si>
    <t xml:space="preserve">50133</t>
  </si>
  <si>
    <t xml:space="preserve">50135</t>
  </si>
  <si>
    <t xml:space="preserve">50155</t>
  </si>
  <si>
    <t xml:space="preserve">50157</t>
  </si>
  <si>
    <t xml:space="preserve">50159</t>
  </si>
  <si>
    <t xml:space="preserve">50167</t>
  </si>
  <si>
    <t xml:space="preserve">50169</t>
  </si>
  <si>
    <t xml:space="preserve">50171</t>
  </si>
  <si>
    <t xml:space="preserve">50172</t>
  </si>
  <si>
    <t xml:space="preserve">50173</t>
  </si>
  <si>
    <t xml:space="preserve">50193</t>
  </si>
  <si>
    <t xml:space="preserve">50201</t>
  </si>
  <si>
    <t xml:space="preserve">50220</t>
  </si>
  <si>
    <t xml:space="preserve">50262</t>
  </si>
  <si>
    <t xml:space="preserve">50320</t>
  </si>
  <si>
    <t xml:space="preserve">50325</t>
  </si>
  <si>
    <t xml:space="preserve">50403</t>
  </si>
  <si>
    <t xml:space="preserve">50410</t>
  </si>
  <si>
    <t xml:space="preserve">50420</t>
  </si>
  <si>
    <t xml:space="preserve">50503</t>
  </si>
  <si>
    <t xml:space="preserve">50504</t>
  </si>
  <si>
    <t xml:space="preserve">50510</t>
  </si>
  <si>
    <t xml:space="preserve">50520</t>
  </si>
  <si>
    <t xml:space="preserve">50604</t>
  </si>
  <si>
    <t xml:space="preserve">50605</t>
  </si>
  <si>
    <t xml:space="preserve">50610</t>
  </si>
  <si>
    <t xml:space="preserve">50620</t>
  </si>
  <si>
    <t xml:space="preserve">50704</t>
  </si>
  <si>
    <t xml:space="preserve">50705</t>
  </si>
  <si>
    <t xml:space="preserve">50710</t>
  </si>
  <si>
    <t xml:space="preserve">50720</t>
  </si>
  <si>
    <t xml:space="preserve">50775</t>
  </si>
  <si>
    <t xml:space="preserve">50804</t>
  </si>
  <si>
    <t xml:space="preserve">50805</t>
  </si>
  <si>
    <t xml:space="preserve">50820</t>
  </si>
  <si>
    <t xml:space="preserve">50905</t>
  </si>
  <si>
    <t xml:space="preserve">51101</t>
  </si>
  <si>
    <t xml:space="preserve">51201</t>
  </si>
  <si>
    <t xml:space="preserve">51301</t>
  </si>
  <si>
    <t xml:space="preserve">51401</t>
  </si>
  <si>
    <t xml:space="preserve">51610</t>
  </si>
  <si>
    <t xml:space="preserve">51703</t>
  </si>
  <si>
    <t xml:space="preserve">51803</t>
  </si>
  <si>
    <t xml:space="preserve">51810</t>
  </si>
  <si>
    <t xml:space="preserve">51999</t>
  </si>
  <si>
    <t xml:space="preserve">53010</t>
  </si>
  <si>
    <t xml:space="preserve">57501</t>
  </si>
  <si>
    <t xml:space="preserve">58100</t>
  </si>
  <si>
    <t xml:space="preserve">58503</t>
  </si>
  <si>
    <t xml:space="preserve">58603</t>
  </si>
  <si>
    <t xml:space="preserve">58610</t>
  </si>
  <si>
    <t xml:space="preserve">59100</t>
  </si>
  <si>
    <t xml:space="preserve">59103</t>
  </si>
  <si>
    <t xml:space="preserve">59250</t>
  </si>
  <si>
    <t xml:space="preserve">60201</t>
  </si>
  <si>
    <t xml:space="preserve">60212</t>
  </si>
  <si>
    <t xml:space="preserve">60220</t>
  </si>
  <si>
    <t xml:space="preserve">60225</t>
  </si>
  <si>
    <t xml:space="preserve">60226</t>
  </si>
  <si>
    <t xml:space="preserve">60227</t>
  </si>
  <si>
    <t xml:space="preserve">60249</t>
  </si>
  <si>
    <t xml:space="preserve">60301</t>
  </si>
  <si>
    <t xml:space="preserve">60302</t>
  </si>
  <si>
    <t xml:space="preserve">60303</t>
  </si>
  <si>
    <t xml:space="preserve">60305</t>
  </si>
  <si>
    <t xml:space="preserve">60310</t>
  </si>
  <si>
    <t xml:space="preserve">60320</t>
  </si>
  <si>
    <t xml:space="preserve">60325</t>
  </si>
  <si>
    <t xml:space="preserve">60375</t>
  </si>
  <si>
    <t xml:space="preserve">60376</t>
  </si>
  <si>
    <t xml:space="preserve">60420</t>
  </si>
  <si>
    <t xml:space="preserve">60501</t>
  </si>
  <si>
    <t xml:space="preserve">60503</t>
  </si>
  <si>
    <t xml:space="preserve">60504</t>
  </si>
  <si>
    <t xml:space="preserve">60505</t>
  </si>
  <si>
    <t xml:space="preserve">60510</t>
  </si>
  <si>
    <t xml:space="preserve">60604</t>
  </si>
  <si>
    <t xml:space="preserve">60605</t>
  </si>
  <si>
    <t xml:space="preserve">60620</t>
  </si>
  <si>
    <t xml:space="preserve">60701</t>
  </si>
  <si>
    <t xml:space="preserve">60703</t>
  </si>
  <si>
    <t xml:space="preserve">60705</t>
  </si>
  <si>
    <t xml:space="preserve">60706</t>
  </si>
  <si>
    <t xml:space="preserve">60710</t>
  </si>
  <si>
    <t xml:space="preserve">60720</t>
  </si>
  <si>
    <t xml:space="preserve">60805</t>
  </si>
  <si>
    <t xml:space="preserve">60820</t>
  </si>
  <si>
    <t xml:space="preserve">60920</t>
  </si>
  <si>
    <t xml:space="preserve">C00033X2PT</t>
  </si>
  <si>
    <t xml:space="preserve">C0003LCPT</t>
  </si>
  <si>
    <t xml:space="preserve">C0003LPT</t>
  </si>
  <si>
    <t xml:space="preserve">C0003P</t>
  </si>
  <si>
    <t xml:space="preserve">C0003SQPPT</t>
  </si>
  <si>
    <t xml:space="preserve">C0003UGW</t>
  </si>
  <si>
    <t xml:space="preserve">C0004</t>
  </si>
  <si>
    <t xml:space="preserve">C0005P</t>
  </si>
  <si>
    <t xml:space="preserve">C0005UPC</t>
  </si>
  <si>
    <t xml:space="preserve">C0006UPLUG</t>
  </si>
  <si>
    <t xml:space="preserve">C012GPD</t>
  </si>
  <si>
    <t xml:space="preserve">C01CTN2PT</t>
  </si>
  <si>
    <t xml:space="preserve">C01HDPEP</t>
  </si>
  <si>
    <t xml:space="preserve">C01HDPEPL</t>
  </si>
  <si>
    <t xml:space="preserve">C01LGLCPT</t>
  </si>
  <si>
    <t xml:space="preserve">C01P</t>
  </si>
  <si>
    <t xml:space="preserve">C01PDC</t>
  </si>
  <si>
    <t xml:space="preserve">C01PMC</t>
  </si>
  <si>
    <t xml:space="preserve">C01PMP</t>
  </si>
  <si>
    <t xml:space="preserve">C01ROLNLTH</t>
  </si>
  <si>
    <t xml:space="preserve">C01SQPPT</t>
  </si>
  <si>
    <t xml:space="preserve">C025U</t>
  </si>
  <si>
    <t xml:space="preserve">C05CRDLPT</t>
  </si>
  <si>
    <t xml:space="preserve">C05LCSTRTH</t>
  </si>
  <si>
    <t xml:space="preserve">C05LCZCB</t>
  </si>
  <si>
    <t xml:space="preserve">C05LCZPB</t>
  </si>
  <si>
    <t xml:space="preserve">C05LROLTH</t>
  </si>
  <si>
    <t xml:space="preserve">C05LROLTHC</t>
  </si>
  <si>
    <t xml:space="preserve">C05LSTRTH</t>
  </si>
  <si>
    <t xml:space="preserve">C05LWB</t>
  </si>
  <si>
    <t xml:space="preserve">C05LWC</t>
  </si>
  <si>
    <t xml:space="preserve">C05MFG</t>
  </si>
  <si>
    <t xml:space="preserve">C05UBROFP</t>
  </si>
  <si>
    <t xml:space="preserve">C05UNA1L</t>
  </si>
  <si>
    <t xml:space="preserve">C05UNCPT</t>
  </si>
  <si>
    <t xml:space="preserve">C05UNCXGSKT</t>
  </si>
  <si>
    <t xml:space="preserve">C05UNPT</t>
  </si>
  <si>
    <t xml:space="preserve">C05UPL</t>
  </si>
  <si>
    <t xml:space="preserve">C05UROWHTC</t>
  </si>
  <si>
    <t xml:space="preserve">C05USLSEAL</t>
  </si>
  <si>
    <t xml:space="preserve">C14-6Z</t>
  </si>
  <si>
    <t xml:space="preserve">C30UNU</t>
  </si>
  <si>
    <t xml:space="preserve">C32OZPF</t>
  </si>
  <si>
    <t xml:space="preserve">C32OZPFL</t>
  </si>
  <si>
    <t xml:space="preserve">C4-9Z</t>
  </si>
  <si>
    <t xml:space="preserve">C500Z</t>
  </si>
  <si>
    <t xml:space="preserve">C50Z</t>
  </si>
  <si>
    <t xml:space="preserve">C50ZWHTE</t>
  </si>
  <si>
    <t xml:space="preserve">C55CAPSPC</t>
  </si>
  <si>
    <t xml:space="preserve">C55FIBL</t>
  </si>
  <si>
    <t xml:space="preserve">C55LNRSPC</t>
  </si>
  <si>
    <t xml:space="preserve">C55LNRSTR</t>
  </si>
  <si>
    <t xml:space="preserve">C55LRCNSTR</t>
  </si>
  <si>
    <t xml:space="preserve">C55MFG</t>
  </si>
  <si>
    <t xml:space="preserve">C55PROLN</t>
  </si>
  <si>
    <t xml:space="preserve">C55STHAGBK</t>
  </si>
  <si>
    <t xml:space="preserve">C55ULNRBLD</t>
  </si>
  <si>
    <t xml:space="preserve">C55UN1A1</t>
  </si>
  <si>
    <t xml:space="preserve">C55UN1A13B</t>
  </si>
  <si>
    <t xml:space="preserve">C55UN1A13BNG</t>
  </si>
  <si>
    <t xml:space="preserve">C55UN1A1R3C</t>
  </si>
  <si>
    <t xml:space="preserve">C55UN1A2BL</t>
  </si>
  <si>
    <t xml:space="preserve">C55UN22</t>
  </si>
  <si>
    <t xml:space="preserve">C73Z</t>
  </si>
  <si>
    <t xml:space="preserve">C8OZPF</t>
  </si>
  <si>
    <t xml:space="preserve">C8OZPFL</t>
  </si>
  <si>
    <t xml:space="preserve">CB9X12</t>
  </si>
  <si>
    <t xml:space="preserve">CBAG15</t>
  </si>
  <si>
    <t xml:space="preserve">CBAG22</t>
  </si>
  <si>
    <t xml:space="preserve">CBAG239</t>
  </si>
  <si>
    <t xml:space="preserve">CBAG240</t>
  </si>
  <si>
    <t xml:space="preserve">CBAG241HD</t>
  </si>
  <si>
    <t xml:space="preserve">CBAG30</t>
  </si>
  <si>
    <t xml:space="preserve">CBAG50</t>
  </si>
  <si>
    <t xml:space="preserve">CF4OZWD</t>
  </si>
  <si>
    <t xml:space="preserve">CF8OZWD</t>
  </si>
  <si>
    <t xml:space="preserve">CJ16OZPP</t>
  </si>
  <si>
    <t xml:space="preserve">CJ16OZPPL</t>
  </si>
  <si>
    <t xml:space="preserve">CJ4OZWCD</t>
  </si>
  <si>
    <t xml:space="preserve">CJ500MLSPC</t>
  </si>
  <si>
    <t xml:space="preserve">CN 3 PALLET</t>
  </si>
  <si>
    <t xml:space="preserve">CONTAINER</t>
  </si>
  <si>
    <t xml:space="preserve">CPTLGCD</t>
  </si>
  <si>
    <t xml:space="preserve">CT12X12D</t>
  </si>
  <si>
    <t xml:space="preserve">CT12X8OZF</t>
  </si>
  <si>
    <t xml:space="preserve">CT14X8X8D</t>
  </si>
  <si>
    <t xml:space="preserve">CT1GUND</t>
  </si>
  <si>
    <t xml:space="preserve">CT2X14GD</t>
  </si>
  <si>
    <t xml:space="preserve">CT2X14GPD</t>
  </si>
  <si>
    <t xml:space="preserve">CT2X1PET</t>
  </si>
  <si>
    <t xml:space="preserve">CT2X1R</t>
  </si>
  <si>
    <t xml:space="preserve">CT2X1RUS</t>
  </si>
  <si>
    <t xml:space="preserve">CT4CNPD</t>
  </si>
  <si>
    <t xml:space="preserve">CT4X.5R</t>
  </si>
  <si>
    <t xml:space="preserve">CT4X1B4GD</t>
  </si>
  <si>
    <t xml:space="preserve">CT4X1PR</t>
  </si>
  <si>
    <t xml:space="preserve">YES — ROP set, consider zeroing out</t>
  </si>
  <si>
    <t xml:space="preserve">CT4X1RSCL</t>
  </si>
  <si>
    <t xml:space="preserve">CT4X4X4D</t>
  </si>
  <si>
    <t xml:space="preserve">CT5GUNAD</t>
  </si>
  <si>
    <t xml:space="preserve">CT8X20FLOZ</t>
  </si>
  <si>
    <t xml:space="preserve">CT8X32OZF</t>
  </si>
  <si>
    <t xml:space="preserve">CT8X610</t>
  </si>
  <si>
    <t xml:space="preserve">CT8X910</t>
  </si>
  <si>
    <t xml:space="preserve">CTCA1GT</t>
  </si>
  <si>
    <t xml:space="preserve">CTCA5CR4X1R</t>
  </si>
  <si>
    <t xml:space="preserve">CTCAPK1861G</t>
  </si>
  <si>
    <t xml:space="preserve">CTCAPK62G</t>
  </si>
  <si>
    <t xml:space="preserve">CTCAPK82GT</t>
  </si>
  <si>
    <t xml:space="preserve">CTDIV12QTP</t>
  </si>
  <si>
    <t xml:space="preserve">CTDIV2OZ</t>
  </si>
  <si>
    <t xml:space="preserve">CTDIV6OZ</t>
  </si>
  <si>
    <t xml:space="preserve">CTIPD</t>
  </si>
  <si>
    <t xml:space="preserve">CTPADTHK</t>
  </si>
  <si>
    <t xml:space="preserve">CTPADTHN</t>
  </si>
  <si>
    <t xml:space="preserve">CTR02N1Z67</t>
  </si>
  <si>
    <t xml:space="preserve">CTRO2N1905</t>
  </si>
  <si>
    <t xml:space="preserve">CTRO349323</t>
  </si>
  <si>
    <t xml:space="preserve">CTRUN12QTP</t>
  </si>
  <si>
    <t xml:space="preserve">CTUN12QTP</t>
  </si>
  <si>
    <t xml:space="preserve">CTUN1X1F</t>
  </si>
  <si>
    <t xml:space="preserve">CTUN1X1R</t>
  </si>
  <si>
    <t xml:space="preserve">CTUN2X1P</t>
  </si>
  <si>
    <t xml:space="preserve">CTUN2X1PAF</t>
  </si>
  <si>
    <t xml:space="preserve">CTUN2X1QR</t>
  </si>
  <si>
    <t xml:space="preserve">CTUN2X1U</t>
  </si>
  <si>
    <t xml:space="preserve">CTUN2X1UI</t>
  </si>
  <si>
    <t xml:space="preserve">CTUN4X1H</t>
  </si>
  <si>
    <t xml:space="preserve">CTUN4X4LTF</t>
  </si>
  <si>
    <t xml:space="preserve">CTUN6X1Q</t>
  </si>
  <si>
    <t xml:space="preserve">CTUNOZP</t>
  </si>
  <si>
    <t xml:space="preserve">CTUNX34S</t>
  </si>
  <si>
    <t xml:space="preserve">CTUNY40</t>
  </si>
  <si>
    <t xml:space="preserve">CWC584246</t>
  </si>
  <si>
    <t xml:space="preserve">DRUMS</t>
  </si>
  <si>
    <t xml:space="preserve">E 02</t>
  </si>
  <si>
    <t xml:space="preserve">E 05</t>
  </si>
  <si>
    <t xml:space="preserve">E 06</t>
  </si>
  <si>
    <t xml:space="preserve">E 08</t>
  </si>
  <si>
    <t xml:space="preserve">E 09</t>
  </si>
  <si>
    <t xml:space="preserve">E 10</t>
  </si>
  <si>
    <t xml:space="preserve">E 11</t>
  </si>
  <si>
    <t xml:space="preserve">E 12</t>
  </si>
  <si>
    <t xml:space="preserve">E 13</t>
  </si>
  <si>
    <t xml:space="preserve">E 14</t>
  </si>
  <si>
    <t xml:space="preserve">E 16</t>
  </si>
  <si>
    <t xml:space="preserve">E 17</t>
  </si>
  <si>
    <t xml:space="preserve">E 19</t>
  </si>
  <si>
    <t xml:space="preserve">E 20</t>
  </si>
  <si>
    <t xml:space="preserve">E 21</t>
  </si>
  <si>
    <t xml:space="preserve">E 24</t>
  </si>
  <si>
    <t xml:space="preserve">E 25</t>
  </si>
  <si>
    <t xml:space="preserve">E 26</t>
  </si>
  <si>
    <t xml:space="preserve">E 27</t>
  </si>
  <si>
    <t xml:space="preserve">E 28</t>
  </si>
  <si>
    <t xml:space="preserve">E 29</t>
  </si>
  <si>
    <t xml:space="preserve">E 30</t>
  </si>
  <si>
    <t xml:space="preserve">E 31</t>
  </si>
  <si>
    <t xml:space="preserve">E 32</t>
  </si>
  <si>
    <t xml:space="preserve">E 36</t>
  </si>
  <si>
    <t xml:space="preserve">E 37</t>
  </si>
  <si>
    <t xml:space="preserve">E 38</t>
  </si>
  <si>
    <t xml:space="preserve">E 39</t>
  </si>
  <si>
    <t xml:space="preserve">E 40</t>
  </si>
  <si>
    <t xml:space="preserve">E 41</t>
  </si>
  <si>
    <t xml:space="preserve">E 42</t>
  </si>
  <si>
    <t xml:space="preserve">E 43</t>
  </si>
  <si>
    <t xml:space="preserve">E 44</t>
  </si>
  <si>
    <t xml:space="preserve">E 45</t>
  </si>
  <si>
    <t xml:space="preserve">E 48</t>
  </si>
  <si>
    <t xml:space="preserve">E 49</t>
  </si>
  <si>
    <t xml:space="preserve">E 50</t>
  </si>
  <si>
    <t xml:space="preserve">E 51</t>
  </si>
  <si>
    <t xml:space="preserve">E 52</t>
  </si>
  <si>
    <t xml:space="preserve">E 53</t>
  </si>
  <si>
    <t xml:space="preserve">E-10</t>
  </si>
  <si>
    <t xml:space="preserve">E-11</t>
  </si>
  <si>
    <t xml:space="preserve">E-6</t>
  </si>
  <si>
    <t xml:space="preserve">E-7</t>
  </si>
  <si>
    <t xml:space="preserve">E-9</t>
  </si>
  <si>
    <t xml:space="preserve">FR16</t>
  </si>
  <si>
    <t xml:space="preserve">FR17</t>
  </si>
  <si>
    <t xml:space="preserve">REW</t>
  </si>
  <si>
    <t xml:space="preserve">FR18</t>
  </si>
  <si>
    <t xml:space="preserve">FR19</t>
  </si>
  <si>
    <t xml:space="preserve">FR20</t>
  </si>
  <si>
    <t xml:space="preserve">FR21</t>
  </si>
  <si>
    <t xml:space="preserve">FR22</t>
  </si>
  <si>
    <t xml:space="preserve">FR23</t>
  </si>
  <si>
    <t xml:space="preserve">FR24</t>
  </si>
  <si>
    <t xml:space="preserve">FR25</t>
  </si>
  <si>
    <t xml:space="preserve">FR26</t>
  </si>
  <si>
    <t xml:space="preserve">FR27</t>
  </si>
  <si>
    <t xml:space="preserve">FR30</t>
  </si>
  <si>
    <t xml:space="preserve">FR31</t>
  </si>
  <si>
    <t xml:space="preserve">FR32</t>
  </si>
  <si>
    <t xml:space="preserve">FR33</t>
  </si>
  <si>
    <t xml:space="preserve">FR34</t>
  </si>
  <si>
    <t xml:space="preserve">FR35</t>
  </si>
  <si>
    <t xml:space="preserve">FR36</t>
  </si>
  <si>
    <t xml:space="preserve">FR37</t>
  </si>
  <si>
    <t xml:space="preserve">FR40</t>
  </si>
  <si>
    <t xml:space="preserve">IM4D-01</t>
  </si>
  <si>
    <t xml:space="preserve">IM4D-03</t>
  </si>
  <si>
    <t xml:space="preserve">IM4D-04</t>
  </si>
  <si>
    <t xml:space="preserve">IM4D-05</t>
  </si>
  <si>
    <t xml:space="preserve">IM4D-06</t>
  </si>
  <si>
    <t xml:space="preserve">IM4G</t>
  </si>
  <si>
    <t xml:space="preserve">IM4G-RETTANG.</t>
  </si>
  <si>
    <t xml:space="preserve">IMP-CP3</t>
  </si>
  <si>
    <t xml:space="preserve">IMP-CP3NOFUMIG</t>
  </si>
  <si>
    <t xml:space="preserve">IMP-EURO</t>
  </si>
  <si>
    <t xml:space="preserve">LOGOWRP</t>
  </si>
  <si>
    <t xml:space="preserve">PAL3636D</t>
  </si>
  <si>
    <t xml:space="preserve">PAL4048D</t>
  </si>
  <si>
    <t xml:space="preserve">PAL4242HD</t>
  </si>
  <si>
    <t xml:space="preserve">PAL4242HT</t>
  </si>
  <si>
    <t xml:space="preserve">PAL4840H</t>
  </si>
  <si>
    <t xml:space="preserve">PAL4840HD</t>
  </si>
  <si>
    <t xml:space="preserve">PAL4840HGB</t>
  </si>
  <si>
    <t xml:space="preserve">PAL4840HT</t>
  </si>
  <si>
    <t xml:space="preserve">PAL4848D</t>
  </si>
  <si>
    <t xml:space="preserve">PAL4848H</t>
  </si>
  <si>
    <t xml:space="preserve">PAL4848HGB</t>
  </si>
  <si>
    <t xml:space="preserve">PALLET</t>
  </si>
  <si>
    <t xml:space="preserve">PALLET-K10</t>
  </si>
  <si>
    <t xml:space="preserve">PALLET-K20</t>
  </si>
  <si>
    <t xml:space="preserve">PALLET-K30</t>
  </si>
  <si>
    <t xml:space="preserve">PIC108</t>
  </si>
  <si>
    <t xml:space="preserve">PIC116</t>
  </si>
  <si>
    <t xml:space="preserve">PIC121</t>
  </si>
  <si>
    <t xml:space="preserve">PIC123W</t>
  </si>
  <si>
    <t xml:space="preserve">PIC140</t>
  </si>
  <si>
    <t xml:space="preserve">PIC16OZAD</t>
  </si>
  <si>
    <t xml:space="preserve">PIC16OZAPD</t>
  </si>
  <si>
    <t xml:space="preserve">PIC16OZD</t>
  </si>
  <si>
    <t xml:space="preserve">PIC44</t>
  </si>
  <si>
    <t xml:space="preserve">PLD14</t>
  </si>
  <si>
    <t xml:space="preserve">PLD141</t>
  </si>
  <si>
    <t xml:space="preserve">PLD24</t>
  </si>
  <si>
    <t xml:space="preserve">PLD31W</t>
  </si>
  <si>
    <t xml:space="preserve">PLD39</t>
  </si>
  <si>
    <t xml:space="preserve">PLD54</t>
  </si>
  <si>
    <t xml:space="preserve">POCL120</t>
  </si>
  <si>
    <t xml:space="preserve">POCL133</t>
  </si>
  <si>
    <t xml:space="preserve">POCL141</t>
  </si>
  <si>
    <t xml:space="preserve">POCL142</t>
  </si>
  <si>
    <t xml:space="preserve">POM196</t>
  </si>
  <si>
    <t xml:space="preserve">PPS7</t>
  </si>
  <si>
    <t xml:space="preserve">RLALD</t>
  </si>
  <si>
    <t xml:space="preserve">RLGLPC</t>
  </si>
  <si>
    <t xml:space="preserve">RLGLPMC</t>
  </si>
  <si>
    <t xml:space="preserve">STRCHWRP90</t>
  </si>
  <si>
    <t xml:space="preserve">SW022</t>
  </si>
  <si>
    <t xml:space="preserve">SW023</t>
  </si>
  <si>
    <t xml:space="preserve">SW024</t>
  </si>
  <si>
    <t xml:space="preserve">SW025</t>
  </si>
  <si>
    <t xml:space="preserve">SW030</t>
  </si>
  <si>
    <t xml:space="preserve">SW032</t>
  </si>
  <si>
    <t xml:space="preserve">SW033</t>
  </si>
  <si>
    <t xml:space="preserve">SW035</t>
  </si>
  <si>
    <t xml:space="preserve">SW036</t>
  </si>
  <si>
    <t xml:space="preserve">SW038</t>
  </si>
  <si>
    <t xml:space="preserve">SW039</t>
  </si>
  <si>
    <t xml:space="preserve">SW040</t>
  </si>
  <si>
    <t xml:space="preserve">SW107</t>
  </si>
  <si>
    <t xml:space="preserve">SW109</t>
  </si>
  <si>
    <t xml:space="preserve">SW132</t>
  </si>
  <si>
    <t xml:space="preserve">SW135</t>
  </si>
  <si>
    <t xml:space="preserve">SW209</t>
  </si>
  <si>
    <t xml:space="preserve">SW210</t>
  </si>
  <si>
    <t xml:space="preserve">SW214</t>
  </si>
  <si>
    <t xml:space="preserve">SW215</t>
  </si>
  <si>
    <t xml:space="preserve">SW222</t>
  </si>
  <si>
    <t xml:space="preserve">SW223</t>
  </si>
  <si>
    <t xml:space="preserve">SW304</t>
  </si>
  <si>
    <t xml:space="preserve">SW342</t>
  </si>
  <si>
    <t xml:space="preserve">SW4X14GD</t>
  </si>
  <si>
    <t xml:space="preserve">SW501</t>
  </si>
  <si>
    <t xml:space="preserve">SW502</t>
  </si>
  <si>
    <t xml:space="preserve">SW503</t>
  </si>
  <si>
    <t xml:space="preserve">SW504</t>
  </si>
  <si>
    <t xml:space="preserve">SWABD</t>
  </si>
  <si>
    <t xml:space="preserve">SWCGBD</t>
  </si>
  <si>
    <t xml:space="preserve">T275STON</t>
  </si>
  <si>
    <t xml:space="preserve">T275UN31</t>
  </si>
  <si>
    <t xml:space="preserve">T325UN31</t>
  </si>
  <si>
    <t xml:space="preserve">T325UN31FAKE</t>
  </si>
  <si>
    <t xml:space="preserve">T330GD</t>
  </si>
  <si>
    <t xml:space="preserve">TAPEMACH</t>
  </si>
  <si>
    <t xml:space="preserve">TAPEPPSTCN</t>
  </si>
  <si>
    <t xml:space="preserve">TMS350</t>
  </si>
  <si>
    <t xml:space="preserve">TSS350UN</t>
  </si>
  <si>
    <t xml:space="preserve">TUBE2.25D</t>
  </si>
  <si>
    <t xml:space="preserve">TUBE8D</t>
  </si>
  <si>
    <t xml:space="preserve">TUBE8PLUGD</t>
  </si>
  <si>
    <t xml:space="preserve">TWB330</t>
  </si>
  <si>
    <t xml:space="preserve">X-001</t>
  </si>
  <si>
    <t xml:space="preserve">X-002</t>
  </si>
  <si>
    <t xml:space="preserve">X-003</t>
  </si>
  <si>
    <t xml:space="preserve">X-004</t>
  </si>
  <si>
    <t xml:space="preserve">X-005</t>
  </si>
  <si>
    <t xml:space="preserve">CS112</t>
  </si>
  <si>
    <t xml:space="preserve">Stabilizer</t>
  </si>
  <si>
    <t xml:space="preserve">ZERO RECENT CONSUMPTION — verify with Pat</t>
  </si>
  <si>
    <t xml:space="preserve">CM1206</t>
  </si>
  <si>
    <t xml:space="preserve">Defoamer (Silicone)</t>
  </si>
  <si>
    <t xml:space="preserve">SLOW MOVER — consumed in 2021-2023 (last: 2022), then dropped to zero. Check if reformulated or discontinued.</t>
  </si>
  <si>
    <t xml:space="preserve">H274</t>
  </si>
  <si>
    <t xml:space="preserve">Additive - Thickener</t>
  </si>
  <si>
    <t xml:space="preserve">CM1061</t>
  </si>
  <si>
    <t xml:space="preserve">Toluhydroquinone</t>
  </si>
  <si>
    <t xml:space="preserve">PCC6097</t>
  </si>
  <si>
    <t xml:space="preserve">Yellow Epoxy Dispersion</t>
  </si>
  <si>
    <t xml:space="preserve">W87F</t>
  </si>
  <si>
    <t xml:space="preserve">Zinc Oxide</t>
  </si>
  <si>
    <t xml:space="preserve">SLOW MOVER — consumed in 2021-2023 (last: 2023), then dropped to zero. Check if reformulated or discontinued.</t>
  </si>
  <si>
    <t xml:space="preserve">PAYD5035</t>
  </si>
  <si>
    <t xml:space="preserve">Tint-Ayd CW 5611 (Red Paste)</t>
  </si>
  <si>
    <t xml:space="preserve">CM1059</t>
  </si>
  <si>
    <t xml:space="preserve">Phenothiazine</t>
  </si>
  <si>
    <t xml:space="preserve">PVOC1015</t>
  </si>
  <si>
    <t xml:space="preserve">0-VOC Blue Dispersion</t>
  </si>
  <si>
    <t xml:space="preserve">CM951</t>
  </si>
  <si>
    <t xml:space="preserve">Fatty Amine Surfactant</t>
  </si>
  <si>
    <t xml:space="preserve">SLOW MOVER — consumed in 2021-2023 (last: 2021), then dropped to zero. Check if reformulated or discontinued.</t>
  </si>
  <si>
    <t xml:space="preserve">CM569</t>
  </si>
  <si>
    <t xml:space="preserve">Additive - Anti-Microbial</t>
  </si>
  <si>
    <t xml:space="preserve">CM1065</t>
  </si>
  <si>
    <t xml:space="preserve">Additive-Defoamer</t>
  </si>
  <si>
    <t xml:space="preserve">PAYD1015</t>
  </si>
  <si>
    <t xml:space="preserve">WB Dispersion - Blue</t>
  </si>
  <si>
    <t xml:space="preserve">CM499</t>
  </si>
  <si>
    <t xml:space="preserve">Wax Additive</t>
  </si>
  <si>
    <t xml:space="preserve">CS111</t>
  </si>
  <si>
    <t xml:space="preserve">Acrylate</t>
  </si>
  <si>
    <t xml:space="preserve">PDEP1146</t>
  </si>
  <si>
    <t xml:space="preserve">Pigment Dispersion-Blue</t>
  </si>
  <si>
    <t xml:space="preserve">CM1159</t>
  </si>
  <si>
    <t xml:space="preserve">Fragrance Additive</t>
  </si>
  <si>
    <t xml:space="preserve">T122</t>
  </si>
  <si>
    <t xml:space="preserve">Iso-butyl alcohol</t>
  </si>
  <si>
    <t xml:space="preserve">CM514</t>
  </si>
  <si>
    <t xml:space="preserve">Additive</t>
  </si>
  <si>
    <t xml:space="preserve">PAC9020</t>
  </si>
  <si>
    <t xml:space="preserve">Dispersion - Black</t>
  </si>
  <si>
    <t xml:space="preserve">PED9000</t>
  </si>
  <si>
    <t xml:space="preserve">Black Dispersion - Epoxy</t>
  </si>
  <si>
    <t xml:space="preserve">PVOC5035</t>
  </si>
  <si>
    <t xml:space="preserve">0-VOC Red Oxide Dispersion</t>
  </si>
  <si>
    <t xml:space="preserve">SLOW MOVER — consumed in 2021-2023 (last: 2026), then dropped to zero. Check if reformulated or discontinued.</t>
  </si>
  <si>
    <t xml:space="preserve">CM1057</t>
  </si>
  <si>
    <t xml:space="preserve">Diethylaniline</t>
  </si>
  <si>
    <t xml:space="preserve">CM931</t>
  </si>
  <si>
    <t xml:space="preserve">Defoamer</t>
  </si>
  <si>
    <t xml:space="preserve">CM778</t>
  </si>
  <si>
    <t xml:space="preserve">FC9908</t>
  </si>
  <si>
    <t xml:space="preserve">WB Black Dispersion</t>
  </si>
  <si>
    <t xml:space="preserve">CM1202</t>
  </si>
  <si>
    <t xml:space="preserve">Additive-Thixotrope</t>
  </si>
  <si>
    <t xml:space="preserve">CM647</t>
  </si>
  <si>
    <t xml:space="preserve">CT1X5WLN</t>
  </si>
  <si>
    <t xml:space="preserve">Carton/liner for 5 gallon pail</t>
  </si>
  <si>
    <t xml:space="preserve">CTUN4X1F</t>
  </si>
  <si>
    <t xml:space="preserve">4x1 UN ctn F style (white)</t>
  </si>
  <si>
    <t xml:space="preserve">CM529</t>
  </si>
  <si>
    <t xml:space="preserve">Additive - Surfactant</t>
  </si>
  <si>
    <t xml:space="preserve">CT4X1RSC</t>
  </si>
  <si>
    <t xml:space="preserve">4X1 Gallon Carton</t>
  </si>
  <si>
    <t xml:space="preserve">B92</t>
  </si>
  <si>
    <t xml:space="preserve">Black Pigment</t>
  </si>
  <si>
    <t xml:space="preserve">PCC1015</t>
  </si>
  <si>
    <t xml:space="preserve">Blue Epoxy Dispersion</t>
  </si>
  <si>
    <t xml:space="preserve">PUX5035</t>
  </si>
  <si>
    <t xml:space="preserve">Dispersion - Polyol (Red)</t>
  </si>
  <si>
    <t xml:space="preserve">PUX0550</t>
  </si>
  <si>
    <t xml:space="preserve">Red Dispersion - Polyol</t>
  </si>
  <si>
    <t xml:space="preserve">PUX1015</t>
  </si>
  <si>
    <t xml:space="preserve">Blue Dispersion - Polyol</t>
  </si>
  <si>
    <t xml:space="preserve">PUX6180</t>
  </si>
  <si>
    <t xml:space="preserve">Yellow Dispersion - Polyol</t>
  </si>
  <si>
    <t xml:space="preserve">CM830</t>
  </si>
  <si>
    <t xml:space="preserve">Hydrophobic Acrylic Copolymer</t>
  </si>
  <si>
    <t xml:space="preserve">C5500N</t>
  </si>
  <si>
    <t xml:space="preserve">55 gal Blk/White Tighthead Unl</t>
  </si>
  <si>
    <t xml:space="preserve">CM1073</t>
  </si>
  <si>
    <t xml:space="preserve">PAC3013</t>
  </si>
  <si>
    <t xml:space="preserve">Dispersion - Green</t>
  </si>
  <si>
    <t xml:space="preserve">C55UN1A1RE</t>
  </si>
  <si>
    <t xml:space="preserve">55 Gal/Unlined/RED/T.H./2 Bung</t>
  </si>
  <si>
    <t xml:space="preserve">PUX6006</t>
  </si>
  <si>
    <t xml:space="preserve">Yellow Dispersion-Polyol</t>
  </si>
  <si>
    <t xml:space="preserve">CM1141</t>
  </si>
  <si>
    <t xml:space="preserve">Polyamide Thixotrope</t>
  </si>
  <si>
    <t xml:space="preserve">T275STRTH</t>
  </si>
  <si>
    <t xml:space="preserve">Tote Tank 275 gallon plastic</t>
  </si>
  <si>
    <t xml:space="preserve">CM1153</t>
  </si>
  <si>
    <t xml:space="preserve">C55UN1A2C3</t>
  </si>
  <si>
    <t xml:space="preserve">Cover w/3 bungs/C55UN1A2DR</t>
  </si>
  <si>
    <t xml:space="preserve">CM525</t>
  </si>
  <si>
    <t xml:space="preserve">PDI1025</t>
  </si>
  <si>
    <t xml:space="preserve">Blue Tint Paste</t>
  </si>
  <si>
    <t xml:space="preserve">Y99</t>
  </si>
  <si>
    <t xml:space="preserve">Yellow Oxide Pigment</t>
  </si>
  <si>
    <t xml:space="preserve">PUX9015</t>
  </si>
  <si>
    <t xml:space="preserve">Dispersion - Polyol (Black)</t>
  </si>
  <si>
    <t xml:space="preserve">PCC9020</t>
  </si>
  <si>
    <t xml:space="preserve">Black Epoxy Dispersion</t>
  </si>
  <si>
    <t xml:space="preserve">FC1027</t>
  </si>
  <si>
    <t xml:space="preserve">WB Blue Dispersion</t>
  </si>
  <si>
    <t xml:space="preserve">D60</t>
  </si>
  <si>
    <t xml:space="preserve">Drier</t>
  </si>
  <si>
    <t xml:space="preserve">D50</t>
  </si>
  <si>
    <t xml:space="preserve">Zirconium 12%</t>
  </si>
  <si>
    <t xml:space="preserve">H290</t>
  </si>
  <si>
    <t xml:space="preserve">Aramid Fiber</t>
  </si>
  <si>
    <t xml:space="preserve">CS1008</t>
  </si>
  <si>
    <t xml:space="preserve">Salicylic Acid</t>
  </si>
  <si>
    <t xml:space="preserve">CT4X1RSCLQ</t>
  </si>
  <si>
    <t xml:space="preserve">4X1 GL CTN WITH LTDQTY MARK (T</t>
  </si>
  <si>
    <t xml:space="preserve">C55LN1A2</t>
  </si>
  <si>
    <t xml:space="preserve">55gal oh un1a2y1.8/100 lined</t>
  </si>
  <si>
    <t xml:space="preserve">T1003</t>
  </si>
  <si>
    <t xml:space="preserve">Alcohol</t>
  </si>
  <si>
    <t xml:space="preserve">CS110</t>
  </si>
  <si>
    <t xml:space="preserve">Additive - Peroxide</t>
  </si>
  <si>
    <t xml:space="preserve">CM703</t>
  </si>
  <si>
    <t xml:space="preserve">Curing Agent - Amine</t>
  </si>
  <si>
    <t xml:space="preserve">CM1150</t>
  </si>
  <si>
    <t xml:space="preserve">Thixotrope</t>
  </si>
  <si>
    <t xml:space="preserve">RS835</t>
  </si>
  <si>
    <t xml:space="preserve">Epoxy Polymer</t>
  </si>
  <si>
    <t xml:space="preserve">CM1117</t>
  </si>
  <si>
    <t xml:space="preserve">G41F</t>
  </si>
  <si>
    <t xml:space="preserve">Pigment - Green</t>
  </si>
  <si>
    <t xml:space="preserve">CM1142</t>
  </si>
  <si>
    <t xml:space="preserve">Dispersant</t>
  </si>
  <si>
    <t xml:space="preserve">PAYD9015</t>
  </si>
  <si>
    <t xml:space="preserve">Tint-Ayd FC 4318 (Black Paste)</t>
  </si>
  <si>
    <t xml:space="preserve">CM1134</t>
  </si>
  <si>
    <t xml:space="preserve">Organoclay</t>
  </si>
  <si>
    <t xml:space="preserve">CM1064</t>
  </si>
  <si>
    <t xml:space="preserve">CM427</t>
  </si>
  <si>
    <t xml:space="preserve">Rheology Additive</t>
  </si>
  <si>
    <t xml:space="preserve">PCC0550</t>
  </si>
  <si>
    <t xml:space="preserve">Red Epoxy Dispersion</t>
  </si>
  <si>
    <t xml:space="preserve">C05GLGPPD</t>
  </si>
  <si>
    <t xml:space="preserve">5 GL GRAY_HDPE_OH PAIL</t>
  </si>
  <si>
    <t xml:space="preserve">C3.5GPPCD</t>
  </si>
  <si>
    <t xml:space="preserve">3.5-6 GAL GRAY HDPE COVER UN</t>
  </si>
  <si>
    <t xml:space="preserve">C3.5GPPD</t>
  </si>
  <si>
    <t xml:space="preserve">3.5 GAL GRAY HDPE OH PAIL</t>
  </si>
  <si>
    <t xml:space="preserve">C3.5WPPCGD</t>
  </si>
  <si>
    <t xml:space="preserve">3.5-6GL WHT HDPE COVER UN GSKT</t>
  </si>
  <si>
    <t xml:space="preserve">PED3025</t>
  </si>
  <si>
    <t xml:space="preserve">Dispersion - Epoxy (Green)</t>
  </si>
  <si>
    <t xml:space="preserve">CM1223</t>
  </si>
  <si>
    <t xml:space="preserve">Additive/Stabilizer</t>
  </si>
  <si>
    <t xml:space="preserve">CM984</t>
  </si>
  <si>
    <t xml:space="preserve">Waterborne Dispersing Agent</t>
  </si>
  <si>
    <t xml:space="preserve">CM850</t>
  </si>
  <si>
    <t xml:space="preserve">CM1052</t>
  </si>
  <si>
    <t xml:space="preserve">L45F</t>
  </si>
  <si>
    <t xml:space="preserve">Pigment - Blue</t>
  </si>
  <si>
    <t xml:space="preserve">C30UNTHB</t>
  </si>
  <si>
    <t xml:space="preserve">30 Gallon Steel Tight Head Dru</t>
  </si>
  <si>
    <t xml:space="preserve">CM502F</t>
  </si>
  <si>
    <t xml:space="preserve">Cellulosic Thickener</t>
  </si>
  <si>
    <t xml:space="preserve">C01OBSPC</t>
  </si>
  <si>
    <t xml:space="preserve">1 Gal F Style Oblong Can</t>
  </si>
  <si>
    <t xml:space="preserve">C01OBSPCC</t>
  </si>
  <si>
    <t xml:space="preserve">1 Gal F Style Oblong Can Cap</t>
  </si>
  <si>
    <t xml:space="preserve">Y120</t>
  </si>
  <si>
    <t xml:space="preserve">Yellow Pigment</t>
  </si>
  <si>
    <t xml:space="preserve">RH252</t>
  </si>
  <si>
    <t xml:space="preserve">Styrene Butadiene Polymer</t>
  </si>
  <si>
    <t xml:space="preserve">CM941</t>
  </si>
  <si>
    <t xml:space="preserve">CM688</t>
  </si>
  <si>
    <t xml:space="preserve">CM1248</t>
  </si>
  <si>
    <t xml:space="preserve">CM935</t>
  </si>
  <si>
    <t xml:space="preserve">CM939</t>
  </si>
  <si>
    <t xml:space="preserve">W95</t>
  </si>
  <si>
    <t xml:space="preserve">Corrosion Inhibitor</t>
  </si>
  <si>
    <t xml:space="preserve">H297</t>
  </si>
  <si>
    <t xml:space="preserve">Filler - Glass Fiber</t>
  </si>
  <si>
    <t xml:space="preserve">Z117</t>
  </si>
  <si>
    <t xml:space="preserve">Filler - Coated Mica</t>
  </si>
  <si>
    <t xml:space="preserve">CM1053</t>
  </si>
  <si>
    <t xml:space="preserve">D53</t>
  </si>
  <si>
    <t xml:space="preserve">Cobalt Drier</t>
  </si>
  <si>
    <t xml:space="preserve">PUX8035</t>
  </si>
  <si>
    <t xml:space="preserve">Dispersion - Polyol (White)</t>
  </si>
  <si>
    <t xml:space="preserve">RS963</t>
  </si>
  <si>
    <t xml:space="preserve">VT Modified Alkyd</t>
  </si>
  <si>
    <t xml:space="preserve">H388</t>
  </si>
  <si>
    <t xml:space="preserve">Polymeric Wax</t>
  </si>
  <si>
    <t xml:space="preserve">H400</t>
  </si>
  <si>
    <t xml:space="preserve">Glass Bubbles</t>
  </si>
  <si>
    <t xml:space="preserve">RS878</t>
  </si>
  <si>
    <t xml:space="preserve">Polymer - Epoxy</t>
  </si>
  <si>
    <t xml:space="preserve">CM1158</t>
  </si>
  <si>
    <t xml:space="preserve">CS40</t>
  </si>
  <si>
    <t xml:space="preserve">Phosphoric Acid 85%</t>
  </si>
  <si>
    <t xml:space="preserve">H457</t>
  </si>
  <si>
    <t xml:space="preserve">Filler - Clay</t>
  </si>
  <si>
    <t xml:space="preserve">R123</t>
  </si>
  <si>
    <t xml:space="preserve">Pigment Red Iron Oxide</t>
  </si>
  <si>
    <t xml:space="preserve">CM1164</t>
  </si>
  <si>
    <t xml:space="preserve">Anti-Corrosive Pigment</t>
  </si>
  <si>
    <t xml:space="preserve">CM1157</t>
  </si>
  <si>
    <t xml:space="preserve">C2.5-7CRPD</t>
  </si>
  <si>
    <t xml:space="preserve">2.5-7GL GRYCLR PHEN STEELRIEKE</t>
  </si>
  <si>
    <t xml:space="preserve">T85</t>
  </si>
  <si>
    <t xml:space="preserve">M-Pyrol</t>
  </si>
  <si>
    <t xml:space="preserve">Y137</t>
  </si>
  <si>
    <t xml:space="preserve">Pigment-Yellow</t>
  </si>
  <si>
    <t xml:space="preserve">H280</t>
  </si>
  <si>
    <t xml:space="preserve">Filler - Iron Powder</t>
  </si>
  <si>
    <t xml:space="preserve">CM1017</t>
  </si>
  <si>
    <t xml:space="preserve">Peroxide</t>
  </si>
  <si>
    <t xml:space="preserve">H324F</t>
  </si>
  <si>
    <t xml:space="preserve">Crystalline Silica</t>
  </si>
  <si>
    <t xml:space="preserve">C03UWSC</t>
  </si>
  <si>
    <t xml:space="preserve">Cover for 3 gl pail, screw cap</t>
  </si>
  <si>
    <t xml:space="preserve">Y122</t>
  </si>
  <si>
    <t xml:space="preserve">H203F</t>
  </si>
  <si>
    <t xml:space="preserve">Perlite</t>
  </si>
  <si>
    <t xml:space="preserve">PHT0550</t>
  </si>
  <si>
    <t xml:space="preserve">Red Dispersion</t>
  </si>
  <si>
    <t xml:space="preserve">RH275</t>
  </si>
  <si>
    <t xml:space="preserve">Chlorinated Rubber</t>
  </si>
  <si>
    <t xml:space="preserve">SW028</t>
  </si>
  <si>
    <t xml:space="preserve">Type 5AR Bag Label</t>
  </si>
  <si>
    <t xml:space="preserve">H265</t>
  </si>
  <si>
    <t xml:space="preserve">Filler - Aggregate</t>
  </si>
  <si>
    <t xml:space="preserve">CT10X5X5D</t>
  </si>
  <si>
    <t xml:space="preserve">10X5X5 BOX INDESTRUCTO</t>
  </si>
  <si>
    <t xml:space="preserve">RS706</t>
  </si>
  <si>
    <t xml:space="preserve">Hydrophobic Polyol</t>
  </si>
  <si>
    <t xml:space="preserve">T203</t>
  </si>
  <si>
    <t xml:space="preserve">Glycol Ether Solvent</t>
  </si>
  <si>
    <t xml:space="preserve">CM829F</t>
  </si>
  <si>
    <t xml:space="preserve">Additive - Polyphosphate</t>
  </si>
  <si>
    <t xml:space="preserve">H139</t>
  </si>
  <si>
    <t xml:space="preserve">Filler-Calcium Carbonate</t>
  </si>
  <si>
    <t xml:space="preserve">CJ4OZWD</t>
  </si>
  <si>
    <t xml:space="preserve">4 OZ WHT PP STRAIGHT SIDED JAR</t>
  </si>
  <si>
    <t xml:space="preserve">PIC80</t>
  </si>
  <si>
    <t xml:space="preserve">8-Oz White Polypropylene Jar</t>
  </si>
  <si>
    <t xml:space="preserve">PLD22</t>
  </si>
  <si>
    <t xml:space="preserve">70mm White Polypropylene Cap</t>
  </si>
  <si>
    <t xml:space="preserve">H287</t>
  </si>
  <si>
    <t xml:space="preserve">Filler-Aggregate</t>
  </si>
  <si>
    <t xml:space="preserve">SW114</t>
  </si>
  <si>
    <t xml:space="preserve">Type DK3 Pallet ID Tag</t>
  </si>
  <si>
    <t xml:space="preserve">RS363</t>
  </si>
  <si>
    <t xml:space="preserve">Hydrocarbon Resin</t>
  </si>
  <si>
    <t xml:space="preserve">CM384</t>
  </si>
  <si>
    <t xml:space="preserve">H1020</t>
  </si>
  <si>
    <t xml:space="preserve">Mica</t>
  </si>
  <si>
    <t xml:space="preserve">RS1058</t>
  </si>
  <si>
    <t xml:space="preserve">Resin-Polyester</t>
  </si>
  <si>
    <t xml:space="preserve">H1071</t>
  </si>
  <si>
    <t xml:space="preserve">Barium Sulfate</t>
  </si>
  <si>
    <t xml:space="preserve">RS934</t>
  </si>
  <si>
    <t xml:space="preserve">Resin-Acrylic</t>
  </si>
  <si>
    <t xml:space="preserve">RS936</t>
  </si>
  <si>
    <t xml:space="preserve">Med. Soya Oil Chain Stop Alkyd</t>
  </si>
  <si>
    <t xml:space="preserve">PAYD8035</t>
  </si>
  <si>
    <t xml:space="preserve">Tint-Ayd CW 5003 (White Paste)</t>
  </si>
  <si>
    <t xml:space="preserve">C03UBROZO</t>
  </si>
  <si>
    <t xml:space="preserve">3 GL UNL ZO</t>
  </si>
  <si>
    <t xml:space="preserve">H1039</t>
  </si>
  <si>
    <t xml:space="preserve">Aggregate</t>
  </si>
  <si>
    <t xml:space="preserve">RS480</t>
  </si>
  <si>
    <t xml:space="preserve">Polyether Polyol</t>
  </si>
  <si>
    <t xml:space="preserve">P79F</t>
  </si>
  <si>
    <t xml:space="preserve">Plasticizer</t>
  </si>
  <si>
    <t xml:space="preserve">CM883</t>
  </si>
  <si>
    <t xml:space="preserve">Polyamine Adduct Curing Agent</t>
  </si>
  <si>
    <t xml:space="preserve">H398</t>
  </si>
  <si>
    <t xml:space="preserve">Talc</t>
  </si>
  <si>
    <t xml:space="preserve">RS640</t>
  </si>
  <si>
    <t xml:space="preserve">Resin - Vinyl Ester</t>
  </si>
  <si>
    <t xml:space="preserve">CTUN4X1R</t>
  </si>
  <si>
    <t xml:space="preserve">4x1 UN approved ctn (white)</t>
  </si>
  <si>
    <t xml:space="preserve">H430</t>
  </si>
  <si>
    <t xml:space="preserve">Filler</t>
  </si>
  <si>
    <t xml:space="preserve">CM195</t>
  </si>
  <si>
    <t xml:space="preserve">Additive-Plasticizer</t>
  </si>
  <si>
    <t xml:space="preserve">H278</t>
  </si>
  <si>
    <t xml:space="preserve">Filler - Sand</t>
  </si>
  <si>
    <t xml:space="preserve">RS1087</t>
  </si>
  <si>
    <t xml:space="preserve">WR Alkyd Resin</t>
  </si>
  <si>
    <t xml:space="preserve">RS401</t>
  </si>
  <si>
    <t xml:space="preserve">WB Acrylic Resin</t>
  </si>
  <si>
    <t xml:space="preserve">RS1048</t>
  </si>
  <si>
    <t xml:space="preserve">Polyisocyanate</t>
  </si>
  <si>
    <t xml:space="preserve">RS721</t>
  </si>
  <si>
    <t xml:space="preserve">Resin - Polyol</t>
  </si>
  <si>
    <t xml:space="preserve">T121</t>
  </si>
  <si>
    <t xml:space="preserve">Solvent - Mixture</t>
  </si>
  <si>
    <t xml:space="preserve">CAPPLUGSD</t>
  </si>
  <si>
    <t xml:space="preserve">CAPPLUGS</t>
  </si>
  <si>
    <t xml:space="preserve">RH274</t>
  </si>
  <si>
    <t xml:space="preserve">CM1192</t>
  </si>
  <si>
    <t xml:space="preserve">H359</t>
  </si>
  <si>
    <t xml:space="preserve">Fumed Silica</t>
  </si>
  <si>
    <t xml:space="preserve">H352F</t>
  </si>
  <si>
    <t xml:space="preserve">Vinyl Copolymer</t>
  </si>
  <si>
    <t xml:space="preserve">RS1141</t>
  </si>
  <si>
    <t xml:space="preserve">Alkyd, Long-Oil</t>
  </si>
  <si>
    <t xml:space="preserve">CM1177</t>
  </si>
  <si>
    <t xml:space="preserve">H385</t>
  </si>
  <si>
    <t xml:space="preserve">Silica</t>
  </si>
  <si>
    <t xml:space="preserve">Z120</t>
  </si>
  <si>
    <t xml:space="preserve">CJ16OZWD</t>
  </si>
  <si>
    <t xml:space="preserve">16OZ WHT PP STRTSIDE JAR89-402</t>
  </si>
  <si>
    <t xml:space="preserve">RS527</t>
  </si>
  <si>
    <t xml:space="preserve">Resin-WB Acrylic</t>
  </si>
  <si>
    <t xml:space="preserve">RL412402</t>
  </si>
  <si>
    <t xml:space="preserve">Label For 412402, Rustoleum</t>
  </si>
  <si>
    <t xml:space="preserve">C910THGLP</t>
  </si>
  <si>
    <t xml:space="preserve">0.9 gallon round red pail</t>
  </si>
  <si>
    <t xml:space="preserve">C910THGLPL</t>
  </si>
  <si>
    <t xml:space="preserve">Lid for C910THGLP</t>
  </si>
  <si>
    <t xml:space="preserve">RS1122</t>
  </si>
  <si>
    <t xml:space="preserve">Liquid Epoxy Resin</t>
  </si>
  <si>
    <t xml:space="preserve">CM38</t>
  </si>
  <si>
    <t xml:space="preserve">RS840</t>
  </si>
  <si>
    <t xml:space="preserve">CM1199</t>
  </si>
  <si>
    <t xml:space="preserve">RS1074</t>
  </si>
  <si>
    <t xml:space="preserve">Resin</t>
  </si>
  <si>
    <t xml:space="preserve">P81</t>
  </si>
  <si>
    <t xml:space="preserve">CS107</t>
  </si>
  <si>
    <t xml:space="preserve">RH253F</t>
  </si>
  <si>
    <t xml:space="preserve">Styrene Acrylic Resin</t>
  </si>
  <si>
    <t xml:space="preserve">CM1215</t>
  </si>
  <si>
    <t xml:space="preserve">Additive - Anti Settling</t>
  </si>
  <si>
    <t xml:space="preserve">CTRO4N1323</t>
  </si>
  <si>
    <t xml:space="preserve">4-in carton to contain 4 1 gl</t>
  </si>
  <si>
    <t xml:space="preserve">RS1030</t>
  </si>
  <si>
    <t xml:space="preserve">Formaldehyde Polymer</t>
  </si>
  <si>
    <t xml:space="preserve">B87</t>
  </si>
  <si>
    <t xml:space="preserve">H292</t>
  </si>
  <si>
    <t xml:space="preserve">Aluminum Oxide</t>
  </si>
  <si>
    <t xml:space="preserve">CJ32OZWLD</t>
  </si>
  <si>
    <t xml:space="preserve">32OZ WHT ROUND WIDEMOUTH W/LID</t>
  </si>
  <si>
    <t xml:space="preserve">H284</t>
  </si>
  <si>
    <t xml:space="preserve">CM609</t>
  </si>
  <si>
    <t xml:space="preserve">Curing Agent-Polyamide</t>
  </si>
  <si>
    <t xml:space="preserve">RS964</t>
  </si>
  <si>
    <t xml:space="preserve">Medium Oil Alkyd</t>
  </si>
  <si>
    <t xml:space="preserve">RS1042</t>
  </si>
  <si>
    <t xml:space="preserve">Acrylic Resin</t>
  </si>
  <si>
    <t xml:space="preserve">RH260F</t>
  </si>
  <si>
    <t xml:space="preserve">Melamine GPH</t>
  </si>
  <si>
    <t xml:space="preserve">FC7718</t>
  </si>
  <si>
    <t xml:space="preserve">White Dispersion</t>
  </si>
  <si>
    <t xml:space="preserve">RS1085</t>
  </si>
  <si>
    <t xml:space="preserve">Alkyd Resin</t>
  </si>
  <si>
    <t xml:space="preserve">C03UROWHT</t>
  </si>
  <si>
    <t xml:space="preserve">3 GL Unlined White</t>
  </si>
  <si>
    <t xml:space="preserve">C03UROWHTC</t>
  </si>
  <si>
    <t xml:space="preserve">Cover for 3 GL Unlined White</t>
  </si>
  <si>
    <t xml:space="preserve">RH279</t>
  </si>
  <si>
    <t xml:space="preserve">Resinate Ca-Zn Salt</t>
  </si>
  <si>
    <t xml:space="preserve">C55LUOHSPC</t>
  </si>
  <si>
    <t xml:space="preserve">55 gl,open,black,white lid,SPC</t>
  </si>
  <si>
    <t xml:space="preserve">PUD6096</t>
  </si>
  <si>
    <t xml:space="preserve">844-2575 Hi Strength Yellow</t>
  </si>
  <si>
    <t xml:space="preserve">CTRO347906</t>
  </si>
  <si>
    <t xml:space="preserve">Rusto Carton 347906</t>
  </si>
  <si>
    <t xml:space="preserve">RL2766402</t>
  </si>
  <si>
    <t xml:space="preserve">Label For 2766402, Rustoleum</t>
  </si>
  <si>
    <t xml:space="preserve">D54</t>
  </si>
  <si>
    <t xml:space="preserve">8% Copper Nap-All</t>
  </si>
  <si>
    <t xml:space="preserve">T110</t>
  </si>
  <si>
    <t xml:space="preserve">W96</t>
  </si>
  <si>
    <t xml:space="preserve">Opacity Pigment</t>
  </si>
  <si>
    <t xml:space="preserve">RS1135</t>
  </si>
  <si>
    <t xml:space="preserve">Gum Rosin</t>
  </si>
  <si>
    <t xml:space="preserve">CM828F</t>
  </si>
  <si>
    <t xml:space="preserve">Dipentaerythritol Micronized</t>
  </si>
  <si>
    <t xml:space="preserve">CT4X1QR</t>
  </si>
  <si>
    <t xml:space="preserve">ISO Box Quart</t>
  </si>
  <si>
    <t xml:space="preserve">SW108</t>
  </si>
  <si>
    <t xml:space="preserve">Type 7TB Pallet ID Tag</t>
  </si>
  <si>
    <t xml:space="preserve">SW105</t>
  </si>
  <si>
    <t xml:space="preserve">Type 7GP Bag Label</t>
  </si>
  <si>
    <t xml:space="preserve">RL7792402</t>
  </si>
  <si>
    <t xml:space="preserve">Label For 7792402, Rustoleum</t>
  </si>
  <si>
    <t xml:space="preserve">CBAG241</t>
  </si>
  <si>
    <t xml:space="preserve">Pc241 yellow bag  18x6x29</t>
  </si>
  <si>
    <t xml:space="preserve">CBAG341</t>
  </si>
  <si>
    <t xml:space="preserve">Bag for pyrocrete 341</t>
  </si>
  <si>
    <t xml:space="preserve">RS402</t>
  </si>
  <si>
    <t xml:space="preserve">WB PUD Resin</t>
  </si>
  <si>
    <t xml:space="preserve">P13</t>
  </si>
  <si>
    <t xml:space="preserve">Paraffin</t>
  </si>
  <si>
    <t xml:space="preserve">C20FLOZP</t>
  </si>
  <si>
    <t xml:space="preserve">20 ounce red round container</t>
  </si>
  <si>
    <t xml:space="preserve">C20FLOZPC</t>
  </si>
  <si>
    <t xml:space="preserve">Lid for C20FLOZP</t>
  </si>
  <si>
    <t xml:space="preserve">H140</t>
  </si>
  <si>
    <t xml:space="preserve">40-80 Mesh Angular Sand</t>
  </si>
  <si>
    <t xml:space="preserve">CT4X1R</t>
  </si>
  <si>
    <t xml:space="preserve">12-5142JIT 4x1 non-un autolock</t>
  </si>
  <si>
    <t xml:space="preserve">RS1014</t>
  </si>
  <si>
    <t xml:space="preserve">Derakane 441-400</t>
  </si>
  <si>
    <t xml:space="preserve">CM907</t>
  </si>
  <si>
    <t xml:space="preserve">CM578</t>
  </si>
  <si>
    <t xml:space="preserve">Phenylalkamine</t>
  </si>
  <si>
    <t xml:space="preserve">CM1083</t>
  </si>
  <si>
    <t xml:space="preserve">Wax Solution</t>
  </si>
  <si>
    <t xml:space="preserve">RS570</t>
  </si>
  <si>
    <t xml:space="preserve">Silicate Polymer</t>
  </si>
  <si>
    <t xml:space="preserve">RS785</t>
  </si>
  <si>
    <t xml:space="preserve">Acrylic Polyol Copolymer</t>
  </si>
  <si>
    <t xml:space="preserve">RS808</t>
  </si>
  <si>
    <t xml:space="preserve">RS1106</t>
  </si>
  <si>
    <t xml:space="preserve">CM719</t>
  </si>
  <si>
    <t xml:space="preserve">SW242</t>
  </si>
  <si>
    <t xml:space="preserve">P241 Bag Label</t>
  </si>
  <si>
    <t xml:space="preserve">H443</t>
  </si>
  <si>
    <t xml:space="preserve">Filler - Barium Sulfate</t>
  </si>
  <si>
    <t xml:space="preserve">RL634402</t>
  </si>
  <si>
    <t xml:space="preserve">Label For 634402, Rustoleum</t>
  </si>
  <si>
    <t xml:space="preserve">CM1207</t>
  </si>
  <si>
    <t xml:space="preserve">Additive - Silane</t>
  </si>
  <si>
    <t xml:space="preserve">RS711</t>
  </si>
  <si>
    <t xml:space="preserve">Waterborne Polymer</t>
  </si>
  <si>
    <t xml:space="preserve">Y124</t>
  </si>
  <si>
    <t xml:space="preserve">C01BAILPT</t>
  </si>
  <si>
    <t xml:space="preserve">GL Bail Handle</t>
  </si>
  <si>
    <t xml:space="preserve">C01LGPTC</t>
  </si>
  <si>
    <t xml:space="preserve">GL Gray Lined Can Lid/C01LGPT</t>
  </si>
  <si>
    <t xml:space="preserve">PSS6045</t>
  </si>
  <si>
    <t xml:space="preserve">Yellow Dispersion</t>
  </si>
  <si>
    <t xml:space="preserve">C01LGLPT</t>
  </si>
  <si>
    <t xml:space="preserve">GL Gray Lined Can</t>
  </si>
  <si>
    <t xml:space="preserve">RL280166</t>
  </si>
  <si>
    <t xml:space="preserve">Label For 280166, Rustoleum</t>
  </si>
  <si>
    <t xml:space="preserve">RL944402</t>
  </si>
  <si>
    <t xml:space="preserve">Label For 944402, Rustoleum</t>
  </si>
  <si>
    <t xml:space="preserve">RS988</t>
  </si>
  <si>
    <t xml:space="preserve">RS842</t>
  </si>
  <si>
    <t xml:space="preserve">WB Epoxy Resin</t>
  </si>
  <si>
    <t xml:space="preserve">RS1099</t>
  </si>
  <si>
    <t xml:space="preserve">RS1008</t>
  </si>
  <si>
    <t xml:space="preserve">Vinyl Ester Resin</t>
  </si>
  <si>
    <t xml:space="preserve">RS1023</t>
  </si>
  <si>
    <t xml:space="preserve">Vinyl Ester Polymer</t>
  </si>
  <si>
    <t xml:space="preserve">RS1076</t>
  </si>
  <si>
    <t xml:space="preserve">Resin - WB Acrylic</t>
  </si>
  <si>
    <t xml:space="preserve">C05UROWHT</t>
  </si>
  <si>
    <t xml:space="preserve">5 GL Unlined White</t>
  </si>
  <si>
    <t xml:space="preserve">CM1116</t>
  </si>
  <si>
    <t xml:space="preserve">CTRO4N1906</t>
  </si>
  <si>
    <t xml:space="preserve">4 in carton for RO pack 347906</t>
  </si>
  <si>
    <t xml:space="preserve">RL975402</t>
  </si>
  <si>
    <t xml:space="preserve">Label For 975402, Rustoleum</t>
  </si>
  <si>
    <t xml:space="preserve">RS939</t>
  </si>
  <si>
    <t xml:space="preserve">Epoxy Resin Diluent</t>
  </si>
  <si>
    <t xml:space="preserve">RS844</t>
  </si>
  <si>
    <t xml:space="preserve">Acrylic Emulsion</t>
  </si>
  <si>
    <t xml:space="preserve">RS1136</t>
  </si>
  <si>
    <t xml:space="preserve">Oil-Modified Polyurethane</t>
  </si>
  <si>
    <t xml:space="preserve">Y113</t>
  </si>
  <si>
    <t xml:space="preserve">RS960</t>
  </si>
  <si>
    <t xml:space="preserve">VT Alkyd Resin</t>
  </si>
  <si>
    <t xml:space="preserve">RS1140</t>
  </si>
  <si>
    <t xml:space="preserve">Z111</t>
  </si>
  <si>
    <t xml:space="preserve">Cuprous Oxide</t>
  </si>
  <si>
    <t xml:space="preserve">C05UROWLTH</t>
  </si>
  <si>
    <t xml:space="preserve">PAIL MTL RND 5 GL LTHO</t>
  </si>
  <si>
    <t xml:space="preserve">CM1224</t>
  </si>
  <si>
    <t xml:space="preserve">Curing Agent-Amine</t>
  </si>
  <si>
    <t xml:space="preserve">CT4X1RLQ</t>
  </si>
  <si>
    <t xml:space="preserve">Autolocking Kraft Carton</t>
  </si>
  <si>
    <t xml:space="preserve">PSS5003</t>
  </si>
  <si>
    <t xml:space="preserve">CM409F</t>
  </si>
  <si>
    <t xml:space="preserve">CTRO2N1267</t>
  </si>
  <si>
    <t xml:space="preserve">2 in carton for RO pack 267812</t>
  </si>
  <si>
    <t xml:space="preserve">Y121</t>
  </si>
  <si>
    <t xml:space="preserve">CTRO347903</t>
  </si>
  <si>
    <t xml:space="preserve">Rusto Carton 347903</t>
  </si>
  <si>
    <t xml:space="preserve">RS1114</t>
  </si>
  <si>
    <t xml:space="preserve">RL7786402</t>
  </si>
  <si>
    <t xml:space="preserve">Label For 7786402, Rustoleum</t>
  </si>
  <si>
    <t xml:space="preserve">C05UROLTH</t>
  </si>
  <si>
    <t xml:space="preserve">PAIL MTL 5GAL RI LND LTHO</t>
  </si>
  <si>
    <t xml:space="preserve">RH276</t>
  </si>
  <si>
    <t xml:space="preserve">Vinyl Acrylic Copolymer</t>
  </si>
  <si>
    <t xml:space="preserve">W97</t>
  </si>
  <si>
    <t xml:space="preserve">Titanium Dioxide</t>
  </si>
  <si>
    <t xml:space="preserve">RL280165</t>
  </si>
  <si>
    <t xml:space="preserve">Label For 280165, Rustoleum</t>
  </si>
  <si>
    <t xml:space="preserve">RS1103</t>
  </si>
  <si>
    <t xml:space="preserve">RS1150</t>
  </si>
  <si>
    <t xml:space="preserve">RS1125</t>
  </si>
  <si>
    <t xml:space="preserve">H282F</t>
  </si>
  <si>
    <t xml:space="preserve">Portland Limestone Cement</t>
  </si>
  <si>
    <t xml:space="preserve">RS778</t>
  </si>
  <si>
    <t xml:space="preserve">Epoxy Diluent</t>
  </si>
  <si>
    <t xml:space="preserve">C05UROSLC</t>
  </si>
  <si>
    <t xml:space="preserve">LID MTL RND SCRW 2-1/8 WHT UN</t>
  </si>
  <si>
    <t xml:space="preserve">RL7543402</t>
  </si>
  <si>
    <t xml:space="preserve">Label For 7543402, Rustoleum</t>
  </si>
  <si>
    <t xml:space="preserve">CM1181</t>
  </si>
  <si>
    <t xml:space="preserve">Additive - Dispersant</t>
  </si>
  <si>
    <t xml:space="preserve">RS789</t>
  </si>
  <si>
    <t xml:space="preserve">CTRO267812</t>
  </si>
  <si>
    <t xml:space="preserve">Rusto Carton 267812</t>
  </si>
  <si>
    <t xml:space="preserve">RL7776402</t>
  </si>
  <si>
    <t xml:space="preserve">Label For 7776402, Rustoleum</t>
  </si>
  <si>
    <t xml:space="preserve">RS1001</t>
  </si>
  <si>
    <t xml:space="preserve">Resin-Epoxy</t>
  </si>
  <si>
    <t xml:space="preserve">CTRO2N1903</t>
  </si>
  <si>
    <t xml:space="preserve">2 in carton for RO pack 347903</t>
  </si>
  <si>
    <t xml:space="preserve">RS904</t>
  </si>
  <si>
    <t xml:space="preserve">WB-Vinyl Acrylic Emulsion</t>
  </si>
  <si>
    <t xml:space="preserve">PYM9015</t>
  </si>
  <si>
    <t xml:space="preserve">Black Dispersion</t>
  </si>
  <si>
    <t xml:space="preserve">CM1179</t>
  </si>
  <si>
    <t xml:space="preserve">Odor Mask</t>
  </si>
  <si>
    <t xml:space="preserve">C01LNROCAN</t>
  </si>
  <si>
    <t xml:space="preserve">1 GL Tin lined with ears, grey</t>
  </si>
  <si>
    <t xml:space="preserve">C3.75LTRLL</t>
  </si>
  <si>
    <t xml:space="preserve">Can MTL RND 3.75L LND Litho</t>
  </si>
  <si>
    <t xml:space="preserve">CTRO2N7793</t>
  </si>
  <si>
    <t xml:space="preserve">2 in carton for RO Pack 267793</t>
  </si>
  <si>
    <t xml:space="preserve">H427</t>
  </si>
  <si>
    <t xml:space="preserve">Filler-Talc</t>
  </si>
  <si>
    <t xml:space="preserve">C01LNROC</t>
  </si>
  <si>
    <t xml:space="preserve">Plug for RO 1 GL Tin lined</t>
  </si>
  <si>
    <t xml:space="preserve">W93</t>
  </si>
  <si>
    <t xml:space="preserve">PYM9010</t>
  </si>
  <si>
    <t xml:space="preserve">RS1022</t>
  </si>
  <si>
    <t xml:space="preserve">Resin-Vinyl Ester</t>
  </si>
  <si>
    <t xml:space="preserve">C01LROLTH</t>
  </si>
  <si>
    <t xml:space="preserve">1 GL RND LND LTHO</t>
  </si>
  <si>
    <t xml:space="preserve">RL7779402</t>
  </si>
  <si>
    <t xml:space="preserve">Label For 7779402, Rustoleum</t>
  </si>
  <si>
    <t xml:space="preserve">C01UBROLTH</t>
  </si>
  <si>
    <t xml:space="preserve">1 GL UNL LITHO TIN</t>
  </si>
  <si>
    <t xml:space="preserve">CM1133F</t>
  </si>
  <si>
    <t xml:space="preserve">Ammonium Polyphosphate</t>
  </si>
  <si>
    <t xml:space="preserve">C01UROP</t>
  </si>
  <si>
    <t xml:space="preserve">LID GL PLAIN UNLINED</t>
  </si>
  <si>
    <t xml:space="preserve">C01URO</t>
  </si>
  <si>
    <t xml:space="preserve">CAN MTL GAL PLN UNLND W/EAR</t>
  </si>
  <si>
    <t xml:space="preserve">C01LROLTHC</t>
  </si>
  <si>
    <t xml:space="preserve">LID 1 GL LND LTHO</t>
  </si>
  <si>
    <t xml:space="preserve">RS1167</t>
  </si>
  <si>
    <t xml:space="preserve">RS1111</t>
  </si>
  <si>
    <t xml:space="preserve">T205</t>
  </si>
  <si>
    <t xml:space="preserve">Isoparaffinic Hydrocarbon</t>
  </si>
  <si>
    <t xml:space="preserve">H439F</t>
  </si>
  <si>
    <t xml:space="preserve">Cement</t>
  </si>
  <si>
    <t xml:space="preserve">CARBOLINE MASTER SUMMARY v4 | All 4 Sites | OTD=78.0% (2-day tol.) | Good Apple/Bad Apple + Bulk Tank Caps Applied</t>
  </si>
  <si>
    <t xml:space="preserve">v4 NEW: 94 Bad Apples have SS=0 | 59 Good Apples using manager lead times | 6 LC items tank-capped | GB tank caps defined (RS977/T25/RS554/T10 not yet in ROP file)</t>
  </si>
  <si>
    <t xml:space="preserve">Site</t>
  </si>
  <si>
    <t xml:space="preserve">Items</t>
  </si>
  <si>
    <t xml:space="preserve">🔴 A-Underst.</t>
  </si>
  <si>
    <t xml:space="preserve">⭐ GoodApple
Underst.</t>
  </si>
  <si>
    <t xml:space="preserve">🗑 BadApple
In File</t>
  </si>
  <si>
    <t xml:space="preserve">New SS($)</t>
  </si>
  <si>
    <t xml:space="preserve">New ROP($)</t>
  </si>
  <si>
    <t xml:space="preserve">Avg Inv($)</t>
  </si>
  <si>
    <t xml:space="preserve">Avg LT(d)</t>
  </si>
  <si>
    <t xml:space="preserve">OTD%</t>
  </si>
  <si>
    <t xml:space="preserve">Notes</t>
  </si>
  <si>
    <t xml:space="preserve">Lake Charles</t>
  </si>
  <si>
    <t xml:space="preserve">280 items. 6 tank-capped items. RS977 capped at 103,057LB.</t>
  </si>
  <si>
    <t xml:space="preserve">Green Bay</t>
  </si>
  <si>
    <t xml:space="preserve">549 items. 4 GB tanks not in ROP yet (Pat must add RS977/T25/RS554/T10).</t>
  </si>
  <si>
    <t xml:space="preserve">Dayton</t>
  </si>
  <si>
    <t xml:space="preserve">348 items. Dillon temp through Aug.</t>
  </si>
  <si>
    <t xml:space="preserve">Louisa</t>
  </si>
  <si>
    <t xml:space="preserve">30 raw material items. 7 A-items all understocked.</t>
  </si>
  <si>
    <t xml:space="preserve">ALL SITES TOTAL</t>
  </si>
  <si>
    <t xml:space="preserve">All 4 sites. v4 = most complete calculation to date.</t>
  </si>
  <si>
    <t xml:space="preserve">MASTER DATA v4 | 1,789 rows | Cols S-X = Excel formulas | Good Apple/Bad Apple + Tank Caps</t>
  </si>
  <si>
    <t xml:space="preserve">A-R = raw data | S=ss$ (=G×M) T=rop$ (=H×M) U=avg_inv$ (=(G+H)/2×M) V=curr_rop$ (=F×M) W=days_curr (=F/L) X=days_rec (=H/L) | Col G=new_ss uses manager lead time for Good Apples, 0 for Bad Apples</t>
  </si>
  <si>
    <t xml:space="preserve">site_group</t>
  </si>
  <si>
    <t xml:space="preserve">abc_tier</t>
  </si>
  <si>
    <t xml:space="preserve">audit_flag_v4</t>
  </si>
  <si>
    <t xml:space="preserve">is_good_apple</t>
  </si>
  <si>
    <t xml:space="preserve">is_bad_apple</t>
  </si>
  <si>
    <t xml:space="preserve">current_rop_in_ln</t>
  </si>
  <si>
    <t xml:space="preserve">new_ss_lbs_v4</t>
  </si>
  <si>
    <t xml:space="preserve">new_rop_lbs_v4</t>
  </si>
  <si>
    <t xml:space="preserve">rop_to_enter_ln</t>
  </si>
  <si>
    <t xml:space="preserve">avg_lead_time_days</t>
  </si>
  <si>
    <t xml:space="preserve">otd_pct_2day</t>
  </si>
  <si>
    <t xml:space="preserve">avg_daily_usage_lbs</t>
  </si>
  <si>
    <t xml:space="preserve">rop_gap_lbs_v4</t>
  </si>
  <si>
    <t xml:space="preserve">rop_gap_direction_v4</t>
  </si>
  <si>
    <t xml:space="preserve">lt_source_v4</t>
  </si>
  <si>
    <t xml:space="preserve">buffer_factor_v4</t>
  </si>
  <si>
    <t xml:space="preserve">moq_order_increment</t>
  </si>
  <si>
    <t xml:space="preserve">ss_dollars ▶F=I×O</t>
  </si>
  <si>
    <t xml:space="preserve">rop_dollars ▶F=J×O</t>
  </si>
  <si>
    <t xml:space="preserve">avg_inv_$ ▶F=(I+J)/2×O</t>
  </si>
  <si>
    <t xml:space="preserve">curr_rop_$ ▶F=H×O</t>
  </si>
  <si>
    <t xml:space="preserve">AP30</t>
  </si>
  <si>
    <t xml:space="preserve">B</t>
  </si>
  <si>
    <t xml:space="preserve">🔵 REVIEW — Overstocked</t>
  </si>
  <si>
    <t xml:space="preserve">NO</t>
  </si>
  <si>
    <t xml:space="preserve">OVERSTOCKED — excess cash</t>
  </si>
  <si>
    <t xml:space="preserve">From PO history</t>
  </si>
  <si>
    <t xml:space="preserve">B16</t>
  </si>
  <si>
    <t xml:space="preserve">C</t>
  </si>
  <si>
    <t xml:space="preserve">🟠 MONITOR — C-item understocked</t>
  </si>
  <si>
    <t xml:space="preserve">UNDERSTOCKED — stockout risk</t>
  </si>
  <si>
    <t xml:space="preserve">B52</t>
  </si>
  <si>
    <t xml:space="preserve">B67</t>
  </si>
  <si>
    <t xml:space="preserve">B86</t>
  </si>
  <si>
    <t xml:space="preserve">C0003U</t>
  </si>
  <si>
    <t xml:space="preserve">Std 1-qt can, not lined</t>
  </si>
  <si>
    <t xml:space="preserve">A</t>
  </si>
  <si>
    <t xml:space="preserve">🔴 TOP PRIORITY — A-item understocked</t>
  </si>
  <si>
    <t xml:space="preserve">C01LNCAN</t>
  </si>
  <si>
    <t xml:space="preserve">Gallon can, tall, lined</t>
  </si>
  <si>
    <t xml:space="preserve">🟡 REVIEW — B-item understocked</t>
  </si>
  <si>
    <t xml:space="preserve">C01PBLK</t>
  </si>
  <si>
    <t xml:space="preserve">1 gal black plastic pail</t>
  </si>
  <si>
    <t xml:space="preserve">C01PMPLUG</t>
  </si>
  <si>
    <t xml:space="preserve">Lined plug for C01PBLK</t>
  </si>
  <si>
    <t xml:space="preserve">C01U</t>
  </si>
  <si>
    <t xml:space="preserve">Gal can, tall, unlined w/beads</t>
  </si>
  <si>
    <t xml:space="preserve">C01UGSKP</t>
  </si>
  <si>
    <t xml:space="preserve">Unlined gasketed plug</t>
  </si>
  <si>
    <t xml:space="preserve">C01UPLUG</t>
  </si>
  <si>
    <t xml:space="preserve">Unlined plug for 1 gal tall</t>
  </si>
  <si>
    <t xml:space="preserve">C03UWB</t>
  </si>
  <si>
    <t xml:space="preserve">3 gallon white pail, no cover</t>
  </si>
  <si>
    <t xml:space="preserve">C03UWPC</t>
  </si>
  <si>
    <t xml:space="preserve">Cover for 3 gallon white pail</t>
  </si>
  <si>
    <t xml:space="preserve">C05DISK</t>
  </si>
  <si>
    <t xml:space="preserve">C05PB Plastic Disk Insert</t>
  </si>
  <si>
    <t xml:space="preserve">C05LB</t>
  </si>
  <si>
    <t xml:space="preserve">5 gal UN red lined pail</t>
  </si>
  <si>
    <t xml:space="preserve">C05LC</t>
  </si>
  <si>
    <t xml:space="preserve">5 gal UN red lined lid (cover)</t>
  </si>
  <si>
    <t xml:space="preserve">C05LCZC</t>
  </si>
  <si>
    <t xml:space="preserve">Lids for C05LCZP (5 gal CZ)</t>
  </si>
  <si>
    <t xml:space="preserve">C05LCZP</t>
  </si>
  <si>
    <t xml:space="preserve">5 GL Red Lined (Buff) CZ Pails</t>
  </si>
  <si>
    <t xml:space="preserve">C05LNRP</t>
  </si>
  <si>
    <t xml:space="preserve">5 gal HDPE liner insert</t>
  </si>
  <si>
    <t xml:space="preserve">C05P</t>
  </si>
  <si>
    <t xml:space="preserve">5 Gal plstc pail UN1H2/Y1.5/50</t>
  </si>
  <si>
    <t xml:space="preserve">C05PPL</t>
  </si>
  <si>
    <t xml:space="preserve">5 GL Non-UN Plain Plastic Lid</t>
  </si>
  <si>
    <t xml:space="preserve">C05UB</t>
  </si>
  <si>
    <t xml:space="preserve">5 GL Red Unlined Steel Pail</t>
  </si>
  <si>
    <t xml:space="preserve">C05UBEP</t>
  </si>
  <si>
    <t xml:space="preserve">5 gal red unl w/2 GHS labels</t>
  </si>
  <si>
    <t xml:space="preserve">C05UBEPFL</t>
  </si>
  <si>
    <t xml:space="preserve">5 gal red unl w/1 GHS label</t>
  </si>
  <si>
    <t xml:space="preserve">C05UPC</t>
  </si>
  <si>
    <t xml:space="preserve">5 GL Red Unlined Plain Cover</t>
  </si>
  <si>
    <t xml:space="preserve">C05USL</t>
  </si>
  <si>
    <t xml:space="preserve">5 GL Red Unlined Screw Cap Lid</t>
  </si>
  <si>
    <t xml:space="preserve">C55INSERT</t>
  </si>
  <si>
    <t xml:space="preserve">Insert for 55 Gallon Drum</t>
  </si>
  <si>
    <t xml:space="preserve">C55LN1A2C</t>
  </si>
  <si>
    <t xml:space="preserve">Lined 2 hole cover - red</t>
  </si>
  <si>
    <t xml:space="preserve">C55LN1A2C3</t>
  </si>
  <si>
    <t xml:space="preserve">Lined 3 hole cover - red</t>
  </si>
  <si>
    <t xml:space="preserve">C55LN1A2DR</t>
  </si>
  <si>
    <t xml:space="preserve">55 gallon red OH lined</t>
  </si>
  <si>
    <t xml:space="preserve">CM1007</t>
  </si>
  <si>
    <t xml:space="preserve">CM1020</t>
  </si>
  <si>
    <t xml:space="preserve">CM1041</t>
  </si>
  <si>
    <t xml:space="preserve">CM105</t>
  </si>
  <si>
    <t xml:space="preserve">CM1084</t>
  </si>
  <si>
    <t xml:space="preserve">CM109</t>
  </si>
  <si>
    <t xml:space="preserve">Curing Agent-Amidoamine</t>
  </si>
  <si>
    <t xml:space="preserve">⭐ GOOD APPLE — stocked OK</t>
  </si>
  <si>
    <t xml:space="preserve">⭐ YES</t>
  </si>
  <si>
    <t xml:space="preserve">GOOD APPLE — using manager lead time (12</t>
  </si>
  <si>
    <t xml:space="preserve">CM1090</t>
  </si>
  <si>
    <t xml:space="preserve">Additive-Dispersant</t>
  </si>
  <si>
    <t xml:space="preserve">CM1098</t>
  </si>
  <si>
    <t xml:space="preserve">Leveling Additive</t>
  </si>
  <si>
    <t xml:space="preserve">CM1115</t>
  </si>
  <si>
    <t xml:space="preserve">From PO history | BULK TANK CAPPED at 95</t>
  </si>
  <si>
    <t xml:space="preserve">CM1121</t>
  </si>
  <si>
    <t xml:space="preserve">CM1131</t>
  </si>
  <si>
    <t xml:space="preserve">CM114</t>
  </si>
  <si>
    <t xml:space="preserve">Organic Acid</t>
  </si>
  <si>
    <t xml:space="preserve">CM1149</t>
  </si>
  <si>
    <t xml:space="preserve">CM1165</t>
  </si>
  <si>
    <t xml:space="preserve">CM118</t>
  </si>
  <si>
    <t xml:space="preserve">Zinc Stearate</t>
  </si>
  <si>
    <t xml:space="preserve">CM127</t>
  </si>
  <si>
    <t xml:space="preserve">CM1291</t>
  </si>
  <si>
    <t xml:space="preserve">CM142</t>
  </si>
  <si>
    <t xml:space="preserve">CM160</t>
  </si>
  <si>
    <t xml:space="preserve">Additive-Anti-settling</t>
  </si>
  <si>
    <t xml:space="preserve">CM197</t>
  </si>
  <si>
    <t xml:space="preserve">Surfactant</t>
  </si>
  <si>
    <t xml:space="preserve">🗑 BAD APPLE — remove from LN</t>
  </si>
  <si>
    <t xml:space="preserve">🗑 YES</t>
  </si>
  <si>
    <t xml:space="preserve">BAD APPLE — SS forced to 0 per manager</t>
  </si>
  <si>
    <t xml:space="preserve">CM225</t>
  </si>
  <si>
    <t xml:space="preserve">CM261</t>
  </si>
  <si>
    <t xml:space="preserve">CM302</t>
  </si>
  <si>
    <t xml:space="preserve">CM308</t>
  </si>
  <si>
    <t xml:space="preserve">Curing Agent-Alkyl Amine</t>
  </si>
  <si>
    <t xml:space="preserve">CM356</t>
  </si>
  <si>
    <t xml:space="preserve">CM372</t>
  </si>
  <si>
    <t xml:space="preserve">Additive-Silane</t>
  </si>
  <si>
    <t xml:space="preserve">CM389</t>
  </si>
  <si>
    <t xml:space="preserve">Additive-Flow</t>
  </si>
  <si>
    <t xml:space="preserve">CM40</t>
  </si>
  <si>
    <t xml:space="preserve">Additive-Surfactant</t>
  </si>
  <si>
    <t xml:space="preserve">CM410</t>
  </si>
  <si>
    <t xml:space="preserve">Thermoplastic Polymer</t>
  </si>
  <si>
    <t xml:space="preserve">CM419</t>
  </si>
  <si>
    <t xml:space="preserve">CM429</t>
  </si>
  <si>
    <t xml:space="preserve">CM445</t>
  </si>
  <si>
    <t xml:space="preserve">CM45</t>
  </si>
  <si>
    <t xml:space="preserve">CM474</t>
  </si>
  <si>
    <t xml:space="preserve">Amine Curing Agent</t>
  </si>
  <si>
    <t xml:space="preserve">CM48</t>
  </si>
  <si>
    <t xml:space="preserve">Curing Agent-Aminophenol</t>
  </si>
  <si>
    <t xml:space="preserve">CM482</t>
  </si>
  <si>
    <t xml:space="preserve">CM486</t>
  </si>
  <si>
    <t xml:space="preserve">CM489</t>
  </si>
  <si>
    <t xml:space="preserve">CM491</t>
  </si>
  <si>
    <t xml:space="preserve">CM509</t>
  </si>
  <si>
    <t xml:space="preserve">Aromatic Diamine</t>
  </si>
  <si>
    <t xml:space="preserve">CM510</t>
  </si>
  <si>
    <t xml:space="preserve">Anti-Settling Additive</t>
  </si>
  <si>
    <t xml:space="preserve">CM561</t>
  </si>
  <si>
    <t xml:space="preserve">Clay</t>
  </si>
  <si>
    <t xml:space="preserve">CM565</t>
  </si>
  <si>
    <t xml:space="preserve">CM571</t>
  </si>
  <si>
    <t xml:space="preserve">Additive-Light Stabilizer</t>
  </si>
  <si>
    <t xml:space="preserve">CM583</t>
  </si>
  <si>
    <t xml:space="preserve">CM585</t>
  </si>
  <si>
    <t xml:space="preserve">Additive - Wetting Aid</t>
  </si>
  <si>
    <t xml:space="preserve">CM61</t>
  </si>
  <si>
    <t xml:space="preserve">CM627</t>
  </si>
  <si>
    <t xml:space="preserve">CM630</t>
  </si>
  <si>
    <t xml:space="preserve">Additive - Defoamer</t>
  </si>
  <si>
    <t xml:space="preserve">CM654</t>
  </si>
  <si>
    <t xml:space="preserve">CM665</t>
  </si>
  <si>
    <t xml:space="preserve">WB Thickener</t>
  </si>
  <si>
    <t xml:space="preserve">CM682</t>
  </si>
  <si>
    <t xml:space="preserve">CM707</t>
  </si>
  <si>
    <t xml:space="preserve">Thickener-Castor/Amide Wax</t>
  </si>
  <si>
    <t xml:space="preserve">CM711</t>
  </si>
  <si>
    <t xml:space="preserve">Benzyl Alcohol</t>
  </si>
  <si>
    <t xml:space="preserve">CM714</t>
  </si>
  <si>
    <t xml:space="preserve">Additive-Polyamide Paste</t>
  </si>
  <si>
    <t xml:space="preserve">CM731</t>
  </si>
  <si>
    <t xml:space="preserve">Curing Agent - Amido Amine</t>
  </si>
  <si>
    <t xml:space="preserve">CM751</t>
  </si>
  <si>
    <t xml:space="preserve">CM752</t>
  </si>
  <si>
    <t xml:space="preserve">CM757</t>
  </si>
  <si>
    <t xml:space="preserve">CM767</t>
  </si>
  <si>
    <t xml:space="preserve">Additive-Polysiloxane</t>
  </si>
  <si>
    <t xml:space="preserve">CM776</t>
  </si>
  <si>
    <t xml:space="preserve">CM791</t>
  </si>
  <si>
    <t xml:space="preserve">CM797</t>
  </si>
  <si>
    <t xml:space="preserve">Additive-Polyether Siloxane</t>
  </si>
  <si>
    <t xml:space="preserve">CM801</t>
  </si>
  <si>
    <t xml:space="preserve">CM809</t>
  </si>
  <si>
    <t xml:space="preserve">CM816</t>
  </si>
  <si>
    <t xml:space="preserve">Additive-HASE</t>
  </si>
  <si>
    <t xml:space="preserve">CM819F</t>
  </si>
  <si>
    <t xml:space="preserve">CM825F</t>
  </si>
  <si>
    <t xml:space="preserve">Pentaerythritol</t>
  </si>
  <si>
    <t xml:space="preserve">CM846</t>
  </si>
  <si>
    <t xml:space="preserve">CM847</t>
  </si>
  <si>
    <t xml:space="preserve">From PO history | BULK TANK CAPPED at 51</t>
  </si>
  <si>
    <t xml:space="preserve">CM852</t>
  </si>
  <si>
    <t xml:space="preserve">Phenalkamine</t>
  </si>
  <si>
    <t xml:space="preserve">CM858</t>
  </si>
  <si>
    <t xml:space="preserve">CM859</t>
  </si>
  <si>
    <t xml:space="preserve">CM866</t>
  </si>
  <si>
    <t xml:space="preserve">Curing Agent-Cycloaliphatic</t>
  </si>
  <si>
    <t xml:space="preserve">CM867</t>
  </si>
  <si>
    <t xml:space="preserve">CM872F</t>
  </si>
  <si>
    <t xml:space="preserve">Chlorinated Paraffin Resin</t>
  </si>
  <si>
    <t xml:space="preserve">CM873</t>
  </si>
  <si>
    <t xml:space="preserve">CM878</t>
  </si>
  <si>
    <t xml:space="preserve">Alkylated Polyamine</t>
  </si>
  <si>
    <t xml:space="preserve">CM879</t>
  </si>
  <si>
    <t xml:space="preserve">CM898F</t>
  </si>
  <si>
    <t xml:space="preserve">CM900F</t>
  </si>
  <si>
    <t xml:space="preserve">CM901F</t>
  </si>
  <si>
    <t xml:space="preserve">CM902F</t>
  </si>
  <si>
    <t xml:space="preserve">CM906</t>
  </si>
  <si>
    <t xml:space="preserve">CM909</t>
  </si>
  <si>
    <t xml:space="preserve">CM923</t>
  </si>
  <si>
    <t xml:space="preserve">CM932</t>
  </si>
  <si>
    <t xml:space="preserve">Preservative</t>
  </si>
  <si>
    <t xml:space="preserve">CM969</t>
  </si>
  <si>
    <t xml:space="preserve">CM972</t>
  </si>
  <si>
    <t xml:space="preserve">Cycloaliphatic Amine</t>
  </si>
  <si>
    <t xml:space="preserve">GOOD APPLE — using manager lead time (7.</t>
  </si>
  <si>
    <t xml:space="preserve">CM973</t>
  </si>
  <si>
    <t xml:space="preserve">CM978</t>
  </si>
  <si>
    <t xml:space="preserve">Polyethersiloxane</t>
  </si>
  <si>
    <t xml:space="preserve">CM979</t>
  </si>
  <si>
    <t xml:space="preserve">Molecular Sieve</t>
  </si>
  <si>
    <t xml:space="preserve">CM980</t>
  </si>
  <si>
    <t xml:space="preserve">CM981</t>
  </si>
  <si>
    <t xml:space="preserve">Curing Agent - Polyamide</t>
  </si>
  <si>
    <t xml:space="preserve">CM99</t>
  </si>
  <si>
    <t xml:space="preserve">Additive-Catalyst</t>
  </si>
  <si>
    <t xml:space="preserve">CM996</t>
  </si>
  <si>
    <t xml:space="preserve">Organoclay-Garamite</t>
  </si>
  <si>
    <t xml:space="preserve">CM999</t>
  </si>
  <si>
    <t xml:space="preserve">Coalescent</t>
  </si>
  <si>
    <t xml:space="preserve">CS104</t>
  </si>
  <si>
    <t xml:space="preserve">Amine-DETDA</t>
  </si>
  <si>
    <t xml:space="preserve">CS105</t>
  </si>
  <si>
    <t xml:space="preserve">2-Amino-2-Methyl-1-Propanol</t>
  </si>
  <si>
    <t xml:space="preserve">CS2</t>
  </si>
  <si>
    <t xml:space="preserve">Glycerine 99% Min.</t>
  </si>
  <si>
    <t xml:space="preserve">CS32</t>
  </si>
  <si>
    <t xml:space="preserve">Propylene Glycol</t>
  </si>
  <si>
    <t xml:space="preserve">CS57</t>
  </si>
  <si>
    <t xml:space="preserve">Hydrochloric Acid</t>
  </si>
  <si>
    <t xml:space="preserve">D</t>
  </si>
  <si>
    <t xml:space="preserve">D-tier — no SS needed</t>
  </si>
  <si>
    <t xml:space="preserve">D-tier — zero consumption 2024-2025</t>
  </si>
  <si>
    <t xml:space="preserve">G13</t>
  </si>
  <si>
    <t xml:space="preserve">Pigment-Phthalo Green</t>
  </si>
  <si>
    <t xml:space="preserve">H1036</t>
  </si>
  <si>
    <t xml:space="preserve">Filler-Crystalline Silica</t>
  </si>
  <si>
    <t xml:space="preserve">H1050</t>
  </si>
  <si>
    <t xml:space="preserve">Filler-Clay</t>
  </si>
  <si>
    <t xml:space="preserve">H1072</t>
  </si>
  <si>
    <t xml:space="preserve">Filler - Kaolin Clay</t>
  </si>
  <si>
    <t xml:space="preserve">H1078</t>
  </si>
  <si>
    <t xml:space="preserve">Zinc Phosphate</t>
  </si>
  <si>
    <t xml:space="preserve">H18</t>
  </si>
  <si>
    <t xml:space="preserve">Filler - Mica</t>
  </si>
  <si>
    <t xml:space="preserve">H20</t>
  </si>
  <si>
    <t xml:space="preserve">H208</t>
  </si>
  <si>
    <t xml:space="preserve">Filler-Barium Sulfate</t>
  </si>
  <si>
    <t xml:space="preserve">H238</t>
  </si>
  <si>
    <t xml:space="preserve">H242</t>
  </si>
  <si>
    <t xml:space="preserve">Filler-Silica</t>
  </si>
  <si>
    <t xml:space="preserve">H266</t>
  </si>
  <si>
    <t xml:space="preserve">H267</t>
  </si>
  <si>
    <t xml:space="preserve">H273</t>
  </si>
  <si>
    <t xml:space="preserve">Filler-Mica</t>
  </si>
  <si>
    <t xml:space="preserve">H277</t>
  </si>
  <si>
    <t xml:space="preserve">Ceramic Microspheres</t>
  </si>
  <si>
    <t xml:space="preserve">H283</t>
  </si>
  <si>
    <t xml:space="preserve">H29</t>
  </si>
  <si>
    <t xml:space="preserve">H301F</t>
  </si>
  <si>
    <t xml:space="preserve">Calcined Alumina Filler</t>
  </si>
  <si>
    <t xml:space="preserve">H302F</t>
  </si>
  <si>
    <t xml:space="preserve">Ceramic Fiber Filler</t>
  </si>
  <si>
    <t xml:space="preserve">H304F</t>
  </si>
  <si>
    <t xml:space="preserve">H306F</t>
  </si>
  <si>
    <t xml:space="preserve">Fibrous Glass</t>
  </si>
  <si>
    <t xml:space="preserve">H335</t>
  </si>
  <si>
    <t xml:space="preserve">Amorphous Silica</t>
  </si>
  <si>
    <t xml:space="preserve">H348</t>
  </si>
  <si>
    <t xml:space="preserve">H362</t>
  </si>
  <si>
    <t xml:space="preserve">Filler-Nepheline Syenite</t>
  </si>
  <si>
    <t xml:space="preserve">H363F</t>
  </si>
  <si>
    <t xml:space="preserve">Glass Microspheres</t>
  </si>
  <si>
    <t xml:space="preserve">H377</t>
  </si>
  <si>
    <t xml:space="preserve">H393</t>
  </si>
  <si>
    <t xml:space="preserve">Glass Flake</t>
  </si>
  <si>
    <t xml:space="preserve">H407</t>
  </si>
  <si>
    <t xml:space="preserve">Calcium Carbonate</t>
  </si>
  <si>
    <t xml:space="preserve">H424</t>
  </si>
  <si>
    <t xml:space="preserve">Ceramic Spheres</t>
  </si>
  <si>
    <t xml:space="preserve">GOOD APPLE — using manager lead time (18</t>
  </si>
  <si>
    <t xml:space="preserve">H51</t>
  </si>
  <si>
    <t xml:space="preserve">Glass Fiber</t>
  </si>
  <si>
    <t xml:space="preserve">H56F</t>
  </si>
  <si>
    <t xml:space="preserve">Carbon Fiber</t>
  </si>
  <si>
    <t xml:space="preserve">H59</t>
  </si>
  <si>
    <t xml:space="preserve">H600F</t>
  </si>
  <si>
    <t xml:space="preserve">Aramid Pulp</t>
  </si>
  <si>
    <t xml:space="preserve">H76</t>
  </si>
  <si>
    <t xml:space="preserve">H84</t>
  </si>
  <si>
    <t xml:space="preserve">H85</t>
  </si>
  <si>
    <t xml:space="preserve">H87</t>
  </si>
  <si>
    <t xml:space="preserve">H90</t>
  </si>
  <si>
    <t xml:space="preserve">H95</t>
  </si>
  <si>
    <t xml:space="preserve">H96F</t>
  </si>
  <si>
    <t xml:space="preserve">Ground Calcined Alumina</t>
  </si>
  <si>
    <t xml:space="preserve">H99F</t>
  </si>
  <si>
    <t xml:space="preserve">Alkaline Earth Silicate Wool</t>
  </si>
  <si>
    <t xml:space="preserve">L44</t>
  </si>
  <si>
    <t xml:space="preserve">Blue Pigment</t>
  </si>
  <si>
    <t xml:space="preserve">O2</t>
  </si>
  <si>
    <t xml:space="preserve">Refined Linseed Oil</t>
  </si>
  <si>
    <t xml:space="preserve">O50</t>
  </si>
  <si>
    <t xml:space="preserve">O53</t>
  </si>
  <si>
    <t xml:space="preserve">Nonylphenol</t>
  </si>
  <si>
    <t xml:space="preserve">P10</t>
  </si>
  <si>
    <t xml:space="preserve">Plasticizer-Phthalate</t>
  </si>
  <si>
    <t xml:space="preserve">P32</t>
  </si>
  <si>
    <t xml:space="preserve">P60</t>
  </si>
  <si>
    <t xml:space="preserve">Acrylic Polyol</t>
  </si>
  <si>
    <t xml:space="preserve">P83</t>
  </si>
  <si>
    <t xml:space="preserve">PDNP1015</t>
  </si>
  <si>
    <t xml:space="preserve">DINP Phthalo Blue Paste</t>
  </si>
  <si>
    <t xml:space="preserve">PDNP3015</t>
  </si>
  <si>
    <t xml:space="preserve">DINP 48-48000 Green</t>
  </si>
  <si>
    <t xml:space="preserve">PDNP5035</t>
  </si>
  <si>
    <t xml:space="preserve">DINP 48-78070 Red Iron Oxide</t>
  </si>
  <si>
    <t xml:space="preserve">PDNP6006</t>
  </si>
  <si>
    <t xml:space="preserve">DINP 48-28030 Yellow</t>
  </si>
  <si>
    <t xml:space="preserve">PDNP8035</t>
  </si>
  <si>
    <t xml:space="preserve">DINP 48-18190 White</t>
  </si>
  <si>
    <t xml:space="preserve">PDNP9015</t>
  </si>
  <si>
    <t xml:space="preserve">DINP 48-88030 Black</t>
  </si>
  <si>
    <t xml:space="preserve">PDNP9020</t>
  </si>
  <si>
    <t xml:space="preserve">DINP 48-89120 Black</t>
  </si>
  <si>
    <t xml:space="preserve">PUD0550</t>
  </si>
  <si>
    <t xml:space="preserve">844-0550 Mono Azo Red Paste</t>
  </si>
  <si>
    <t xml:space="preserve">PUD1015</t>
  </si>
  <si>
    <t xml:space="preserve">844-7265/-7262 Phthalo Blue I/</t>
  </si>
  <si>
    <t xml:space="preserve">PUD3013</t>
  </si>
  <si>
    <t xml:space="preserve">844-5557/-5558 Phthalo Green B</t>
  </si>
  <si>
    <t xml:space="preserve">✅ OK</t>
  </si>
  <si>
    <t xml:space="preserve">OK — within tolerance</t>
  </si>
  <si>
    <t xml:space="preserve">PUD5035</t>
  </si>
  <si>
    <t xml:space="preserve">844-1063 Red Oxide Y/S Paste</t>
  </si>
  <si>
    <t xml:space="preserve">PUD5077</t>
  </si>
  <si>
    <t xml:space="preserve">PUD5081</t>
  </si>
  <si>
    <t xml:space="preserve">844-0455/-0451 Quinacridone Re</t>
  </si>
  <si>
    <t xml:space="preserve">PUD6006</t>
  </si>
  <si>
    <t xml:space="preserve">844-1863 Yellow Iron Oxide</t>
  </si>
  <si>
    <t xml:space="preserve">PUD6050</t>
  </si>
  <si>
    <t xml:space="preserve">844-2852 Organic Yellow G/S</t>
  </si>
  <si>
    <t xml:space="preserve">PUD6096X</t>
  </si>
  <si>
    <t xml:space="preserve">UCD-5762V Hi Strength Yellow P</t>
  </si>
  <si>
    <t xml:space="preserve">PUD8035</t>
  </si>
  <si>
    <t xml:space="preserve">844-0061 Titanium White Paste</t>
  </si>
  <si>
    <t xml:space="preserve">PUD9015</t>
  </si>
  <si>
    <t xml:space="preserve">844-9955 Lamp Black Paste</t>
  </si>
  <si>
    <t xml:space="preserve">R35</t>
  </si>
  <si>
    <t xml:space="preserve">Pigment - Red Iron Oxide</t>
  </si>
  <si>
    <t xml:space="preserve">RH211</t>
  </si>
  <si>
    <t xml:space="preserve">Vinyl Resin</t>
  </si>
  <si>
    <t xml:space="preserve">RH222</t>
  </si>
  <si>
    <t xml:space="preserve">RH74</t>
  </si>
  <si>
    <t xml:space="preserve">Chlorinated Paraffin</t>
  </si>
  <si>
    <t xml:space="preserve">RH818F</t>
  </si>
  <si>
    <t xml:space="preserve">Melamine</t>
  </si>
  <si>
    <t xml:space="preserve">RH819F</t>
  </si>
  <si>
    <t xml:space="preserve">RH820F</t>
  </si>
  <si>
    <t xml:space="preserve">Acrylic Copolymer Resin</t>
  </si>
  <si>
    <t xml:space="preserve">RH98</t>
  </si>
  <si>
    <t xml:space="preserve">Vinyl Polymer</t>
  </si>
  <si>
    <t xml:space="preserve">RLGL</t>
  </si>
  <si>
    <t xml:space="preserve">Ring lock for 1 gallon can</t>
  </si>
  <si>
    <t xml:space="preserve">RS1000</t>
  </si>
  <si>
    <t xml:space="preserve">Resin - Diluent</t>
  </si>
  <si>
    <t xml:space="preserve">RS1027</t>
  </si>
  <si>
    <t xml:space="preserve">Epoxy Resin Solution</t>
  </si>
  <si>
    <t xml:space="preserve">RS1041</t>
  </si>
  <si>
    <t xml:space="preserve">RS1098</t>
  </si>
  <si>
    <t xml:space="preserve">Resin-WB Copolymer</t>
  </si>
  <si>
    <t xml:space="preserve">RS209</t>
  </si>
  <si>
    <t xml:space="preserve">Resin Thermoplastic</t>
  </si>
  <si>
    <t xml:space="preserve">RS266</t>
  </si>
  <si>
    <t xml:space="preserve">Additive-Polymer</t>
  </si>
  <si>
    <t xml:space="preserve">RS280</t>
  </si>
  <si>
    <t xml:space="preserve">RS523</t>
  </si>
  <si>
    <t xml:space="preserve">Vinyl Ester Terpolymer</t>
  </si>
  <si>
    <t xml:space="preserve">RS545</t>
  </si>
  <si>
    <t xml:space="preserve">Resin - Epoxy</t>
  </si>
  <si>
    <t xml:space="preserve">RS547</t>
  </si>
  <si>
    <t xml:space="preserve">RS554</t>
  </si>
  <si>
    <t xml:space="preserve">Bisphenol F Resin</t>
  </si>
  <si>
    <t xml:space="preserve">RS557</t>
  </si>
  <si>
    <t xml:space="preserve">Epoxy Resin</t>
  </si>
  <si>
    <t xml:space="preserve">RS598</t>
  </si>
  <si>
    <t xml:space="preserve">RS675</t>
  </si>
  <si>
    <t xml:space="preserve">Polyol Polymer</t>
  </si>
  <si>
    <t xml:space="preserve">RS760</t>
  </si>
  <si>
    <t xml:space="preserve">Silicone Resin</t>
  </si>
  <si>
    <t xml:space="preserve">RS803</t>
  </si>
  <si>
    <t xml:space="preserve">RS820</t>
  </si>
  <si>
    <t xml:space="preserve">From PO history | BULK TANK CAPPED at 71</t>
  </si>
  <si>
    <t xml:space="preserve">RS825</t>
  </si>
  <si>
    <t xml:space="preserve">From PO history | BULK TANK CAPPED at 72</t>
  </si>
  <si>
    <t xml:space="preserve">RS832F</t>
  </si>
  <si>
    <t xml:space="preserve">RS864</t>
  </si>
  <si>
    <t xml:space="preserve">Resin-Acrylic Copolymer</t>
  </si>
  <si>
    <t xml:space="preserve">RS865</t>
  </si>
  <si>
    <t xml:space="preserve">RS883</t>
  </si>
  <si>
    <t xml:space="preserve">RS906</t>
  </si>
  <si>
    <t xml:space="preserve">Resin-Silicone</t>
  </si>
  <si>
    <t xml:space="preserve">RS917</t>
  </si>
  <si>
    <t xml:space="preserve">Epoxy Resin-Waterborne</t>
  </si>
  <si>
    <t xml:space="preserve">RS922</t>
  </si>
  <si>
    <t xml:space="preserve">RS925</t>
  </si>
  <si>
    <t xml:space="preserve">Castor Oil</t>
  </si>
  <si>
    <t xml:space="preserve">RS938F</t>
  </si>
  <si>
    <t xml:space="preserve">Vinyl Acrylic Copolymer Emuls</t>
  </si>
  <si>
    <t xml:space="preserve">RS946</t>
  </si>
  <si>
    <t xml:space="preserve">WB Resin-Acrylic Polyol</t>
  </si>
  <si>
    <t xml:space="preserve">RS977</t>
  </si>
  <si>
    <t xml:space="preserve">From PO history | BULK TANK CAPPED at 10</t>
  </si>
  <si>
    <t xml:space="preserve">RS978</t>
  </si>
  <si>
    <t xml:space="preserve">Acrylic Polyol Emulsion</t>
  </si>
  <si>
    <t xml:space="preserve">RS982</t>
  </si>
  <si>
    <t xml:space="preserve">T10</t>
  </si>
  <si>
    <t xml:space="preserve">Toluene</t>
  </si>
  <si>
    <t xml:space="preserve">T1001</t>
  </si>
  <si>
    <t xml:space="preserve">Diacetone Alcohol</t>
  </si>
  <si>
    <t xml:space="preserve">T11</t>
  </si>
  <si>
    <t xml:space="preserve">Xylene</t>
  </si>
  <si>
    <t xml:space="preserve">T111</t>
  </si>
  <si>
    <t xml:space="preserve">T14</t>
  </si>
  <si>
    <t xml:space="preserve">Ethylene Glycol MonobutylEther</t>
  </si>
  <si>
    <t xml:space="preserve">T144</t>
  </si>
  <si>
    <t xml:space="preserve">Filmex A-1 Anhydrous</t>
  </si>
  <si>
    <t xml:space="preserve">T145</t>
  </si>
  <si>
    <t xml:space="preserve">Acetyl Acetone</t>
  </si>
  <si>
    <t xml:space="preserve">T149</t>
  </si>
  <si>
    <t xml:space="preserve">PM Solvent, PM Glycol Ether</t>
  </si>
  <si>
    <t xml:space="preserve">T15</t>
  </si>
  <si>
    <t xml:space="preserve">Aromatic Solvent 100</t>
  </si>
  <si>
    <t xml:space="preserve">T150</t>
  </si>
  <si>
    <t xml:space="preserve">PM Acetate</t>
  </si>
  <si>
    <t xml:space="preserve">T151</t>
  </si>
  <si>
    <t xml:space="preserve">MAK (Methyl n-Amyl Ketone)</t>
  </si>
  <si>
    <t xml:space="preserve">T152</t>
  </si>
  <si>
    <t xml:space="preserve">Glycol Ether</t>
  </si>
  <si>
    <t xml:space="preserve">T16</t>
  </si>
  <si>
    <t xml:space="preserve">Aromatic Hydrocarbon 150</t>
  </si>
  <si>
    <t xml:space="preserve">T177</t>
  </si>
  <si>
    <t xml:space="preserve">T18</t>
  </si>
  <si>
    <t xml:space="preserve">IPA 99%</t>
  </si>
  <si>
    <t xml:space="preserve">T184</t>
  </si>
  <si>
    <t xml:space="preserve">PCBTF</t>
  </si>
  <si>
    <t xml:space="preserve">T190</t>
  </si>
  <si>
    <t xml:space="preserve">Ethyl 3-Ethoxypropionate</t>
  </si>
  <si>
    <t xml:space="preserve">T200</t>
  </si>
  <si>
    <t xml:space="preserve">Dimethyl Carbonate</t>
  </si>
  <si>
    <t xml:space="preserve">T202</t>
  </si>
  <si>
    <t xml:space="preserve">Tertiary Butyl Acetate</t>
  </si>
  <si>
    <t xml:space="preserve">T22</t>
  </si>
  <si>
    <t xml:space="preserve">N-Butyl Acetate</t>
  </si>
  <si>
    <t xml:space="preserve">T24</t>
  </si>
  <si>
    <t xml:space="preserve">Acetone</t>
  </si>
  <si>
    <t xml:space="preserve">T25</t>
  </si>
  <si>
    <t xml:space="preserve">MEK</t>
  </si>
  <si>
    <t xml:space="preserve">T26</t>
  </si>
  <si>
    <t xml:space="preserve">MIBK</t>
  </si>
  <si>
    <t xml:space="preserve">T29</t>
  </si>
  <si>
    <t xml:space="preserve">Methanol</t>
  </si>
  <si>
    <t xml:space="preserve">T70</t>
  </si>
  <si>
    <t xml:space="preserve">MIAK (Methyl Isoamyl Ketone)</t>
  </si>
  <si>
    <t xml:space="preserve">W35</t>
  </si>
  <si>
    <t xml:space="preserve">W76</t>
  </si>
  <si>
    <t xml:space="preserve">W79</t>
  </si>
  <si>
    <t xml:space="preserve">W83</t>
  </si>
  <si>
    <t xml:space="preserve">W85F</t>
  </si>
  <si>
    <t xml:space="preserve">W86F</t>
  </si>
  <si>
    <t xml:space="preserve">Anticorrosive Filler</t>
  </si>
  <si>
    <t xml:space="preserve">W94</t>
  </si>
  <si>
    <t xml:space="preserve">Y123</t>
  </si>
  <si>
    <t xml:space="preserve">Yellow Iron Oxide</t>
  </si>
  <si>
    <t xml:space="preserve">Y6</t>
  </si>
  <si>
    <t xml:space="preserve">Y96</t>
  </si>
  <si>
    <t xml:space="preserve">Z86</t>
  </si>
  <si>
    <t xml:space="preserve">Aluminum Powder, Dedusted</t>
  </si>
  <si>
    <t xml:space="preserve">From PO history | BULK TANK CAPPED at 6,</t>
  </si>
  <si>
    <t xml:space="preserve">01650909B01D</t>
  </si>
  <si>
    <t xml:space="preserve">Bitumastic 300 M Part B 0909</t>
  </si>
  <si>
    <t xml:space="preserve">OUT_OF_SCOPE</t>
  </si>
  <si>
    <t xml:space="preserve">Out of scope</t>
  </si>
  <si>
    <t xml:space="preserve">OUT_OF_SCOPE — finished good</t>
  </si>
  <si>
    <t xml:space="preserve">01650909B1QD</t>
  </si>
  <si>
    <t xml:space="preserve">0165P900A01D</t>
  </si>
  <si>
    <t xml:space="preserve">Bitumastic 300 M Part A Black</t>
  </si>
  <si>
    <t xml:space="preserve">0165P900A04D</t>
  </si>
  <si>
    <t xml:space="preserve">01850908B01D</t>
  </si>
  <si>
    <t xml:space="preserve">Carbomastic 15 Part B 0908</t>
  </si>
  <si>
    <t xml:space="preserve">01850908B05D</t>
  </si>
  <si>
    <t xml:space="preserve">0185C901A01D</t>
  </si>
  <si>
    <t xml:space="preserve">Carbomastic 15 Part A Aluminum</t>
  </si>
  <si>
    <t xml:space="preserve">0185C901A05D</t>
  </si>
  <si>
    <t xml:space="preserve">0185M500A01D</t>
  </si>
  <si>
    <t xml:space="preserve">Carbomastic 15 Part A Red M500</t>
  </si>
  <si>
    <t xml:space="preserve">0185M500A05D</t>
  </si>
  <si>
    <t xml:space="preserve">01860908B01D</t>
  </si>
  <si>
    <t xml:space="preserve">Carbomastic 15 FC Part B 0908</t>
  </si>
  <si>
    <t xml:space="preserve">01860908B05D</t>
  </si>
  <si>
    <t xml:space="preserve">01951803A01D</t>
  </si>
  <si>
    <t xml:space="preserve">Carbothane 133 LV Part A White</t>
  </si>
  <si>
    <t xml:space="preserve">01951803A04D</t>
  </si>
  <si>
    <t xml:space="preserve">01951864A04D</t>
  </si>
  <si>
    <t xml:space="preserve">0195CLERAGWD</t>
  </si>
  <si>
    <t xml:space="preserve">Carbothane 133 LV Part A CLER</t>
  </si>
  <si>
    <t xml:space="preserve">0195CLERATLD</t>
  </si>
  <si>
    <t xml:space="preserve">0195DEEPATMD</t>
  </si>
  <si>
    <t xml:space="preserve">Carbothane 133 LV Part A DEEP</t>
  </si>
  <si>
    <t xml:space="preserve">0195WITEAGYD</t>
  </si>
  <si>
    <t xml:space="preserve">Carbothane 133 LV Part A WITE</t>
  </si>
  <si>
    <t xml:space="preserve">0195WITEATND</t>
  </si>
  <si>
    <t xml:space="preserve">02290904BZ1D</t>
  </si>
  <si>
    <t xml:space="preserve">Zinc Filler Type II</t>
  </si>
  <si>
    <t xml:space="preserve">02290904BZ2D</t>
  </si>
  <si>
    <t xml:space="preserve">02490300A2ED</t>
  </si>
  <si>
    <t xml:space="preserve">Carbozinc 11 HS Base Green 030</t>
  </si>
  <si>
    <t xml:space="preserve">02490300A4UD</t>
  </si>
  <si>
    <t xml:space="preserve">02490700A2ED</t>
  </si>
  <si>
    <t xml:space="preserve">Carbozinc 11 HS Base Grey 0700</t>
  </si>
  <si>
    <t xml:space="preserve">02490700A4UD</t>
  </si>
  <si>
    <t xml:space="preserve">02490910C1QD</t>
  </si>
  <si>
    <t xml:space="preserve">Carbozinc HS Activator</t>
  </si>
  <si>
    <t xml:space="preserve">02490910CB4D</t>
  </si>
  <si>
    <t xml:space="preserve">02500300AA1D</t>
  </si>
  <si>
    <t xml:space="preserve">Carbozinc 11 Base Green 0300</t>
  </si>
  <si>
    <t xml:space="preserve">02500300AA5D</t>
  </si>
  <si>
    <t xml:space="preserve">02500700AA1D</t>
  </si>
  <si>
    <t xml:space="preserve">Carbozinc 11 Base Grey 0700</t>
  </si>
  <si>
    <t xml:space="preserve">02500700AA5D</t>
  </si>
  <si>
    <t xml:space="preserve">03610700A01D</t>
  </si>
  <si>
    <t xml:space="preserve">Thermaline Heat Shield Pt. A</t>
  </si>
  <si>
    <t xml:space="preserve">03610700A05D</t>
  </si>
  <si>
    <t xml:space="preserve">0361J700A01D</t>
  </si>
  <si>
    <t xml:space="preserve">0361J700A05D</t>
  </si>
  <si>
    <t xml:space="preserve">03910909B01D</t>
  </si>
  <si>
    <t xml:space="preserve">Bitumastic 300 M COE Part B</t>
  </si>
  <si>
    <t xml:space="preserve">04790700B02D</t>
  </si>
  <si>
    <t xml:space="preserve">Carbozinc 85 Part B Grey</t>
  </si>
  <si>
    <t xml:space="preserve">04790908A0HD</t>
  </si>
  <si>
    <t xml:space="preserve">Carbozinc 85 Part A 0908</t>
  </si>
  <si>
    <t xml:space="preserve">04860300A29D</t>
  </si>
  <si>
    <t xml:space="preserve">Carbozinc 859 Part A Green 030</t>
  </si>
  <si>
    <t xml:space="preserve">04860300A31D</t>
  </si>
  <si>
    <t xml:space="preserve">04860700A29D</t>
  </si>
  <si>
    <t xml:space="preserve">Carbozinc 859 Part A Grey 0700</t>
  </si>
  <si>
    <t xml:space="preserve">04860700A31D</t>
  </si>
  <si>
    <t xml:space="preserve">04860908C01D</t>
  </si>
  <si>
    <t xml:space="preserve">Carbozinc 859 Part B 0908</t>
  </si>
  <si>
    <t xml:space="preserve">04860908CATD</t>
  </si>
  <si>
    <t xml:space="preserve">05100910001D</t>
  </si>
  <si>
    <t xml:space="preserve">Thinner 10</t>
  </si>
  <si>
    <t xml:space="preserve">05100910005D</t>
  </si>
  <si>
    <t xml:space="preserve">05160910005D</t>
  </si>
  <si>
    <t xml:space="preserve">Thinner 231</t>
  </si>
  <si>
    <t xml:space="preserve">05210910001D</t>
  </si>
  <si>
    <t xml:space="preserve">Thinner 21</t>
  </si>
  <si>
    <t xml:space="preserve">05220910001D</t>
  </si>
  <si>
    <t xml:space="preserve">Thinner 2</t>
  </si>
  <si>
    <t xml:space="preserve">05220910005D</t>
  </si>
  <si>
    <t xml:space="preserve">05250910001D</t>
  </si>
  <si>
    <t xml:space="preserve">Thinner 25</t>
  </si>
  <si>
    <t xml:space="preserve">05250910005D</t>
  </si>
  <si>
    <t xml:space="preserve">05260910001D</t>
  </si>
  <si>
    <t xml:space="preserve">Thinner 26</t>
  </si>
  <si>
    <t xml:space="preserve">05330910001D</t>
  </si>
  <si>
    <t xml:space="preserve">Thinner 33</t>
  </si>
  <si>
    <t xml:space="preserve">05330910005D</t>
  </si>
  <si>
    <t xml:space="preserve">05560910001D</t>
  </si>
  <si>
    <t xml:space="preserve">Thinner 214</t>
  </si>
  <si>
    <t xml:space="preserve">05560910005D</t>
  </si>
  <si>
    <t xml:space="preserve">05570910001D</t>
  </si>
  <si>
    <t xml:space="preserve">Thinner 215</t>
  </si>
  <si>
    <t xml:space="preserve">05570910005D</t>
  </si>
  <si>
    <t xml:space="preserve">05640910001D</t>
  </si>
  <si>
    <t xml:space="preserve">Thinner 236 E</t>
  </si>
  <si>
    <t xml:space="preserve">05660910001D</t>
  </si>
  <si>
    <t xml:space="preserve">Thinner 238</t>
  </si>
  <si>
    <t xml:space="preserve">05760910001D</t>
  </si>
  <si>
    <t xml:space="preserve">Thinner 76</t>
  </si>
  <si>
    <t xml:space="preserve">05760910005D</t>
  </si>
  <si>
    <t xml:space="preserve">05910910001D</t>
  </si>
  <si>
    <t xml:space="preserve">Thinner 225 E</t>
  </si>
  <si>
    <t xml:space="preserve">05910910005D</t>
  </si>
  <si>
    <t xml:space="preserve">06120500A04D</t>
  </si>
  <si>
    <t xml:space="preserve">Phenoline 1205 Part A Red 0500</t>
  </si>
  <si>
    <t xml:space="preserve">06120500AAUD</t>
  </si>
  <si>
    <t xml:space="preserve">06120908B01D</t>
  </si>
  <si>
    <t xml:space="preserve">Phenoline 1205 Part B 0908</t>
  </si>
  <si>
    <t xml:space="preserve">06120908BATD</t>
  </si>
  <si>
    <t xml:space="preserve">06125742A04D</t>
  </si>
  <si>
    <t xml:space="preserve">Phenoline 1205 Part A Grey 574</t>
  </si>
  <si>
    <t xml:space="preserve">06125742AAUD</t>
  </si>
  <si>
    <t xml:space="preserve">0612S800A04D</t>
  </si>
  <si>
    <t xml:space="preserve">Phenoline 1205 Part A White S8</t>
  </si>
  <si>
    <t xml:space="preserve">06290500A03D</t>
  </si>
  <si>
    <t xml:space="preserve">Phenoline 311 Primer Part A Re</t>
  </si>
  <si>
    <t xml:space="preserve">06290909B01D</t>
  </si>
  <si>
    <t xml:space="preserve">Phenoline 311 Primer Part B Pa</t>
  </si>
  <si>
    <t xml:space="preserve">06310910001D</t>
  </si>
  <si>
    <t xml:space="preserve">Thinner 254</t>
  </si>
  <si>
    <t xml:space="preserve">06310910005D</t>
  </si>
  <si>
    <t xml:space="preserve">06570700A04D</t>
  </si>
  <si>
    <t xml:space="preserve">Phenoline 353 LT/LTE Part A Gr</t>
  </si>
  <si>
    <t xml:space="preserve">06570800A04D</t>
  </si>
  <si>
    <t xml:space="preserve">Phenoline 353 LT/LTE Part A Wh</t>
  </si>
  <si>
    <t xml:space="preserve">06570909B01D</t>
  </si>
  <si>
    <t xml:space="preserve">Phenoline 353 LT Part B</t>
  </si>
  <si>
    <t xml:space="preserve">08400909B1PD</t>
  </si>
  <si>
    <t xml:space="preserve">Urethane Converter 133 0909</t>
  </si>
  <si>
    <t xml:space="preserve">08400909BDPD</t>
  </si>
  <si>
    <t xml:space="preserve">0840C900A4KD</t>
  </si>
  <si>
    <t xml:space="preserve">Carbothane 133 HB Part A Black</t>
  </si>
  <si>
    <t xml:space="preserve">0840C900A6PD</t>
  </si>
  <si>
    <t xml:space="preserve">0840CLERARGD</t>
  </si>
  <si>
    <t xml:space="preserve">Carbothane 133 HB Part A CLER</t>
  </si>
  <si>
    <t xml:space="preserve">0840CLERARSD</t>
  </si>
  <si>
    <t xml:space="preserve">0840DEEPARHD</t>
  </si>
  <si>
    <t xml:space="preserve">Carbothane 133 HB Part A DEEP</t>
  </si>
  <si>
    <t xml:space="preserve">0840DEEPARTD</t>
  </si>
  <si>
    <t xml:space="preserve">0840WITEARID</t>
  </si>
  <si>
    <t xml:space="preserve">Carbothane 133 HB Part A WITE</t>
  </si>
  <si>
    <t xml:space="preserve">0840WITEARUD</t>
  </si>
  <si>
    <t xml:space="preserve">08440061001D</t>
  </si>
  <si>
    <t xml:space="preserve">TW 844-0061 Titanium White</t>
  </si>
  <si>
    <t xml:space="preserve">08440111001D</t>
  </si>
  <si>
    <t xml:space="preserve">ZZ Extender C Blue 0111</t>
  </si>
  <si>
    <t xml:space="preserve">08440451001D</t>
  </si>
  <si>
    <t xml:space="preserve">QR 844-0451 Quinacridone Red</t>
  </si>
  <si>
    <t xml:space="preserve">08440982001D</t>
  </si>
  <si>
    <t xml:space="preserve">UO 844-0982 Lead Free Orange</t>
  </si>
  <si>
    <t xml:space="preserve">08441053005D</t>
  </si>
  <si>
    <t xml:space="preserve">RB 844-1053 Red Iron Oxide B/S</t>
  </si>
  <si>
    <t xml:space="preserve">08441061001D</t>
  </si>
  <si>
    <t xml:space="preserve">RO 844-1063 Red Iron Oxide YS</t>
  </si>
  <si>
    <t xml:space="preserve">08441352001D</t>
  </si>
  <si>
    <t xml:space="preserve">BU 844-1352 Burnt Umber</t>
  </si>
  <si>
    <t xml:space="preserve">08441861001D</t>
  </si>
  <si>
    <t xml:space="preserve">YO 844-1863 Yellow Iron Oxide</t>
  </si>
  <si>
    <t xml:space="preserve">08442555001D</t>
  </si>
  <si>
    <t xml:space="preserve">MY 844-2557 LF Med Yellow</t>
  </si>
  <si>
    <t xml:space="preserve">08442852001D</t>
  </si>
  <si>
    <t xml:space="preserve">OY 844-2852 Organic Yellow</t>
  </si>
  <si>
    <t xml:space="preserve">08442893005D</t>
  </si>
  <si>
    <t xml:space="preserve">YH 844-2893 Honey Gold 193</t>
  </si>
  <si>
    <t xml:space="preserve">08445558001D</t>
  </si>
  <si>
    <t xml:space="preserve">PG 844-5558 Phthalo Green</t>
  </si>
  <si>
    <t xml:space="preserve">08447262001D</t>
  </si>
  <si>
    <t xml:space="preserve">PB 844-7262 Phthalo Blue</t>
  </si>
  <si>
    <t xml:space="preserve">08449451001D</t>
  </si>
  <si>
    <t xml:space="preserve">QV 844-9451 Quinacridone Viole</t>
  </si>
  <si>
    <t xml:space="preserve">08449955001D</t>
  </si>
  <si>
    <t xml:space="preserve">LB 844-9955 Lamp Black</t>
  </si>
  <si>
    <t xml:space="preserve">0851M72NAAUD</t>
  </si>
  <si>
    <t xml:space="preserve">Carbothane 134 HG Alum Part A</t>
  </si>
  <si>
    <t xml:space="preserve">08560908B01D</t>
  </si>
  <si>
    <t xml:space="preserve">Urethane Converter 811 0908</t>
  </si>
  <si>
    <t xml:space="preserve">08560908B1PD</t>
  </si>
  <si>
    <t xml:space="preserve">08560908BATD</t>
  </si>
  <si>
    <t xml:space="preserve">08560908BAUD</t>
  </si>
  <si>
    <t xml:space="preserve">08560908BDPD</t>
  </si>
  <si>
    <t xml:space="preserve">08560908BHPD</t>
  </si>
  <si>
    <t xml:space="preserve">08591675A04D</t>
  </si>
  <si>
    <t xml:space="preserve">Carbothane 134 HG Part A Yello</t>
  </si>
  <si>
    <t xml:space="preserve">08591675AAUD</t>
  </si>
  <si>
    <t xml:space="preserve">08591864A04D</t>
  </si>
  <si>
    <t xml:space="preserve">Carbothane 134 HG Part A White</t>
  </si>
  <si>
    <t xml:space="preserve">08591864AAUD</t>
  </si>
  <si>
    <t xml:space="preserve">08594444A04D</t>
  </si>
  <si>
    <t xml:space="preserve">Carbothane 134 HG Part A Orang</t>
  </si>
  <si>
    <t xml:space="preserve">08594444AAUD</t>
  </si>
  <si>
    <t xml:space="preserve">08594755AAUD</t>
  </si>
  <si>
    <t xml:space="preserve">Carbothane 134 HG Part A Grey</t>
  </si>
  <si>
    <t xml:space="preserve">08595555AAUD</t>
  </si>
  <si>
    <t xml:space="preserve">Carbothane 134 HG Part A Red</t>
  </si>
  <si>
    <t xml:space="preserve">08596666A04D</t>
  </si>
  <si>
    <t xml:space="preserve">08596666AAUD</t>
  </si>
  <si>
    <t xml:space="preserve">0859C703A04D</t>
  </si>
  <si>
    <t xml:space="preserve">0859C703AAUD</t>
  </si>
  <si>
    <t xml:space="preserve">0859C705A04D</t>
  </si>
  <si>
    <t xml:space="preserve">0859C705AAUD</t>
  </si>
  <si>
    <t xml:space="preserve">0859C900A04D</t>
  </si>
  <si>
    <t xml:space="preserve">Carbothane 134 HG Part A Black</t>
  </si>
  <si>
    <t xml:space="preserve">0859C900AAUD</t>
  </si>
  <si>
    <t xml:space="preserve">0859CLERAT1D</t>
  </si>
  <si>
    <t xml:space="preserve">Carbothane 134 HG Part A CLER</t>
  </si>
  <si>
    <t xml:space="preserve">0859CLERAT2D</t>
  </si>
  <si>
    <t xml:space="preserve">0859DEEPAR5D</t>
  </si>
  <si>
    <t xml:space="preserve">Carbothane 134 HG Part A DEEP</t>
  </si>
  <si>
    <t xml:space="preserve">0859DEEPAR6D</t>
  </si>
  <si>
    <t xml:space="preserve">0859REDDAR5D</t>
  </si>
  <si>
    <t xml:space="preserve">Carbothane 134 HG Part A REDD</t>
  </si>
  <si>
    <t xml:space="preserve">0859REDDAR6D</t>
  </si>
  <si>
    <t xml:space="preserve">0859WITEAR7D</t>
  </si>
  <si>
    <t xml:space="preserve">Carbothane 134 HG Part A WITE</t>
  </si>
  <si>
    <t xml:space="preserve">0859WITEAR8D</t>
  </si>
  <si>
    <t xml:space="preserve">0859YELOAR5D</t>
  </si>
  <si>
    <t xml:space="preserve">Carbothane 134 HG Part A YELO</t>
  </si>
  <si>
    <t xml:space="preserve">0859YELOAR6D</t>
  </si>
  <si>
    <t xml:space="preserve">09220300A01D</t>
  </si>
  <si>
    <t xml:space="preserve">Rustbond Part A Green 0300</t>
  </si>
  <si>
    <t xml:space="preserve">09220300A1QD</t>
  </si>
  <si>
    <t xml:space="preserve">09220908B01D</t>
  </si>
  <si>
    <t xml:space="preserve">Rustbond Part B</t>
  </si>
  <si>
    <t xml:space="preserve">09220908B1QD</t>
  </si>
  <si>
    <t xml:space="preserve">09280500A04D</t>
  </si>
  <si>
    <t xml:space="preserve">Thermaline 450 Part A Red 0500</t>
  </si>
  <si>
    <t xml:space="preserve">09280500AAUD</t>
  </si>
  <si>
    <t xml:space="preserve">09280908B01D</t>
  </si>
  <si>
    <t xml:space="preserve">Thermaline 450 Part B</t>
  </si>
  <si>
    <t xml:space="preserve">09280908BATD</t>
  </si>
  <si>
    <t xml:space="preserve">09285742A04D</t>
  </si>
  <si>
    <t xml:space="preserve">Thermaline 450 Part A Grey 574</t>
  </si>
  <si>
    <t xml:space="preserve">09285742AAUD</t>
  </si>
  <si>
    <t xml:space="preserve">09510000A01D</t>
  </si>
  <si>
    <t xml:space="preserve">Multi-Gard 955 CP Part A</t>
  </si>
  <si>
    <t xml:space="preserve">09510000A05D</t>
  </si>
  <si>
    <t xml:space="preserve">0951C900B01D</t>
  </si>
  <si>
    <t xml:space="preserve">Multi-Gard 955 CP Part B Black</t>
  </si>
  <si>
    <t xml:space="preserve">0951C900B05D</t>
  </si>
  <si>
    <t xml:space="preserve">09860908B01D</t>
  </si>
  <si>
    <t xml:space="preserve">Carboguard 890 Part B 0908</t>
  </si>
  <si>
    <t xml:space="preserve">09860908B05D</t>
  </si>
  <si>
    <t xml:space="preserve">09861675A01D</t>
  </si>
  <si>
    <t xml:space="preserve">Carboguard 890 Part A Yellow 1</t>
  </si>
  <si>
    <t xml:space="preserve">09864444A01D</t>
  </si>
  <si>
    <t xml:space="preserve">Carboguard 890 Part A Orange</t>
  </si>
  <si>
    <t xml:space="preserve">09865555A01D</t>
  </si>
  <si>
    <t xml:space="preserve">Carboguard 890 Part A Red 5555</t>
  </si>
  <si>
    <t xml:space="preserve">09866666A01D</t>
  </si>
  <si>
    <t xml:space="preserve">Carboguard 890 Part A Yellow 6</t>
  </si>
  <si>
    <t xml:space="preserve">09866666A05D</t>
  </si>
  <si>
    <t xml:space="preserve">0986C705A01D</t>
  </si>
  <si>
    <t xml:space="preserve">Carboguard 890 Part A Grey</t>
  </si>
  <si>
    <t xml:space="preserve">0986C705A05D</t>
  </si>
  <si>
    <t xml:space="preserve">0986C900A01D</t>
  </si>
  <si>
    <t xml:space="preserve">Carboguard 890 Part A Black</t>
  </si>
  <si>
    <t xml:space="preserve">0986C900A05D</t>
  </si>
  <si>
    <t xml:space="preserve">0986CLERARAD</t>
  </si>
  <si>
    <t xml:space="preserve">Carboguard 890 Part A CLER</t>
  </si>
  <si>
    <t xml:space="preserve">0986CLERARLD</t>
  </si>
  <si>
    <t xml:space="preserve">0986DEEPARBD</t>
  </si>
  <si>
    <t xml:space="preserve">Carboguard 890 Part A DEEP</t>
  </si>
  <si>
    <t xml:space="preserve">0986DEEPARMD</t>
  </si>
  <si>
    <t xml:space="preserve">0986S800A01D</t>
  </si>
  <si>
    <t xml:space="preserve">Carboguard 890 Part A White</t>
  </si>
  <si>
    <t xml:space="preserve">0986S800A05D</t>
  </si>
  <si>
    <t xml:space="preserve">0986WITEARCD</t>
  </si>
  <si>
    <t xml:space="preserve">Carboguard 890 Part A WITE</t>
  </si>
  <si>
    <t xml:space="preserve">0986WITEARND</t>
  </si>
  <si>
    <t xml:space="preserve">09880700A01D</t>
  </si>
  <si>
    <t xml:space="preserve">Carboguard 893 part A Grey</t>
  </si>
  <si>
    <t xml:space="preserve">09880700A05D</t>
  </si>
  <si>
    <t xml:space="preserve">09880800A01D</t>
  </si>
  <si>
    <t xml:space="preserve">Carboguard 893 Part A White 08</t>
  </si>
  <si>
    <t xml:space="preserve">09880800A05D</t>
  </si>
  <si>
    <t xml:space="preserve">09880908B01D</t>
  </si>
  <si>
    <t xml:space="preserve">Carboguard 893 part B 0908</t>
  </si>
  <si>
    <t xml:space="preserve">09880908B05D</t>
  </si>
  <si>
    <t xml:space="preserve">100S0908B05D</t>
  </si>
  <si>
    <t xml:space="preserve">Railplex EE-2020 Part B</t>
  </si>
  <si>
    <t xml:space="preserve">100S1752A05D</t>
  </si>
  <si>
    <t xml:space="preserve">Railplex EE-2020 Part A Grey</t>
  </si>
  <si>
    <t xml:space="preserve">100SA806A05D</t>
  </si>
  <si>
    <t xml:space="preserve">Railplex EE-2020 Part A White</t>
  </si>
  <si>
    <t xml:space="preserve">100SC900A05D</t>
  </si>
  <si>
    <t xml:space="preserve">Railplex EE-2020 Part A Black</t>
  </si>
  <si>
    <t xml:space="preserve">10200200A04D</t>
  </si>
  <si>
    <t xml:space="preserve">Carboguard 635 Part A Beige</t>
  </si>
  <si>
    <t xml:space="preserve">10200200AAUD</t>
  </si>
  <si>
    <t xml:space="preserve">10200500A04D</t>
  </si>
  <si>
    <t xml:space="preserve">Carboguard 635 Part A Red</t>
  </si>
  <si>
    <t xml:space="preserve">10200500AAUD</t>
  </si>
  <si>
    <t xml:space="preserve">10200700A04D</t>
  </si>
  <si>
    <t xml:space="preserve">Carboguard 635 Part A Grey</t>
  </si>
  <si>
    <t xml:space="preserve">10200700AAUD</t>
  </si>
  <si>
    <t xml:space="preserve">10200800A04D</t>
  </si>
  <si>
    <t xml:space="preserve">Carboguard 635 Part A White</t>
  </si>
  <si>
    <t xml:space="preserve">10200800AAUD</t>
  </si>
  <si>
    <t xml:space="preserve">10200900A04D</t>
  </si>
  <si>
    <t xml:space="preserve">Carboguard 635 Part A Black</t>
  </si>
  <si>
    <t xml:space="preserve">10200900AAUD</t>
  </si>
  <si>
    <t xml:space="preserve">10200908B01D</t>
  </si>
  <si>
    <t xml:space="preserve">Carboguard 635 Part B</t>
  </si>
  <si>
    <t xml:space="preserve">10200908BATD</t>
  </si>
  <si>
    <t xml:space="preserve">102R0908B05D</t>
  </si>
  <si>
    <t xml:space="preserve">Carboguard 876 Part B</t>
  </si>
  <si>
    <t xml:space="preserve">102R2758A05D</t>
  </si>
  <si>
    <t xml:space="preserve">Carboguard 876 Part A Grey</t>
  </si>
  <si>
    <t xml:space="preserve">102RC900A05D</t>
  </si>
  <si>
    <t xml:space="preserve">Carboguard 876 Part A Black</t>
  </si>
  <si>
    <t xml:space="preserve">10320700A04D</t>
  </si>
  <si>
    <t xml:space="preserve">Phenoline 353 Part A Grey</t>
  </si>
  <si>
    <t xml:space="preserve">10320800A04D</t>
  </si>
  <si>
    <t xml:space="preserve">Phenoline 353 Part A White</t>
  </si>
  <si>
    <t xml:space="preserve">10320909B01D</t>
  </si>
  <si>
    <t xml:space="preserve">Phenoline 353 Part B</t>
  </si>
  <si>
    <t xml:space="preserve">10490200A04D</t>
  </si>
  <si>
    <t xml:space="preserve">Carbomastic 615 Part A Brown</t>
  </si>
  <si>
    <t xml:space="preserve">10490200AAUD</t>
  </si>
  <si>
    <t xml:space="preserve">10490700A04D</t>
  </si>
  <si>
    <t xml:space="preserve">Carbomastic 615 Part A Grey</t>
  </si>
  <si>
    <t xml:space="preserve">10490700AAUD</t>
  </si>
  <si>
    <t xml:space="preserve">10490908B01D</t>
  </si>
  <si>
    <t xml:space="preserve">Carbomastic 615 Part B</t>
  </si>
  <si>
    <t xml:space="preserve">10490908BATD</t>
  </si>
  <si>
    <t xml:space="preserve">1049C900A04D</t>
  </si>
  <si>
    <t xml:space="preserve">Carbomastic 615 Part A Black</t>
  </si>
  <si>
    <t xml:space="preserve">1049C900AAUD</t>
  </si>
  <si>
    <t xml:space="preserve">104PU24P005D</t>
  </si>
  <si>
    <t xml:space="preserve">Plasite 3070 Tan</t>
  </si>
  <si>
    <t xml:space="preserve">105PU24P005D</t>
  </si>
  <si>
    <t xml:space="preserve">Plasite 3070 L Buff</t>
  </si>
  <si>
    <t xml:space="preserve">106R0908B05D</t>
  </si>
  <si>
    <t xml:space="preserve">Carboguard 896 Part B</t>
  </si>
  <si>
    <t xml:space="preserve">106R1872A05D</t>
  </si>
  <si>
    <t xml:space="preserve">Carboguard 896 Part A Beige</t>
  </si>
  <si>
    <t xml:space="preserve">106RV157A05D</t>
  </si>
  <si>
    <t xml:space="preserve">Carboguard 896 Part A Blue</t>
  </si>
  <si>
    <t xml:space="preserve">1071C901A04D</t>
  </si>
  <si>
    <t xml:space="preserve">Carbomastic 615 AL</t>
  </si>
  <si>
    <t xml:space="preserve">1071C901AAUD</t>
  </si>
  <si>
    <t xml:space="preserve">107F0908B01D</t>
  </si>
  <si>
    <t xml:space="preserve">Carbomastic 94 Part B</t>
  </si>
  <si>
    <t xml:space="preserve">107F0908B05D</t>
  </si>
  <si>
    <t xml:space="preserve">107F1864A01D</t>
  </si>
  <si>
    <t xml:space="preserve">Carbomastic 94 Part A White</t>
  </si>
  <si>
    <t xml:space="preserve">107F1864A05D</t>
  </si>
  <si>
    <t xml:space="preserve">107FCLERA9CD</t>
  </si>
  <si>
    <t xml:space="preserve">Carbomastic 94 Part A CLER</t>
  </si>
  <si>
    <t xml:space="preserve">107FCLERADDD</t>
  </si>
  <si>
    <t xml:space="preserve">107FDEEPATJD</t>
  </si>
  <si>
    <t xml:space="preserve">Carbomastic 94 Part A DEEP</t>
  </si>
  <si>
    <t xml:space="preserve">107FDEEPATMD</t>
  </si>
  <si>
    <t xml:space="preserve">107FWITEA4MD</t>
  </si>
  <si>
    <t xml:space="preserve">Carbomastic 94 Part A WITE</t>
  </si>
  <si>
    <t xml:space="preserve">107FWITEATUD</t>
  </si>
  <si>
    <t xml:space="preserve">10880800A03D</t>
  </si>
  <si>
    <t xml:space="preserve">Carboguard 820 Part A White</t>
  </si>
  <si>
    <t xml:space="preserve">10880908B01D</t>
  </si>
  <si>
    <t xml:space="preserve">Carboguard 820 Part B</t>
  </si>
  <si>
    <t xml:space="preserve">10880908B1QD</t>
  </si>
  <si>
    <t xml:space="preserve">108S0910005D</t>
  </si>
  <si>
    <t xml:space="preserve">Reducer 94</t>
  </si>
  <si>
    <t xml:space="preserve">10910300A02D</t>
  </si>
  <si>
    <t xml:space="preserve">Rustbond PS Part A Green</t>
  </si>
  <si>
    <t xml:space="preserve">10910300A0HD</t>
  </si>
  <si>
    <t xml:space="preserve">10910908B01D</t>
  </si>
  <si>
    <t xml:space="preserve">Rustbond PS Part B</t>
  </si>
  <si>
    <t xml:space="preserve">10910908B1QD</t>
  </si>
  <si>
    <t xml:space="preserve">10920700AKED</t>
  </si>
  <si>
    <t xml:space="preserve">Plasite XHT 400 Part A Grey</t>
  </si>
  <si>
    <t xml:space="preserve">10920700AKSD</t>
  </si>
  <si>
    <t xml:space="preserve">10920908BKRD</t>
  </si>
  <si>
    <t xml:space="preserve">Plasite XHT 400 Part B</t>
  </si>
  <si>
    <t xml:space="preserve">10920908BKTD</t>
  </si>
  <si>
    <t xml:space="preserve">11030700AF1D</t>
  </si>
  <si>
    <t xml:space="preserve">Phenoline 385/187 VOC Part A G</t>
  </si>
  <si>
    <t xml:space="preserve">11030700AT2D</t>
  </si>
  <si>
    <t xml:space="preserve">11030800AF1D</t>
  </si>
  <si>
    <t xml:space="preserve">Phenoline 385/187 VOC Part A W</t>
  </si>
  <si>
    <t xml:space="preserve">11030800AT2D</t>
  </si>
  <si>
    <t xml:space="preserve">11110500AF1D</t>
  </si>
  <si>
    <t xml:space="preserve">Thermaline 450 EP Part A Red</t>
  </si>
  <si>
    <t xml:space="preserve">11110500AT2D</t>
  </si>
  <si>
    <t xml:space="preserve">11110700AF1D</t>
  </si>
  <si>
    <t xml:space="preserve">Thermaline 450 EP Part A Grey</t>
  </si>
  <si>
    <t xml:space="preserve">11110700AT2D</t>
  </si>
  <si>
    <t xml:space="preserve">11110908BA3D</t>
  </si>
  <si>
    <t xml:space="preserve">Thermaline 450 EP Part B</t>
  </si>
  <si>
    <t xml:space="preserve">11110908BH6D</t>
  </si>
  <si>
    <t xml:space="preserve">11130908BA3D</t>
  </si>
  <si>
    <t xml:space="preserve">High Performance Catalyst</t>
  </si>
  <si>
    <t xml:space="preserve">11130908BCPD</t>
  </si>
  <si>
    <t xml:space="preserve">11520700A04D</t>
  </si>
  <si>
    <t xml:space="preserve">Carboguard 635 VOC Part A Grey</t>
  </si>
  <si>
    <t xml:space="preserve">11520800A04D</t>
  </si>
  <si>
    <t xml:space="preserve">Carboguard 635 VOC Part A Whit</t>
  </si>
  <si>
    <t xml:space="preserve">11520800AAUD</t>
  </si>
  <si>
    <t xml:space="preserve">11520900A04D</t>
  </si>
  <si>
    <t xml:space="preserve">Carboguard 635 VOC Part A Blac</t>
  </si>
  <si>
    <t xml:space="preserve">11520900AAUD</t>
  </si>
  <si>
    <t xml:space="preserve">11520908B01D</t>
  </si>
  <si>
    <t xml:space="preserve">Carboguard 635 VOC Part B</t>
  </si>
  <si>
    <t xml:space="preserve">11520908BATD</t>
  </si>
  <si>
    <t xml:space="preserve">1152CLERAF7D</t>
  </si>
  <si>
    <t xml:space="preserve">Carboguard 635 VOC Part A CLER</t>
  </si>
  <si>
    <t xml:space="preserve">1152CLERAR4D</t>
  </si>
  <si>
    <t xml:space="preserve">1152DEEPAKAD</t>
  </si>
  <si>
    <t xml:space="preserve">Carboguard 635 VOC Part A DEEP</t>
  </si>
  <si>
    <t xml:space="preserve">1152DEEPAKBD</t>
  </si>
  <si>
    <t xml:space="preserve">1152WITEAHMD</t>
  </si>
  <si>
    <t xml:space="preserve">Carboguard 635 VOC Part A WITE</t>
  </si>
  <si>
    <t xml:space="preserve">1152WITEAKCD</t>
  </si>
  <si>
    <t xml:space="preserve">11530908B01D</t>
  </si>
  <si>
    <t xml:space="preserve">Carbomastic 615 MC Part B</t>
  </si>
  <si>
    <t xml:space="preserve">11530908BATD</t>
  </si>
  <si>
    <t xml:space="preserve">1153C901A04D</t>
  </si>
  <si>
    <t xml:space="preserve">Carbomastic 615 MC Part A Alum</t>
  </si>
  <si>
    <t xml:space="preserve">1153C901AAUD</t>
  </si>
  <si>
    <t xml:space="preserve">11560908B01D</t>
  </si>
  <si>
    <t xml:space="preserve">Carbomastic 94 TL Part B</t>
  </si>
  <si>
    <t xml:space="preserve">11560908B05D</t>
  </si>
  <si>
    <t xml:space="preserve">11561864A01D</t>
  </si>
  <si>
    <t xml:space="preserve">Carbomastic 94 TL Part A White</t>
  </si>
  <si>
    <t xml:space="preserve">11561864A05D</t>
  </si>
  <si>
    <t xml:space="preserve">1156WITEA4MD</t>
  </si>
  <si>
    <t xml:space="preserve">Carbomastic 94 TL Part A WITE</t>
  </si>
  <si>
    <t xml:space="preserve">1156WITEATUD</t>
  </si>
  <si>
    <t xml:space="preserve">116PU74PA04D</t>
  </si>
  <si>
    <t xml:space="preserve">Plasite 4550 S Part A Grey</t>
  </si>
  <si>
    <t xml:space="preserve">116PU74PAAUD</t>
  </si>
  <si>
    <t xml:space="preserve">116PU80PA04D</t>
  </si>
  <si>
    <t xml:space="preserve">Plasite 4550 S Part A White</t>
  </si>
  <si>
    <t xml:space="preserve">116PU80PAAUD</t>
  </si>
  <si>
    <t xml:space="preserve">117P0908B01D</t>
  </si>
  <si>
    <t xml:space="preserve">Plasite 4500 Part B Black</t>
  </si>
  <si>
    <t xml:space="preserve">117P0908BATD</t>
  </si>
  <si>
    <t xml:space="preserve">117P0909B04D</t>
  </si>
  <si>
    <t xml:space="preserve">Plasite 4500 Part B Clear</t>
  </si>
  <si>
    <t xml:space="preserve">117PN800A04D</t>
  </si>
  <si>
    <t xml:space="preserve">Plasite 4500 Part A White</t>
  </si>
  <si>
    <t xml:space="preserve">117PN800AAUD</t>
  </si>
  <si>
    <t xml:space="preserve">117S1754004D</t>
  </si>
  <si>
    <t xml:space="preserve">Railplex 2.0 Alkyd Primer Grey</t>
  </si>
  <si>
    <t xml:space="preserve">118P0908B01D</t>
  </si>
  <si>
    <t xml:space="preserve">Plasite 4500S/4550S Part B</t>
  </si>
  <si>
    <t xml:space="preserve">118P0908BATD</t>
  </si>
  <si>
    <t xml:space="preserve">118PU74PA04D</t>
  </si>
  <si>
    <t xml:space="preserve">Plasite 4500 S Part A Light Gr</t>
  </si>
  <si>
    <t xml:space="preserve">118PU74PAAUD</t>
  </si>
  <si>
    <t xml:space="preserve">118PU80PA04D</t>
  </si>
  <si>
    <t xml:space="preserve">Plasite 4500 S 5 Gallon White</t>
  </si>
  <si>
    <t xml:space="preserve">118PU80PAAUD</t>
  </si>
  <si>
    <t xml:space="preserve">Plasite 4500 S 1 Gal A White</t>
  </si>
  <si>
    <t xml:space="preserve">119P0908B01D</t>
  </si>
  <si>
    <t xml:space="preserve">Plasite 4550 Part B Black</t>
  </si>
  <si>
    <t xml:space="preserve">119P0909B01D</t>
  </si>
  <si>
    <t xml:space="preserve">Plasite 4550 Part B Clear</t>
  </si>
  <si>
    <t xml:space="preserve">119PU74PA04D</t>
  </si>
  <si>
    <t xml:space="preserve">Plasite 4550 Part A Grey</t>
  </si>
  <si>
    <t xml:space="preserve">119PU80PA04D</t>
  </si>
  <si>
    <t xml:space="preserve">Plasite 4550 Part A White</t>
  </si>
  <si>
    <t xml:space="preserve">12090908B01D</t>
  </si>
  <si>
    <t xml:space="preserve">Carboguard 1209 Part B 0908</t>
  </si>
  <si>
    <t xml:space="preserve">12095742A3JD</t>
  </si>
  <si>
    <t xml:space="preserve">Carboguard 1209 Part A Grey 57</t>
  </si>
  <si>
    <t xml:space="preserve">1220B500005D</t>
  </si>
  <si>
    <t xml:space="preserve">Plasite 3073 Red</t>
  </si>
  <si>
    <t xml:space="preserve">1220B500050D</t>
  </si>
  <si>
    <t xml:space="preserve">122S2758005D</t>
  </si>
  <si>
    <t xml:space="preserve">Railplex 2.8 LH Non-Skid Grey</t>
  </si>
  <si>
    <t xml:space="preserve">130P0908BVBD</t>
  </si>
  <si>
    <t xml:space="preserve">Plasite 7122 Part B</t>
  </si>
  <si>
    <t xml:space="preserve">130P0908BVTD</t>
  </si>
  <si>
    <t xml:space="preserve">130PU74PA9KD</t>
  </si>
  <si>
    <t xml:space="preserve">Plasite 7122 Part A</t>
  </si>
  <si>
    <t xml:space="preserve">130PU74PA9MD</t>
  </si>
  <si>
    <t xml:space="preserve">130PU80PA9KD</t>
  </si>
  <si>
    <t xml:space="preserve">Plasite 7122 Part A White</t>
  </si>
  <si>
    <t xml:space="preserve">130PU80PA9MD</t>
  </si>
  <si>
    <t xml:space="preserve">13470908B01D</t>
  </si>
  <si>
    <t xml:space="preserve">Carboxane 2100 FC Part B</t>
  </si>
  <si>
    <t xml:space="preserve">13470908BATD</t>
  </si>
  <si>
    <t xml:space="preserve">1347CLERAR5D</t>
  </si>
  <si>
    <t xml:space="preserve">Carboxane 2100 FC Part A CLER</t>
  </si>
  <si>
    <t xml:space="preserve">1347WITEAKCD</t>
  </si>
  <si>
    <t xml:space="preserve">Carboxane 2100 FC Part A WITE</t>
  </si>
  <si>
    <t xml:space="preserve">13490909B01D</t>
  </si>
  <si>
    <t xml:space="preserve">Carboquick 200 Part B</t>
  </si>
  <si>
    <t xml:space="preserve">13490909B1QD</t>
  </si>
  <si>
    <t xml:space="preserve">13491864A02D</t>
  </si>
  <si>
    <t xml:space="preserve">Carboquick 200 Part A White</t>
  </si>
  <si>
    <t xml:space="preserve">13491864A0HD</t>
  </si>
  <si>
    <t xml:space="preserve">13491864A50D</t>
  </si>
  <si>
    <t xml:space="preserve">13495555A02D</t>
  </si>
  <si>
    <t xml:space="preserve">Carboquick 200 Part A Red</t>
  </si>
  <si>
    <t xml:space="preserve">13496666A02D</t>
  </si>
  <si>
    <t xml:space="preserve">Carboquick 200 Part A Yellow</t>
  </si>
  <si>
    <t xml:space="preserve">1349C900A02D</t>
  </si>
  <si>
    <t xml:space="preserve">Carboquick 200 Part A Black</t>
  </si>
  <si>
    <t xml:space="preserve">1349CLERA9RD</t>
  </si>
  <si>
    <t xml:space="preserve">Carboquick 200 Part A CLER</t>
  </si>
  <si>
    <t xml:space="preserve">1349CLERAPHD</t>
  </si>
  <si>
    <t xml:space="preserve">1349DEEPACID</t>
  </si>
  <si>
    <t xml:space="preserve">Carboquick 200 Part A DEEP</t>
  </si>
  <si>
    <t xml:space="preserve">1349DEEPAE3D</t>
  </si>
  <si>
    <t xml:space="preserve">1349S179A0HD</t>
  </si>
  <si>
    <t xml:space="preserve">Carboquick 200 Part A Blue</t>
  </si>
  <si>
    <t xml:space="preserve">1349WITEAE8D</t>
  </si>
  <si>
    <t xml:space="preserve">Carboquick 200 Part A WITE</t>
  </si>
  <si>
    <t xml:space="preserve">1349WITEARZD</t>
  </si>
  <si>
    <t xml:space="preserve">1351C900A02D</t>
  </si>
  <si>
    <t xml:space="preserve">Carboquick 201 SG Part A Black</t>
  </si>
  <si>
    <t xml:space="preserve">13550908BHPD</t>
  </si>
  <si>
    <t xml:space="preserve">Urethane Converter MC</t>
  </si>
  <si>
    <t xml:space="preserve">13581864A04D</t>
  </si>
  <si>
    <t xml:space="preserve">Carboxane 2100 BR Part A White</t>
  </si>
  <si>
    <t xml:space="preserve">13581864AAUD</t>
  </si>
  <si>
    <t xml:space="preserve">13601864A04D</t>
  </si>
  <si>
    <t xml:space="preserve">Carboxane 960 Part A Whi</t>
  </si>
  <si>
    <t xml:space="preserve">14020907B50D</t>
  </si>
  <si>
    <t xml:space="preserve">Phenoline Tank Shield Plus</t>
  </si>
  <si>
    <t xml:space="preserve">1402N100A50D</t>
  </si>
  <si>
    <t xml:space="preserve">Phenoline Tank Shield Plus Par</t>
  </si>
  <si>
    <t xml:space="preserve">14030600B02D</t>
  </si>
  <si>
    <t xml:space="preserve">Phenoline Tank Shield FP Part</t>
  </si>
  <si>
    <t xml:space="preserve">14030900A02D</t>
  </si>
  <si>
    <t xml:space="preserve">141P0908BGHD</t>
  </si>
  <si>
    <t xml:space="preserve">Plasite 7133 HS Part B</t>
  </si>
  <si>
    <t xml:space="preserve">141PU74PA9CD</t>
  </si>
  <si>
    <t xml:space="preserve">Plasite 7133 HS Part A Light G</t>
  </si>
  <si>
    <t xml:space="preserve">141PU80PA9CD</t>
  </si>
  <si>
    <t xml:space="preserve">Plasite 7133 HS Part A White</t>
  </si>
  <si>
    <t xml:space="preserve">144P0908B01D</t>
  </si>
  <si>
    <t xml:space="preserve">Plasite 7159 Part B</t>
  </si>
  <si>
    <t xml:space="preserve">144P0908BATD</t>
  </si>
  <si>
    <t xml:space="preserve">144PU74PA04D</t>
  </si>
  <si>
    <t xml:space="preserve">Plasite 7159 Part A Light Grey</t>
  </si>
  <si>
    <t xml:space="preserve">144PU74PAAUD</t>
  </si>
  <si>
    <t xml:space="preserve">144PU84PA04D</t>
  </si>
  <si>
    <t xml:space="preserve">Plasite 7159 Part A Ivory</t>
  </si>
  <si>
    <t xml:space="preserve">144PU84PAAUD</t>
  </si>
  <si>
    <t xml:space="preserve">15280910A04D</t>
  </si>
  <si>
    <t xml:space="preserve">Carbothane 134 Clear Coat A</t>
  </si>
  <si>
    <t xml:space="preserve">15280910AAUD</t>
  </si>
  <si>
    <t xml:space="preserve">1530CLERAT1D</t>
  </si>
  <si>
    <t xml:space="preserve">Carbothane 134 UV Ultra Part A</t>
  </si>
  <si>
    <t xml:space="preserve">1530DEEPAR5D</t>
  </si>
  <si>
    <t xml:space="preserve">1530WITEAR7D</t>
  </si>
  <si>
    <t xml:space="preserve">1530WITEAR8D</t>
  </si>
  <si>
    <t xml:space="preserve">156P0908BATD</t>
  </si>
  <si>
    <t xml:space="preserve">Plasite 9060/9060 HAR Part B</t>
  </si>
  <si>
    <t xml:space="preserve">156PU24PAAUD</t>
  </si>
  <si>
    <t xml:space="preserve">Plasite 9060 Part A Tan</t>
  </si>
  <si>
    <t xml:space="preserve">160P0908B01D</t>
  </si>
  <si>
    <t xml:space="preserve">Plasite 9085 Part B</t>
  </si>
  <si>
    <t xml:space="preserve">160PU51PA04D</t>
  </si>
  <si>
    <t xml:space="preserve">Plasite 9085 Part A Tile Red</t>
  </si>
  <si>
    <t xml:space="preserve">160PU80PA04D</t>
  </si>
  <si>
    <t xml:space="preserve">Plasite 9085 Part A White</t>
  </si>
  <si>
    <t xml:space="preserve">164P0908BG7D</t>
  </si>
  <si>
    <t xml:space="preserve">Plasite 9145 Part B</t>
  </si>
  <si>
    <t xml:space="preserve">164PU80PAF5D</t>
  </si>
  <si>
    <t xml:space="preserve">Plasite 9145 Part A White</t>
  </si>
  <si>
    <t xml:space="preserve">165P0908BCCD</t>
  </si>
  <si>
    <t xml:space="preserve">Plasite 9145 TFE Part B</t>
  </si>
  <si>
    <t xml:space="preserve">165PU11PAD5D</t>
  </si>
  <si>
    <t xml:space="preserve">Plasite 9145 TFE Part A Lt. Bl</t>
  </si>
  <si>
    <t xml:space="preserve">168P0908B01D</t>
  </si>
  <si>
    <t xml:space="preserve">Plasite 9570/9570 HAR Part B</t>
  </si>
  <si>
    <t xml:space="preserve">168PU33PA04D</t>
  </si>
  <si>
    <t xml:space="preserve">Plasite 9570 Part A Olive</t>
  </si>
  <si>
    <t xml:space="preserve">168PU60PA04D</t>
  </si>
  <si>
    <t xml:space="preserve">Plasite 9570 Part A Yellow</t>
  </si>
  <si>
    <t xml:space="preserve">168PU86PA04D</t>
  </si>
  <si>
    <t xml:space="preserve">Plasite 9570 Part A Cream</t>
  </si>
  <si>
    <t xml:space="preserve">170P0908B01D</t>
  </si>
  <si>
    <t xml:space="preserve">Plasite 9573 Part B</t>
  </si>
  <si>
    <t xml:space="preserve">170PU33PA04D</t>
  </si>
  <si>
    <t xml:space="preserve">Plasite 9573 Part A Olive</t>
  </si>
  <si>
    <t xml:space="preserve">170PU70P9DPD</t>
  </si>
  <si>
    <t xml:space="preserve">Plasite 9573 Grey  9 X 1</t>
  </si>
  <si>
    <t xml:space="preserve">170PU70PA04D</t>
  </si>
  <si>
    <t xml:space="preserve">Plasite 9573 Part A Grey</t>
  </si>
  <si>
    <t xml:space="preserve">170PU80PA04D</t>
  </si>
  <si>
    <t xml:space="preserve">Plasite 9573 Part A White</t>
  </si>
  <si>
    <t xml:space="preserve">171P0000A01D</t>
  </si>
  <si>
    <t xml:space="preserve">Semstone 110 Part A</t>
  </si>
  <si>
    <t xml:space="preserve">171P0000A05D</t>
  </si>
  <si>
    <t xml:space="preserve">171P0908B05D</t>
  </si>
  <si>
    <t xml:space="preserve">Semstone 110 Part B</t>
  </si>
  <si>
    <t xml:space="preserve">171P0908B0HD</t>
  </si>
  <si>
    <t xml:space="preserve">173P0908B01D</t>
  </si>
  <si>
    <t xml:space="preserve">Semstone 140/145 Part B</t>
  </si>
  <si>
    <t xml:space="preserve">173P0908BATD</t>
  </si>
  <si>
    <t xml:space="preserve">173PU74PA04D</t>
  </si>
  <si>
    <t xml:space="preserve">Semstone 140 Part A Light Grey</t>
  </si>
  <si>
    <t xml:space="preserve">173PU74PAAUD</t>
  </si>
  <si>
    <t xml:space="preserve">177PU74PA04D</t>
  </si>
  <si>
    <t xml:space="preserve">Semstone 145/145 CT Part A Lt.</t>
  </si>
  <si>
    <t xml:space="preserve">177PU74PAAUD</t>
  </si>
  <si>
    <t xml:space="preserve">Semstone 145/145 CT part A Lt.</t>
  </si>
  <si>
    <t xml:space="preserve">178P0908B01D</t>
  </si>
  <si>
    <t xml:space="preserve">Semstone 145 CT Part B</t>
  </si>
  <si>
    <t xml:space="preserve">178P0908BATD</t>
  </si>
  <si>
    <t xml:space="preserve">193D09040L2D</t>
  </si>
  <si>
    <t xml:space="preserve">G-2 Filler 25 lbs</t>
  </si>
  <si>
    <t xml:space="preserve">199P0000AF3D</t>
  </si>
  <si>
    <t xml:space="preserve">Semstone 805 Hardener Part A</t>
  </si>
  <si>
    <t xml:space="preserve">199P0000AJ2D</t>
  </si>
  <si>
    <t xml:space="preserve">199PU70PB4UD</t>
  </si>
  <si>
    <t xml:space="preserve">Semstone 805 Resin Part B</t>
  </si>
  <si>
    <t xml:space="preserve">199PU70PB7ED</t>
  </si>
  <si>
    <t xml:space="preserve">20000908B2PD</t>
  </si>
  <si>
    <t xml:space="preserve">Carboxane 2000 Part B 0908</t>
  </si>
  <si>
    <t xml:space="preserve">20000908BHSD</t>
  </si>
  <si>
    <t xml:space="preserve">20001864ARGD</t>
  </si>
  <si>
    <t xml:space="preserve">Carboxane 2000 Part A White 18</t>
  </si>
  <si>
    <t xml:space="preserve">20005555ARGD</t>
  </si>
  <si>
    <t xml:space="preserve">Carboxane 2000 Part A Red</t>
  </si>
  <si>
    <t xml:space="preserve">20006666ARGD</t>
  </si>
  <si>
    <t xml:space="preserve">Carboxane 2000 Part A Yellow</t>
  </si>
  <si>
    <t xml:space="preserve">2000CLERAGHD</t>
  </si>
  <si>
    <t xml:space="preserve">Carboxane 2000 Part A CLER</t>
  </si>
  <si>
    <t xml:space="preserve">2000CLERAT8D</t>
  </si>
  <si>
    <t xml:space="preserve">2000DEEPAGGD</t>
  </si>
  <si>
    <t xml:space="preserve">Carboxane 2000 Part A DEEP</t>
  </si>
  <si>
    <t xml:space="preserve">2000DEEPAT5D</t>
  </si>
  <si>
    <t xml:space="preserve">2000WITEAGED</t>
  </si>
  <si>
    <t xml:space="preserve">Carboxane 2000 Part A WITE</t>
  </si>
  <si>
    <t xml:space="preserve">2000WITEAT4D</t>
  </si>
  <si>
    <t xml:space="preserve">20030908B01D</t>
  </si>
  <si>
    <t xml:space="preserve">Carboxane 2000 Satin Part B</t>
  </si>
  <si>
    <t xml:space="preserve">20030908B05D</t>
  </si>
  <si>
    <t xml:space="preserve">2003CLERAE4D</t>
  </si>
  <si>
    <t xml:space="preserve">Carboxane 2000 Satin Part A CL</t>
  </si>
  <si>
    <t xml:space="preserve">2003CLERATAD</t>
  </si>
  <si>
    <t xml:space="preserve">2003DEEPATMD</t>
  </si>
  <si>
    <t xml:space="preserve">Carboxane 2000 Satin Part A DE</t>
  </si>
  <si>
    <t xml:space="preserve">2003WITEA4MD</t>
  </si>
  <si>
    <t xml:space="preserve">Carboxane 2000 Satin Part A WI</t>
  </si>
  <si>
    <t xml:space="preserve">2003WITEATUD</t>
  </si>
  <si>
    <t xml:space="preserve">200P0908B01D</t>
  </si>
  <si>
    <t xml:space="preserve">Semstone 806 Hardener</t>
  </si>
  <si>
    <t xml:space="preserve">200P0908BATD</t>
  </si>
  <si>
    <t xml:space="preserve">200PU74PA4WD</t>
  </si>
  <si>
    <t xml:space="preserve">Semstone 806 Part A Light Grey</t>
  </si>
  <si>
    <t xml:space="preserve">200PU74PA8BD</t>
  </si>
  <si>
    <t xml:space="preserve">205P0908B1JD</t>
  </si>
  <si>
    <t xml:space="preserve">Semstone 870 Part B</t>
  </si>
  <si>
    <t xml:space="preserve">205P0908BV6D</t>
  </si>
  <si>
    <t xml:space="preserve">205PU74PA01D</t>
  </si>
  <si>
    <t xml:space="preserve">Semstone 870 Part A Light Grey</t>
  </si>
  <si>
    <t xml:space="preserve">205PU74PA0ND</t>
  </si>
  <si>
    <t xml:space="preserve">208F0820A05D</t>
  </si>
  <si>
    <t xml:space="preserve">Carboguard 824 (F152) A White</t>
  </si>
  <si>
    <t xml:space="preserve">208F0908B01D</t>
  </si>
  <si>
    <t xml:space="preserve">Carboguard 824(F-151,152,153)B</t>
  </si>
  <si>
    <t xml:space="preserve">208F0908B05D</t>
  </si>
  <si>
    <t xml:space="preserve">Carboguard 824 (F-151,152,153)</t>
  </si>
  <si>
    <t xml:space="preserve">215F0910005D</t>
  </si>
  <si>
    <t xml:space="preserve">Thinner 248</t>
  </si>
  <si>
    <t xml:space="preserve">215P0910005D</t>
  </si>
  <si>
    <t xml:space="preserve">Plasite Thinner #19</t>
  </si>
  <si>
    <t xml:space="preserve">216S0908B05D</t>
  </si>
  <si>
    <t xml:space="preserve">Stratholiner 7010 Part B</t>
  </si>
  <si>
    <t xml:space="preserve">216SB195A05D</t>
  </si>
  <si>
    <t xml:space="preserve">Stratholiner 7010 Part A Blue</t>
  </si>
  <si>
    <t xml:space="preserve">223P0910005D</t>
  </si>
  <si>
    <t xml:space="preserve">Thinner 68</t>
  </si>
  <si>
    <t xml:space="preserve">226P0910005D</t>
  </si>
  <si>
    <t xml:space="preserve">Plasite Thinner #71</t>
  </si>
  <si>
    <t xml:space="preserve">300D0000AJVD</t>
  </si>
  <si>
    <t xml:space="preserve">Scratch-Coat 800 Part A</t>
  </si>
  <si>
    <t xml:space="preserve">301D0000AJVD</t>
  </si>
  <si>
    <t xml:space="preserve">Primer 27 Part A</t>
  </si>
  <si>
    <t xml:space="preserve">302D0910BLFD</t>
  </si>
  <si>
    <t xml:space="preserve">PH-1 Hardener</t>
  </si>
  <si>
    <t xml:space="preserve">306D0766AJVD</t>
  </si>
  <si>
    <t xml:space="preserve">Protecto-Coat 800 Part A Med G</t>
  </si>
  <si>
    <t xml:space="preserve">307D0766AJVD</t>
  </si>
  <si>
    <t xml:space="preserve">Protecto-Coat 900 Part A Med G</t>
  </si>
  <si>
    <t xml:space="preserve">311P00000VKD</t>
  </si>
  <si>
    <t xml:space="preserve">Semstone Scrim Cloth 240 SF</t>
  </si>
  <si>
    <t xml:space="preserve">312P09000W4D</t>
  </si>
  <si>
    <t xml:space="preserve">Semstone Fabric 100 (4"x50')</t>
  </si>
  <si>
    <t xml:space="preserve">312P09000W5D</t>
  </si>
  <si>
    <t xml:space="preserve">Semstone Fabric 100 (6"x50')</t>
  </si>
  <si>
    <t xml:space="preserve">315P000000ED</t>
  </si>
  <si>
    <t xml:space="preserve">Semstone Thixotrope D</t>
  </si>
  <si>
    <t xml:space="preserve">33AD00000EAD</t>
  </si>
  <si>
    <t xml:space="preserve">AD Pallet Rain Cap</t>
  </si>
  <si>
    <t xml:space="preserve">343P00000L6D</t>
  </si>
  <si>
    <t xml:space="preserve">Plasite 4100/4110 Part D</t>
  </si>
  <si>
    <t xml:space="preserve">343P00000L7D</t>
  </si>
  <si>
    <t xml:space="preserve">343P0000CKLD</t>
  </si>
  <si>
    <t xml:space="preserve">Plasite 4100/4110 Part C</t>
  </si>
  <si>
    <t xml:space="preserve">343P0000CWLD</t>
  </si>
  <si>
    <t xml:space="preserve">343P0700A1AD</t>
  </si>
  <si>
    <t xml:space="preserve">Plasite 4100/4110 Part A Grey</t>
  </si>
  <si>
    <t xml:space="preserve">343P0700A1GD</t>
  </si>
  <si>
    <t xml:space="preserve">343P0908B0LD</t>
  </si>
  <si>
    <t xml:space="preserve">Plasite 4100 Part B</t>
  </si>
  <si>
    <t xml:space="preserve">343P0908B0MD</t>
  </si>
  <si>
    <t xml:space="preserve">344P0908B1VD</t>
  </si>
  <si>
    <t xml:space="preserve">Plasite 4110 Part B</t>
  </si>
  <si>
    <t xml:space="preserve">344P0908B5ND</t>
  </si>
  <si>
    <t xml:space="preserve">345P000002KD</t>
  </si>
  <si>
    <t xml:space="preserve">Plasite 4300/4310 Part D</t>
  </si>
  <si>
    <t xml:space="preserve">345P0000038D</t>
  </si>
  <si>
    <t xml:space="preserve">345P0000C1ZD</t>
  </si>
  <si>
    <t xml:space="preserve">Plasite 4300/4310 Part C</t>
  </si>
  <si>
    <t xml:space="preserve">345P0000C37D</t>
  </si>
  <si>
    <t xml:space="preserve">345P0700A1ND</t>
  </si>
  <si>
    <t xml:space="preserve">Plasite 4300/4310 Part A</t>
  </si>
  <si>
    <t xml:space="preserve">345P0700A2MD</t>
  </si>
  <si>
    <t xml:space="preserve">345P0908B1BD</t>
  </si>
  <si>
    <t xml:space="preserve">Plasite 4300 Part B</t>
  </si>
  <si>
    <t xml:space="preserve">345P0908B2XD</t>
  </si>
  <si>
    <t xml:space="preserve">346P0908B2BD</t>
  </si>
  <si>
    <t xml:space="preserve">Plasite 4310 Part B</t>
  </si>
  <si>
    <t xml:space="preserve">346P0908B2DD</t>
  </si>
  <si>
    <t xml:space="preserve">361P0908BVQD</t>
  </si>
  <si>
    <t xml:space="preserve">Plasite 7122 V Series Part B</t>
  </si>
  <si>
    <t xml:space="preserve">361P0908BZND</t>
  </si>
  <si>
    <t xml:space="preserve">361PU11PAZMD</t>
  </si>
  <si>
    <t xml:space="preserve">Plasite 7122 VOC Part A Light</t>
  </si>
  <si>
    <t xml:space="preserve">361PU74PAZLD</t>
  </si>
  <si>
    <t xml:space="preserve">361PU74PAZMD</t>
  </si>
  <si>
    <t xml:space="preserve">361PU80PAZLD</t>
  </si>
  <si>
    <t xml:space="preserve">Plasite 7122 VOC Part A White</t>
  </si>
  <si>
    <t xml:space="preserve">361PU80PAZMD</t>
  </si>
  <si>
    <t xml:space="preserve">44020000C3WD</t>
  </si>
  <si>
    <t xml:space="preserve">Glass Flake Additive</t>
  </si>
  <si>
    <t xml:space="preserve">44020000C4SD</t>
  </si>
  <si>
    <t xml:space="preserve">44020000CP6D</t>
  </si>
  <si>
    <t xml:space="preserve">44570904CJPD</t>
  </si>
  <si>
    <t xml:space="preserve">Non-Skid Filler #1</t>
  </si>
  <si>
    <t xml:space="preserve">44570904CSPD</t>
  </si>
  <si>
    <t xml:space="preserve">4700C705001D</t>
  </si>
  <si>
    <t xml:space="preserve">Thermaline 4700</t>
  </si>
  <si>
    <t xml:space="preserve">4700C705005D</t>
  </si>
  <si>
    <t xml:space="preserve">Thermaline 4700 Grey C705</t>
  </si>
  <si>
    <t xml:space="preserve">4700C900001D</t>
  </si>
  <si>
    <t xml:space="preserve">Thermaline 4700 Black C900</t>
  </si>
  <si>
    <t xml:space="preserve">4700C900005D</t>
  </si>
  <si>
    <t xml:space="preserve">4701C901001D</t>
  </si>
  <si>
    <t xml:space="preserve">Thermaline 4700 Aluminum C901</t>
  </si>
  <si>
    <t xml:space="preserve">4701C901005D</t>
  </si>
  <si>
    <t xml:space="preserve">4703C705001D</t>
  </si>
  <si>
    <t xml:space="preserve">Thermaline 4700 VOC</t>
  </si>
  <si>
    <t xml:space="preserve">4703C900001D</t>
  </si>
  <si>
    <t xml:space="preserve">Thermaline 4700 VOC Black C900</t>
  </si>
  <si>
    <t xml:space="preserve">4704C901001D</t>
  </si>
  <si>
    <t xml:space="preserve">Thermaline 4700 VOC Aluminum</t>
  </si>
  <si>
    <t xml:space="preserve">4704C901005D</t>
  </si>
  <si>
    <t xml:space="preserve">4708C703001D</t>
  </si>
  <si>
    <t xml:space="preserve">Thermaline 4000 Grey</t>
  </si>
  <si>
    <t xml:space="preserve">4708C703005D</t>
  </si>
  <si>
    <t xml:space="preserve">4708C705005D</t>
  </si>
  <si>
    <t xml:space="preserve">4708F703001D</t>
  </si>
  <si>
    <t xml:space="preserve">4708F703005D</t>
  </si>
  <si>
    <t xml:space="preserve">4708S800005D</t>
  </si>
  <si>
    <t xml:space="preserve">Thermaline 4000 White</t>
  </si>
  <si>
    <t xml:space="preserve">4709C901001D</t>
  </si>
  <si>
    <t xml:space="preserve">Thermaline 4000 Aluminum</t>
  </si>
  <si>
    <t xml:space="preserve">4709C901005D</t>
  </si>
  <si>
    <t xml:space="preserve">4901C705001D</t>
  </si>
  <si>
    <t xml:space="preserve">Thermaline 4900</t>
  </si>
  <si>
    <t xml:space="preserve">4901C705005D</t>
  </si>
  <si>
    <t xml:space="preserve">Thermaline 4900 Grey</t>
  </si>
  <si>
    <t xml:space="preserve">4901CLER0TJD</t>
  </si>
  <si>
    <t xml:space="preserve">Thermaline 4900 CLER</t>
  </si>
  <si>
    <t xml:space="preserve">4901CLER0TMD</t>
  </si>
  <si>
    <t xml:space="preserve">4901DEEP04MD</t>
  </si>
  <si>
    <t xml:space="preserve">Thermaline 4900 DEEP</t>
  </si>
  <si>
    <t xml:space="preserve">4901DEEP09ED</t>
  </si>
  <si>
    <t xml:space="preserve">4901WITE0RJD</t>
  </si>
  <si>
    <t xml:space="preserve">4901WITE0RVD</t>
  </si>
  <si>
    <t xml:space="preserve">Thermaline 4900 WITE</t>
  </si>
  <si>
    <t xml:space="preserve">4902C901001D</t>
  </si>
  <si>
    <t xml:space="preserve">Thermaline 4900 Aluminum</t>
  </si>
  <si>
    <t xml:space="preserve">4902C901005D</t>
  </si>
  <si>
    <t xml:space="preserve">4903CLER0TJD</t>
  </si>
  <si>
    <t xml:space="preserve">Thermaline 4900 VOC CLER</t>
  </si>
  <si>
    <t xml:space="preserve">4903CLER0TMD</t>
  </si>
  <si>
    <t xml:space="preserve">Thermaline 4900 VOC</t>
  </si>
  <si>
    <t xml:space="preserve">4903DEEP04MD</t>
  </si>
  <si>
    <t xml:space="preserve">Thermaline 4900 VOC DEEP</t>
  </si>
  <si>
    <t xml:space="preserve">4903DEEP09ED</t>
  </si>
  <si>
    <t xml:space="preserve">4903WITE0RJD</t>
  </si>
  <si>
    <t xml:space="preserve">4903WITE0RVD</t>
  </si>
  <si>
    <t xml:space="preserve">Thermaline 4900 VOC WITE</t>
  </si>
  <si>
    <t xml:space="preserve">4904C901001D</t>
  </si>
  <si>
    <t xml:space="preserve">Thermaline 4900 VOC Aluminum</t>
  </si>
  <si>
    <t xml:space="preserve">4904C901005D</t>
  </si>
  <si>
    <t xml:space="preserve">51120010000D</t>
  </si>
  <si>
    <t xml:space="preserve">Semstone Thixotrope C 1#</t>
  </si>
  <si>
    <t xml:space="preserve">51120030000D</t>
  </si>
  <si>
    <t xml:space="preserve">Semstone Thixotrope C 3#</t>
  </si>
  <si>
    <t xml:space="preserve">5319N000A02D</t>
  </si>
  <si>
    <t xml:space="preserve">Phenoline Tank Shield Part A</t>
  </si>
  <si>
    <t xml:space="preserve">5319N000A05D</t>
  </si>
  <si>
    <t xml:space="preserve">5319N000A50D</t>
  </si>
  <si>
    <t xml:space="preserve">5319N800B02D</t>
  </si>
  <si>
    <t xml:space="preserve">Phenoline Tank Shield Part B W</t>
  </si>
  <si>
    <t xml:space="preserve">5319N800B05D</t>
  </si>
  <si>
    <t xml:space="preserve">5319N800B50D</t>
  </si>
  <si>
    <t xml:space="preserve">5319N909A02D</t>
  </si>
  <si>
    <t xml:space="preserve">5319N909A05D</t>
  </si>
  <si>
    <t xml:space="preserve">5319N910A02D</t>
  </si>
  <si>
    <t xml:space="preserve">5319N910A05D</t>
  </si>
  <si>
    <t xml:space="preserve">53220800A04D</t>
  </si>
  <si>
    <t xml:space="preserve">Plasite 4550 HT Part A White</t>
  </si>
  <si>
    <t xml:space="preserve">53220800A50D</t>
  </si>
  <si>
    <t xml:space="preserve">53220910B01D</t>
  </si>
  <si>
    <t xml:space="preserve">Plasite 4550 HT Part B Blue</t>
  </si>
  <si>
    <t xml:space="preserve">53220910B04D</t>
  </si>
  <si>
    <t xml:space="preserve">53220910B50D</t>
  </si>
  <si>
    <t xml:space="preserve">53240200A04D</t>
  </si>
  <si>
    <t xml:space="preserve">Plasite 4550 FP Part A Buff</t>
  </si>
  <si>
    <t xml:space="preserve">53240908B04D</t>
  </si>
  <si>
    <t xml:space="preserve">Plasite 4550 FP Part B</t>
  </si>
  <si>
    <t xml:space="preserve">5330N101AF1D</t>
  </si>
  <si>
    <t xml:space="preserve">Hydroplate 1086 Part A Blue</t>
  </si>
  <si>
    <t xml:space="preserve">8215C901005D</t>
  </si>
  <si>
    <t xml:space="preserve">Carbocoat 8215 C901</t>
  </si>
  <si>
    <t xml:space="preserve">85040910001D</t>
  </si>
  <si>
    <t xml:space="preserve">Additive 8504</t>
  </si>
  <si>
    <t xml:space="preserve">85050910001D</t>
  </si>
  <si>
    <t xml:space="preserve">Additive 8505</t>
  </si>
  <si>
    <t xml:space="preserve">85090910001D</t>
  </si>
  <si>
    <t xml:space="preserve">Additive 8509</t>
  </si>
  <si>
    <t xml:space="preserve">87070300A03D</t>
  </si>
  <si>
    <t xml:space="preserve">Carbozinc 8701 Part A Green</t>
  </si>
  <si>
    <t xml:space="preserve">87070300AAUD</t>
  </si>
  <si>
    <t xml:space="preserve">87070908B3QD</t>
  </si>
  <si>
    <t xml:space="preserve">Carbozinc 8701 Part B</t>
  </si>
  <si>
    <t xml:space="preserve">87070908BATD</t>
  </si>
  <si>
    <t xml:space="preserve">88080909B01D</t>
  </si>
  <si>
    <t xml:space="preserve">Urethane Converter 8800 0909</t>
  </si>
  <si>
    <t xml:space="preserve">88080909BATD</t>
  </si>
  <si>
    <t xml:space="preserve">88121864A04D</t>
  </si>
  <si>
    <t xml:space="preserve">Carbothane 8812 Part A White 1</t>
  </si>
  <si>
    <t xml:space="preserve">88151864A04D</t>
  </si>
  <si>
    <t xml:space="preserve">Carbothane 8815 Part A White</t>
  </si>
  <si>
    <t xml:space="preserve">8815C900A04D</t>
  </si>
  <si>
    <t xml:space="preserve">Carbothane 8815 Part A Black</t>
  </si>
  <si>
    <t xml:space="preserve">8815CLERAT1D</t>
  </si>
  <si>
    <t xml:space="preserve">Carbothane 8815 Part A CLER</t>
  </si>
  <si>
    <t xml:space="preserve">8815CLERAT2D</t>
  </si>
  <si>
    <t xml:space="preserve">8815DEEPAKAD</t>
  </si>
  <si>
    <t xml:space="preserve">Carbothane 8815 Part A DEEP</t>
  </si>
  <si>
    <t xml:space="preserve">8815DEEPAKBD</t>
  </si>
  <si>
    <t xml:space="preserve">8815WITEAKCD</t>
  </si>
  <si>
    <t xml:space="preserve">Carbothane 8815 Part A WITE</t>
  </si>
  <si>
    <t xml:space="preserve">8815WITEAKDD</t>
  </si>
  <si>
    <t xml:space="preserve">88180909B01D</t>
  </si>
  <si>
    <t xml:space="preserve">Urethane Converter 8818 0909</t>
  </si>
  <si>
    <t xml:space="preserve">88180909BATD</t>
  </si>
  <si>
    <t xml:space="preserve">8837CLERAF7D</t>
  </si>
  <si>
    <t xml:space="preserve">Carbothane 133 LH Part A CLER</t>
  </si>
  <si>
    <t xml:space="preserve">8837CLERAR4D</t>
  </si>
  <si>
    <t xml:space="preserve">8837DEEPAR5D</t>
  </si>
  <si>
    <t xml:space="preserve">Carbothane 133 LH Part A DEEP</t>
  </si>
  <si>
    <t xml:space="preserve">8837DEEPAR6D</t>
  </si>
  <si>
    <t xml:space="preserve">8837WITEAR7D</t>
  </si>
  <si>
    <t xml:space="preserve">Carbothane 133 LH Part A WITE</t>
  </si>
  <si>
    <t xml:space="preserve">8837WITEAR8D</t>
  </si>
  <si>
    <t xml:space="preserve">88430909B01D</t>
  </si>
  <si>
    <t xml:space="preserve">Urethane Converter 8843</t>
  </si>
  <si>
    <t xml:space="preserve">88430909B50D</t>
  </si>
  <si>
    <t xml:space="preserve">88430909BATD</t>
  </si>
  <si>
    <t xml:space="preserve">88451675A04D</t>
  </si>
  <si>
    <t xml:space="preserve">Carbothane 8845 Part A Yellow</t>
  </si>
  <si>
    <t xml:space="preserve">88451675AAUD</t>
  </si>
  <si>
    <t xml:space="preserve">88455555A04D</t>
  </si>
  <si>
    <t xml:space="preserve">Carbothane 8845 Part A Red</t>
  </si>
  <si>
    <t xml:space="preserve">88455555AAUD</t>
  </si>
  <si>
    <t xml:space="preserve">88456666A04D</t>
  </si>
  <si>
    <t xml:space="preserve">88456666AAUD</t>
  </si>
  <si>
    <t xml:space="preserve">8845A862A04D</t>
  </si>
  <si>
    <t xml:space="preserve">Carbothane 8845 Part A White</t>
  </si>
  <si>
    <t xml:space="preserve">8845C900A04D</t>
  </si>
  <si>
    <t xml:space="preserve">Carbothane 8845 Part A Black</t>
  </si>
  <si>
    <t xml:space="preserve">8845C900AAUD</t>
  </si>
  <si>
    <t xml:space="preserve">8845CLERAT1D</t>
  </si>
  <si>
    <t xml:space="preserve">Carbothane 8845 Part A CLER</t>
  </si>
  <si>
    <t xml:space="preserve">8845CLERAT2D</t>
  </si>
  <si>
    <t xml:space="preserve">8845DEEPAR5D</t>
  </si>
  <si>
    <t xml:space="preserve">Carbothane 8845 Part A DEEP</t>
  </si>
  <si>
    <t xml:space="preserve">8845DEEPAR6D</t>
  </si>
  <si>
    <t xml:space="preserve">8845REDDAR5D</t>
  </si>
  <si>
    <t xml:space="preserve">Carbothane 8845 Part A REDD</t>
  </si>
  <si>
    <t xml:space="preserve">8845REDDAR6D</t>
  </si>
  <si>
    <t xml:space="preserve">8845WITEAR7D</t>
  </si>
  <si>
    <t xml:space="preserve">Carbothane 8845 Part A WITE</t>
  </si>
  <si>
    <t xml:space="preserve">8845WITEAR8D</t>
  </si>
  <si>
    <t xml:space="preserve">8845YELOAR5D</t>
  </si>
  <si>
    <t xml:space="preserve">Carbothane 8845 Part A YELO</t>
  </si>
  <si>
    <t xml:space="preserve">8845YELOAR6D</t>
  </si>
  <si>
    <t xml:space="preserve">89220800A05D</t>
  </si>
  <si>
    <t xml:space="preserve">Carboguard 8922 Part A White</t>
  </si>
  <si>
    <t xml:space="preserve">AP30N</t>
  </si>
  <si>
    <t xml:space="preserve">⭐ GOOD APPLE — UNDERSTOCKED (priority stock)</t>
  </si>
  <si>
    <t xml:space="preserve">B1005</t>
  </si>
  <si>
    <t xml:space="preserve">B1006</t>
  </si>
  <si>
    <t xml:space="preserve">B73</t>
  </si>
  <si>
    <t xml:space="preserve">PIGMNT-MUST USE DUST COLLCTN</t>
  </si>
  <si>
    <t xml:space="preserve">GOOD APPLE — using manager lead time (88</t>
  </si>
  <si>
    <t xml:space="preserve">B82</t>
  </si>
  <si>
    <t xml:space="preserve">C0003</t>
  </si>
  <si>
    <t xml:space="preserve">Quart Can Lined</t>
  </si>
  <si>
    <t xml:space="preserve">C0003UGSKP</t>
  </si>
  <si>
    <t xml:space="preserve">Unlined gasket plug</t>
  </si>
  <si>
    <t xml:space="preserve">C0005U</t>
  </si>
  <si>
    <t xml:space="preserve">Pint cans, not lined</t>
  </si>
  <si>
    <t xml:space="preserve">C0006U</t>
  </si>
  <si>
    <t xml:space="preserve">1/2 pint unlined can</t>
  </si>
  <si>
    <t xml:space="preserve">C001.5LTU</t>
  </si>
  <si>
    <t xml:space="preserve">1.5 L, round tin plate/w plug</t>
  </si>
  <si>
    <t xml:space="preserve">C01F</t>
  </si>
  <si>
    <t xml:space="preserve">Std 1gal oblong w/screwneck</t>
  </si>
  <si>
    <t xml:space="preserve">C01LNPLUG</t>
  </si>
  <si>
    <t xml:space="preserve">Plug for Gal Can, Tall, Lined</t>
  </si>
  <si>
    <t xml:space="preserve">C025L</t>
  </si>
  <si>
    <t xml:space="preserve">2.5 gal steel pail, lined</t>
  </si>
  <si>
    <t xml:space="preserve">GOOD APPLE — using manager lead time (90</t>
  </si>
  <si>
    <t xml:space="preserve">C04LTPF</t>
  </si>
  <si>
    <t xml:space="preserve">Plastic 4 liter bottle</t>
  </si>
  <si>
    <t xml:space="preserve">C05LNRB</t>
  </si>
  <si>
    <t xml:space="preserve">5 gallon red unlined pail</t>
  </si>
  <si>
    <t xml:space="preserve">C05LNRC</t>
  </si>
  <si>
    <t xml:space="preserve">Lid, red exterior/buff int.</t>
  </si>
  <si>
    <t xml:space="preserve">C05LSL</t>
  </si>
  <si>
    <t xml:space="preserve">5 gl UN red lined screwcap lid</t>
  </si>
  <si>
    <t xml:space="preserve">C05PUNRK</t>
  </si>
  <si>
    <t xml:space="preserve">5 gal UN plastic red cover</t>
  </si>
  <si>
    <t xml:space="preserve">C05UBB</t>
  </si>
  <si>
    <t xml:space="preserve">Black 5 gallon pail</t>
  </si>
  <si>
    <t xml:space="preserve">C05UBG</t>
  </si>
  <si>
    <t xml:space="preserve">5 GL Grey Unlined Steel Pail</t>
  </si>
  <si>
    <t xml:space="preserve">C05UN21P</t>
  </si>
  <si>
    <t xml:space="preserve">5 gallon pail, unlined, red</t>
  </si>
  <si>
    <t xml:space="preserve">C05UPCB</t>
  </si>
  <si>
    <t xml:space="preserve">Lid for 5 Gallon Black Pail</t>
  </si>
  <si>
    <t xml:space="preserve">C05US</t>
  </si>
  <si>
    <t xml:space="preserve">5 GL Unlined Tighthead W/Spout</t>
  </si>
  <si>
    <t xml:space="preserve">C20LTHSPC</t>
  </si>
  <si>
    <t xml:space="preserve">20 L Tight Head Pail</t>
  </si>
  <si>
    <t xml:space="preserve">CHALFGLL</t>
  </si>
  <si>
    <t xml:space="preserve">1/2 gal lined short can</t>
  </si>
  <si>
    <t xml:space="preserve">CHALFGLU</t>
  </si>
  <si>
    <t xml:space="preserve">Half gallon, unlined</t>
  </si>
  <si>
    <t xml:space="preserve">CM1003</t>
  </si>
  <si>
    <t xml:space="preserve">CM1004</t>
  </si>
  <si>
    <t xml:space="preserve">CM1005</t>
  </si>
  <si>
    <t xml:space="preserve">CM1018</t>
  </si>
  <si>
    <t xml:space="preserve">CM1023</t>
  </si>
  <si>
    <t xml:space="preserve">CM1025</t>
  </si>
  <si>
    <t xml:space="preserve">CM1032</t>
  </si>
  <si>
    <t xml:space="preserve">GOOD APPLE — using manager lead time (16</t>
  </si>
  <si>
    <t xml:space="preserve">CM1036</t>
  </si>
  <si>
    <t xml:space="preserve">CM1054</t>
  </si>
  <si>
    <t xml:space="preserve">CM1079</t>
  </si>
  <si>
    <t xml:space="preserve">CM1080</t>
  </si>
  <si>
    <t xml:space="preserve">CM1085</t>
  </si>
  <si>
    <t xml:space="preserve">Waterborne Additive</t>
  </si>
  <si>
    <t xml:space="preserve">CM1086</t>
  </si>
  <si>
    <t xml:space="preserve">CM1089</t>
  </si>
  <si>
    <t xml:space="preserve">Curing Agent</t>
  </si>
  <si>
    <t xml:space="preserve">CM1091</t>
  </si>
  <si>
    <t xml:space="preserve">Additive-Wetting Aid</t>
  </si>
  <si>
    <t xml:space="preserve">CM1099</t>
  </si>
  <si>
    <t xml:space="preserve">Thickener</t>
  </si>
  <si>
    <t xml:space="preserve">CM11</t>
  </si>
  <si>
    <t xml:space="preserve">CM1111</t>
  </si>
  <si>
    <t xml:space="preserve">CM1122</t>
  </si>
  <si>
    <t xml:space="preserve">CM1123</t>
  </si>
  <si>
    <t xml:space="preserve">CM1124</t>
  </si>
  <si>
    <t xml:space="preserve">CM1125</t>
  </si>
  <si>
    <t xml:space="preserve">CM1126</t>
  </si>
  <si>
    <t xml:space="preserve">CM1127</t>
  </si>
  <si>
    <t xml:space="preserve">CM1130</t>
  </si>
  <si>
    <t xml:space="preserve">CM1136</t>
  </si>
  <si>
    <t xml:space="preserve">CM1183</t>
  </si>
  <si>
    <t xml:space="preserve">CM120</t>
  </si>
  <si>
    <t xml:space="preserve">Parabenzoquinone</t>
  </si>
  <si>
    <t xml:space="preserve">CM1212</t>
  </si>
  <si>
    <t xml:space="preserve">CM1218</t>
  </si>
  <si>
    <t xml:space="preserve">GOOD APPLE — using manager lead time (30</t>
  </si>
  <si>
    <t xml:space="preserve">CM1222</t>
  </si>
  <si>
    <t xml:space="preserve">CM1232</t>
  </si>
  <si>
    <t xml:space="preserve">CM1270</t>
  </si>
  <si>
    <t xml:space="preserve">CM130</t>
  </si>
  <si>
    <t xml:space="preserve">Deionized Water</t>
  </si>
  <si>
    <t xml:space="preserve">CM210</t>
  </si>
  <si>
    <t xml:space="preserve">CM270</t>
  </si>
  <si>
    <t xml:space="preserve">Additive-Calcium Sulfonate</t>
  </si>
  <si>
    <t xml:space="preserve">CM291</t>
  </si>
  <si>
    <t xml:space="preserve">Propylene Carbonate</t>
  </si>
  <si>
    <t xml:space="preserve">CM301</t>
  </si>
  <si>
    <t xml:space="preserve">Aspartic Ester</t>
  </si>
  <si>
    <t xml:space="preserve">CM353</t>
  </si>
  <si>
    <t xml:space="preserve">CM387</t>
  </si>
  <si>
    <t xml:space="preserve">Sodium Nitrite</t>
  </si>
  <si>
    <t xml:space="preserve">CM413</t>
  </si>
  <si>
    <t xml:space="preserve">CM414</t>
  </si>
  <si>
    <t xml:space="preserve">CM425</t>
  </si>
  <si>
    <t xml:space="preserve">Amine-Terminated Polyol</t>
  </si>
  <si>
    <t xml:space="preserve">CM428</t>
  </si>
  <si>
    <t xml:space="preserve">CM435</t>
  </si>
  <si>
    <t xml:space="preserve">Additive - Moisture Scavenger</t>
  </si>
  <si>
    <t xml:space="preserve">CM438</t>
  </si>
  <si>
    <t xml:space="preserve">CM439</t>
  </si>
  <si>
    <t xml:space="preserve">GOOD APPLE — using manager lead time (32</t>
  </si>
  <si>
    <t xml:space="preserve">CM444</t>
  </si>
  <si>
    <t xml:space="preserve">Attapulgite Clay</t>
  </si>
  <si>
    <t xml:space="preserve">CM458</t>
  </si>
  <si>
    <t xml:space="preserve">CM484</t>
  </si>
  <si>
    <t xml:space="preserve">CM49</t>
  </si>
  <si>
    <t xml:space="preserve">GOOD APPLE — using manager lead time (26</t>
  </si>
  <si>
    <t xml:space="preserve">CM501</t>
  </si>
  <si>
    <t xml:space="preserve">Cashew Nutshell Liquid</t>
  </si>
  <si>
    <t xml:space="preserve">CM543</t>
  </si>
  <si>
    <t xml:space="preserve">Additive-Paste</t>
  </si>
  <si>
    <t xml:space="preserve">CM547</t>
  </si>
  <si>
    <t xml:space="preserve">Calcium Sulfonate</t>
  </si>
  <si>
    <t xml:space="preserve">CM568</t>
  </si>
  <si>
    <t xml:space="preserve">GOOD APPLE — using manager lead time (21</t>
  </si>
  <si>
    <t xml:space="preserve">CM588</t>
  </si>
  <si>
    <t xml:space="preserve">CM593</t>
  </si>
  <si>
    <t xml:space="preserve">CM598</t>
  </si>
  <si>
    <t xml:space="preserve">CM6</t>
  </si>
  <si>
    <t xml:space="preserve">Additive-Anti Skin</t>
  </si>
  <si>
    <t xml:space="preserve">CM600</t>
  </si>
  <si>
    <t xml:space="preserve">Curing Agent - Polyamine</t>
  </si>
  <si>
    <t xml:space="preserve">CM625</t>
  </si>
  <si>
    <t xml:space="preserve">CM638</t>
  </si>
  <si>
    <t xml:space="preserve">CM643</t>
  </si>
  <si>
    <t xml:space="preserve">CM644</t>
  </si>
  <si>
    <t xml:space="preserve">PTSI</t>
  </si>
  <si>
    <t xml:space="preserve">CM679</t>
  </si>
  <si>
    <t xml:space="preserve">CM689</t>
  </si>
  <si>
    <t xml:space="preserve">CM699</t>
  </si>
  <si>
    <t xml:space="preserve">CM704</t>
  </si>
  <si>
    <t xml:space="preserve">CM71</t>
  </si>
  <si>
    <t xml:space="preserve">CM710</t>
  </si>
  <si>
    <t xml:space="preserve">CM712</t>
  </si>
  <si>
    <t xml:space="preserve">CM721</t>
  </si>
  <si>
    <t xml:space="preserve">CM727</t>
  </si>
  <si>
    <t xml:space="preserve">Drier Accelerator</t>
  </si>
  <si>
    <t xml:space="preserve">CM732</t>
  </si>
  <si>
    <t xml:space="preserve">Thixotrope-Organoclay</t>
  </si>
  <si>
    <t xml:space="preserve">CM737</t>
  </si>
  <si>
    <t xml:space="preserve">CM740</t>
  </si>
  <si>
    <t xml:space="preserve">CM759</t>
  </si>
  <si>
    <t xml:space="preserve">Diluent</t>
  </si>
  <si>
    <t xml:space="preserve">GOOD APPLE — using manager lead time (8.</t>
  </si>
  <si>
    <t xml:space="preserve">CM768</t>
  </si>
  <si>
    <t xml:space="preserve">CM771</t>
  </si>
  <si>
    <t xml:space="preserve">Curing Agent-Tertiary Amine</t>
  </si>
  <si>
    <t xml:space="preserve">CM779</t>
  </si>
  <si>
    <t xml:space="preserve">Polyaminoamide</t>
  </si>
  <si>
    <t xml:space="preserve">CM78</t>
  </si>
  <si>
    <t xml:space="preserve">Thixotrope-Bentone Clay</t>
  </si>
  <si>
    <t xml:space="preserve">CM782</t>
  </si>
  <si>
    <t xml:space="preserve">Curing Agent - Amidoamine</t>
  </si>
  <si>
    <t xml:space="preserve">CM785</t>
  </si>
  <si>
    <t xml:space="preserve">CM805</t>
  </si>
  <si>
    <t xml:space="preserve">Resin-Polysiloxane</t>
  </si>
  <si>
    <t xml:space="preserve">CM812</t>
  </si>
  <si>
    <t xml:space="preserve">CM836</t>
  </si>
  <si>
    <t xml:space="preserve">Polyamide Paste</t>
  </si>
  <si>
    <t xml:space="preserve">CM840</t>
  </si>
  <si>
    <t xml:space="preserve">CM843</t>
  </si>
  <si>
    <t xml:space="preserve">GOOD APPLE — using manager lead time (15</t>
  </si>
  <si>
    <t xml:space="preserve">CM844</t>
  </si>
  <si>
    <t xml:space="preserve">CM845</t>
  </si>
  <si>
    <t xml:space="preserve">Curing Agent-Polyamine</t>
  </si>
  <si>
    <t xml:space="preserve">CM854</t>
  </si>
  <si>
    <t xml:space="preserve">CM855</t>
  </si>
  <si>
    <t xml:space="preserve">GOOD APPLE — using manager lead time (31</t>
  </si>
  <si>
    <t xml:space="preserve">CM856</t>
  </si>
  <si>
    <t xml:space="preserve">CM865</t>
  </si>
  <si>
    <t xml:space="preserve">CM868</t>
  </si>
  <si>
    <t xml:space="preserve">CM874F</t>
  </si>
  <si>
    <t xml:space="preserve">Aluminosilicate</t>
  </si>
  <si>
    <t xml:space="preserve">CM881</t>
  </si>
  <si>
    <t xml:space="preserve">CM882</t>
  </si>
  <si>
    <t xml:space="preserve">Modified Urea Resin</t>
  </si>
  <si>
    <t xml:space="preserve">CM884</t>
  </si>
  <si>
    <t xml:space="preserve">Modified Polyamide</t>
  </si>
  <si>
    <t xml:space="preserve">CM886</t>
  </si>
  <si>
    <t xml:space="preserve">CM887</t>
  </si>
  <si>
    <t xml:space="preserve">Bentone Clay</t>
  </si>
  <si>
    <t xml:space="preserve">CM890</t>
  </si>
  <si>
    <t xml:space="preserve">CM892</t>
  </si>
  <si>
    <t xml:space="preserve">Amide Wax</t>
  </si>
  <si>
    <t xml:space="preserve">CM896</t>
  </si>
  <si>
    <t xml:space="preserve">Additive - Flow</t>
  </si>
  <si>
    <t xml:space="preserve">CM904</t>
  </si>
  <si>
    <t xml:space="preserve">CM908</t>
  </si>
  <si>
    <t xml:space="preserve">CM910</t>
  </si>
  <si>
    <t xml:space="preserve">CM912</t>
  </si>
  <si>
    <t xml:space="preserve">CM916</t>
  </si>
  <si>
    <t xml:space="preserve">CM929</t>
  </si>
  <si>
    <t xml:space="preserve">GOOD APPLE — using manager lead time (65</t>
  </si>
  <si>
    <t xml:space="preserve">CM930</t>
  </si>
  <si>
    <t xml:space="preserve">Amide Curing Agent</t>
  </si>
  <si>
    <t xml:space="preserve">GOOD APPLE — using manager lead time (19</t>
  </si>
  <si>
    <t xml:space="preserve">CM943</t>
  </si>
  <si>
    <t xml:space="preserve">Amide Wax Thixotrope</t>
  </si>
  <si>
    <t xml:space="preserve">CM977</t>
  </si>
  <si>
    <t xml:space="preserve">Silane</t>
  </si>
  <si>
    <t xml:space="preserve">CM991</t>
  </si>
  <si>
    <t xml:space="preserve">CS1000</t>
  </si>
  <si>
    <t xml:space="preserve">Cumene Hydroperoxide</t>
  </si>
  <si>
    <t xml:space="preserve">GOOD APPLE — using manager lead time (38</t>
  </si>
  <si>
    <t xml:space="preserve">CS1002</t>
  </si>
  <si>
    <t xml:space="preserve">GOOD APPLE — using manager lead time (51</t>
  </si>
  <si>
    <t xml:space="preserve">CS1003</t>
  </si>
  <si>
    <t xml:space="preserve">CS102</t>
  </si>
  <si>
    <t xml:space="preserve">Glacial Acetic Acid</t>
  </si>
  <si>
    <t xml:space="preserve">CS35</t>
  </si>
  <si>
    <t xml:space="preserve">Styrene Monomer 50-T</t>
  </si>
  <si>
    <t xml:space="preserve">CS42</t>
  </si>
  <si>
    <t xml:space="preserve">DETA/D.E.H. 20 Curing Agent</t>
  </si>
  <si>
    <t xml:space="preserve">CS98</t>
  </si>
  <si>
    <t xml:space="preserve">ISO Box Pint</t>
  </si>
  <si>
    <t xml:space="preserve">CT4X1PRHPD</t>
  </si>
  <si>
    <t xml:space="preserve">Assembled Partition for CT4X1P</t>
  </si>
  <si>
    <t xml:space="preserve">1x1 UN approved ctn (white)</t>
  </si>
  <si>
    <t xml:space="preserve">UN 4G Carton</t>
  </si>
  <si>
    <t xml:space="preserve">Insert for CTUN2X1U</t>
  </si>
  <si>
    <t xml:space="preserve">UN Carton for 6 Quart Cans</t>
  </si>
  <si>
    <t xml:space="preserve">CZ3.5GLY2.3</t>
  </si>
  <si>
    <t xml:space="preserve">Black pail and cover combo</t>
  </si>
  <si>
    <t xml:space="preserve">GOOD APPLE — using manager lead time (49</t>
  </si>
  <si>
    <t xml:space="preserve">D1000</t>
  </si>
  <si>
    <t xml:space="preserve">Cobalt Naphthenate 6%</t>
  </si>
  <si>
    <t xml:space="preserve">D15</t>
  </si>
  <si>
    <t xml:space="preserve">Accelerator</t>
  </si>
  <si>
    <t xml:space="preserve">D38</t>
  </si>
  <si>
    <t xml:space="preserve">10% Calcium Drier</t>
  </si>
  <si>
    <t xml:space="preserve">D39</t>
  </si>
  <si>
    <t xml:space="preserve">12% Cobalt Drier</t>
  </si>
  <si>
    <t xml:space="preserve">D45</t>
  </si>
  <si>
    <t xml:space="preserve">D47</t>
  </si>
  <si>
    <t xml:space="preserve">7% Aluminum Drier</t>
  </si>
  <si>
    <t xml:space="preserve">G37</t>
  </si>
  <si>
    <t xml:space="preserve">H1002</t>
  </si>
  <si>
    <t xml:space="preserve">H1005</t>
  </si>
  <si>
    <t xml:space="preserve">Microsphere</t>
  </si>
  <si>
    <t xml:space="preserve">H1012</t>
  </si>
  <si>
    <t xml:space="preserve">H1015</t>
  </si>
  <si>
    <t xml:space="preserve">Solid Glass Spheres</t>
  </si>
  <si>
    <t xml:space="preserve">H1022</t>
  </si>
  <si>
    <t xml:space="preserve">Micaceous Iron Oxide</t>
  </si>
  <si>
    <t xml:space="preserve">H1048</t>
  </si>
  <si>
    <t xml:space="preserve">White Aluminum Oxide</t>
  </si>
  <si>
    <t xml:space="preserve">H1064</t>
  </si>
  <si>
    <t xml:space="preserve">GOOD APPLE — using manager lead time (17</t>
  </si>
  <si>
    <t xml:space="preserve">H1073</t>
  </si>
  <si>
    <t xml:space="preserve">Calcined Clay</t>
  </si>
  <si>
    <t xml:space="preserve">H15</t>
  </si>
  <si>
    <t xml:space="preserve">H174</t>
  </si>
  <si>
    <t xml:space="preserve">H179</t>
  </si>
  <si>
    <t xml:space="preserve">H186</t>
  </si>
  <si>
    <t xml:space="preserve">H198</t>
  </si>
  <si>
    <t xml:space="preserve">H205</t>
  </si>
  <si>
    <t xml:space="preserve">Type III Portland Cement</t>
  </si>
  <si>
    <t xml:space="preserve">H253</t>
  </si>
  <si>
    <t xml:space="preserve">H294</t>
  </si>
  <si>
    <t xml:space="preserve">H29P</t>
  </si>
  <si>
    <t xml:space="preserve">Untreated Fumed Silica</t>
  </si>
  <si>
    <t xml:space="preserve">H311</t>
  </si>
  <si>
    <t xml:space="preserve">H318P</t>
  </si>
  <si>
    <t xml:space="preserve">Clay Thickener</t>
  </si>
  <si>
    <t xml:space="preserve">H337</t>
  </si>
  <si>
    <t xml:space="preserve">H342</t>
  </si>
  <si>
    <t xml:space="preserve">H345</t>
  </si>
  <si>
    <t xml:space="preserve">H346</t>
  </si>
  <si>
    <t xml:space="preserve">H367</t>
  </si>
  <si>
    <t xml:space="preserve">H376</t>
  </si>
  <si>
    <t xml:space="preserve">H378</t>
  </si>
  <si>
    <t xml:space="preserve">H380</t>
  </si>
  <si>
    <t xml:space="preserve">Calcium Flouride</t>
  </si>
  <si>
    <t xml:space="preserve">H386</t>
  </si>
  <si>
    <t xml:space="preserve">H387</t>
  </si>
  <si>
    <t xml:space="preserve">H410</t>
  </si>
  <si>
    <t xml:space="preserve">H413</t>
  </si>
  <si>
    <t xml:space="preserve">Sand</t>
  </si>
  <si>
    <t xml:space="preserve">H414</t>
  </si>
  <si>
    <t xml:space="preserve">Pumice</t>
  </si>
  <si>
    <t xml:space="preserve">H416</t>
  </si>
  <si>
    <t xml:space="preserve">Glass Microfiber</t>
  </si>
  <si>
    <t xml:space="preserve">H426</t>
  </si>
  <si>
    <t xml:space="preserve">H431</t>
  </si>
  <si>
    <t xml:space="preserve">H437</t>
  </si>
  <si>
    <t xml:space="preserve">H440</t>
  </si>
  <si>
    <t xml:space="preserve">H45</t>
  </si>
  <si>
    <t xml:space="preserve">H50</t>
  </si>
  <si>
    <t xml:space="preserve">Wollastonite</t>
  </si>
  <si>
    <t xml:space="preserve">H54</t>
  </si>
  <si>
    <t xml:space="preserve">Additive -PTFE</t>
  </si>
  <si>
    <t xml:space="preserve">H57</t>
  </si>
  <si>
    <t xml:space="preserve">Filler-Wollastonite</t>
  </si>
  <si>
    <t xml:space="preserve">H67</t>
  </si>
  <si>
    <t xml:space="preserve">H91</t>
  </si>
  <si>
    <t xml:space="preserve">H93</t>
  </si>
  <si>
    <t xml:space="preserve">Nepheline Syenite</t>
  </si>
  <si>
    <t xml:space="preserve">H97</t>
  </si>
  <si>
    <t xml:space="preserve">Additive-PTFE</t>
  </si>
  <si>
    <t xml:space="preserve">GOOD APPLE — using manager lead time (59</t>
  </si>
  <si>
    <t xml:space="preserve">H98</t>
  </si>
  <si>
    <t xml:space="preserve">L1003</t>
  </si>
  <si>
    <t xml:space="preserve">L15</t>
  </si>
  <si>
    <t xml:space="preserve">Phthalo Blue Pigment</t>
  </si>
  <si>
    <t xml:space="preserve">L37</t>
  </si>
  <si>
    <t xml:space="preserve">Pigment-Blue</t>
  </si>
  <si>
    <t xml:space="preserve">GOOD APPLE — using manager lead time (52</t>
  </si>
  <si>
    <t xml:space="preserve">L38</t>
  </si>
  <si>
    <t xml:space="preserve">L41</t>
  </si>
  <si>
    <t xml:space="preserve">Pigment, Phthalo Blue</t>
  </si>
  <si>
    <t xml:space="preserve">L42</t>
  </si>
  <si>
    <t xml:space="preserve">Blue Mixed Metal Oxide</t>
  </si>
  <si>
    <t xml:space="preserve">L43</t>
  </si>
  <si>
    <t xml:space="preserve">GOOD APPLE — using manager lead time (9.</t>
  </si>
  <si>
    <t xml:space="preserve">Carboline Logo Wrap</t>
  </si>
  <si>
    <t xml:space="preserve">N5220910001D</t>
  </si>
  <si>
    <t xml:space="preserve">N5260910001D</t>
  </si>
  <si>
    <t xml:space="preserve">N5330910001D</t>
  </si>
  <si>
    <t xml:space="preserve">N8900908B01D</t>
  </si>
  <si>
    <t xml:space="preserve">Carboguard 890N Part B 0908</t>
  </si>
  <si>
    <t xml:space="preserve">N890S800A01D</t>
  </si>
  <si>
    <t xml:space="preserve">Carboguard 890N Part A White</t>
  </si>
  <si>
    <t xml:space="preserve">P262091006SD</t>
  </si>
  <si>
    <t xml:space="preserve">Additive 101</t>
  </si>
  <si>
    <t xml:space="preserve">P36</t>
  </si>
  <si>
    <t xml:space="preserve">P39109080ATD</t>
  </si>
  <si>
    <t xml:space="preserve">Fortifier HT</t>
  </si>
  <si>
    <t xml:space="preserve">P39109080EXD</t>
  </si>
  <si>
    <t xml:space="preserve">P74</t>
  </si>
  <si>
    <t xml:space="preserve">PD0165</t>
  </si>
  <si>
    <t xml:space="preserve">PD0239</t>
  </si>
  <si>
    <t xml:space="preserve">Dark Grey Dispersion</t>
  </si>
  <si>
    <t xml:space="preserve">PIC104</t>
  </si>
  <si>
    <t xml:space="preserve">6 gallon nested combo, white</t>
  </si>
  <si>
    <t xml:space="preserve">PIC111</t>
  </si>
  <si>
    <t xml:space="preserve">5 GALLON NAT. RIEKE</t>
  </si>
  <si>
    <t xml:space="preserve">PIC122</t>
  </si>
  <si>
    <t xml:space="preserve">1-Quart Plastic Bottle</t>
  </si>
  <si>
    <t xml:space="preserve">PIC123</t>
  </si>
  <si>
    <t xml:space="preserve">2-Ounce Plastic Bottle</t>
  </si>
  <si>
    <t xml:space="preserve">PIC124</t>
  </si>
  <si>
    <t xml:space="preserve">6-Ounce Plastic Bottle</t>
  </si>
  <si>
    <t xml:space="preserve">PICB1</t>
  </si>
  <si>
    <t xml:space="preserve">1-Gallon Bail</t>
  </si>
  <si>
    <t xml:space="preserve">PLD16</t>
  </si>
  <si>
    <t xml:space="preserve">38mm Polypropylene Cap</t>
  </si>
  <si>
    <t xml:space="preserve">PLD31</t>
  </si>
  <si>
    <t xml:space="preserve">Cap for 2 ounce plastic bottle</t>
  </si>
  <si>
    <t xml:space="preserve">PLD34</t>
  </si>
  <si>
    <t xml:space="preserve">FS108V300 Rieke Spout</t>
  </si>
  <si>
    <t xml:space="preserve">PLD35</t>
  </si>
  <si>
    <t xml:space="preserve">28-400 Clic-loc cap</t>
  </si>
  <si>
    <t xml:space="preserve">PLD37</t>
  </si>
  <si>
    <t xml:space="preserve">1 1/4" Screw Cap, Harvel Liner</t>
  </si>
  <si>
    <t xml:space="preserve">PLD5</t>
  </si>
  <si>
    <t xml:space="preserve">5-Gallon OH Poly Pail Cover</t>
  </si>
  <si>
    <t xml:space="preserve">PUD1025</t>
  </si>
  <si>
    <t xml:space="preserve">844-7253 Phthalo Blue Grn/Sh.</t>
  </si>
  <si>
    <t xml:space="preserve">PUD2893</t>
  </si>
  <si>
    <t xml:space="preserve">844-2893 Honey Gold 193 Paste</t>
  </si>
  <si>
    <t xml:space="preserve">PUD2895</t>
  </si>
  <si>
    <t xml:space="preserve">844-2895 Prim.Yellow 195 Paste</t>
  </si>
  <si>
    <t xml:space="preserve">PUD4067</t>
  </si>
  <si>
    <t xml:space="preserve">844-0985/-0982 Lead Free Orang</t>
  </si>
  <si>
    <t xml:space="preserve">PUD5094</t>
  </si>
  <si>
    <t xml:space="preserve">844-8852 Carbazole Violet</t>
  </si>
  <si>
    <t xml:space="preserve">PUD5135</t>
  </si>
  <si>
    <t xml:space="preserve">844-1054 Transparent Red Oxide</t>
  </si>
  <si>
    <t xml:space="preserve">PUD6008</t>
  </si>
  <si>
    <t xml:space="preserve">844-1852 Trans. Yellow Iron Ox</t>
  </si>
  <si>
    <t xml:space="preserve">PUD9959</t>
  </si>
  <si>
    <t xml:space="preserve">844-9959 Jet Black Paste</t>
  </si>
  <si>
    <t xml:space="preserve">R1009</t>
  </si>
  <si>
    <t xml:space="preserve">Red Iron Oxide Pigment</t>
  </si>
  <si>
    <t xml:space="preserve">R106</t>
  </si>
  <si>
    <t xml:space="preserve">Red Pigment</t>
  </si>
  <si>
    <t xml:space="preserve">R113</t>
  </si>
  <si>
    <t xml:space="preserve">R116</t>
  </si>
  <si>
    <t xml:space="preserve">R119</t>
  </si>
  <si>
    <t xml:space="preserve">R77</t>
  </si>
  <si>
    <t xml:space="preserve">Violet Pigment</t>
  </si>
  <si>
    <t xml:space="preserve">R94</t>
  </si>
  <si>
    <t xml:space="preserve">Pigment-Violet</t>
  </si>
  <si>
    <t xml:space="preserve">RH1002</t>
  </si>
  <si>
    <t xml:space="preserve">Phenolic Polymer</t>
  </si>
  <si>
    <t xml:space="preserve">RH169</t>
  </si>
  <si>
    <t xml:space="preserve">Solid Acrylic Resin</t>
  </si>
  <si>
    <t xml:space="preserve">RH246</t>
  </si>
  <si>
    <t xml:space="preserve">RH265</t>
  </si>
  <si>
    <t xml:space="preserve">RH916</t>
  </si>
  <si>
    <t xml:space="preserve">Fluoropolymer Resin</t>
  </si>
  <si>
    <t xml:space="preserve">RLQT</t>
  </si>
  <si>
    <t xml:space="preserve">Ring lock for quart can</t>
  </si>
  <si>
    <t xml:space="preserve">RS1016</t>
  </si>
  <si>
    <t xml:space="preserve">RS1024</t>
  </si>
  <si>
    <t xml:space="preserve">RS1039</t>
  </si>
  <si>
    <t xml:space="preserve">RS1044</t>
  </si>
  <si>
    <t xml:space="preserve">GOOD APPLE — using manager lead time (28</t>
  </si>
  <si>
    <t xml:space="preserve">RS1049</t>
  </si>
  <si>
    <t xml:space="preserve">Polyol</t>
  </si>
  <si>
    <t xml:space="preserve">RS1056</t>
  </si>
  <si>
    <t xml:space="preserve">GOOD APPLE — using manager lead time (25</t>
  </si>
  <si>
    <t xml:space="preserve">RS1059</t>
  </si>
  <si>
    <t xml:space="preserve">Phenolic Resin</t>
  </si>
  <si>
    <t xml:space="preserve">RS1061</t>
  </si>
  <si>
    <t xml:space="preserve">RS1062</t>
  </si>
  <si>
    <t xml:space="preserve">RS1063</t>
  </si>
  <si>
    <t xml:space="preserve">Polyisocyanate Resin</t>
  </si>
  <si>
    <t xml:space="preserve">RS1071</t>
  </si>
  <si>
    <t xml:space="preserve">RS1091</t>
  </si>
  <si>
    <t xml:space="preserve">RS1100</t>
  </si>
  <si>
    <t xml:space="preserve">RS1104</t>
  </si>
  <si>
    <t xml:space="preserve">RS1118</t>
  </si>
  <si>
    <t xml:space="preserve">RS1119</t>
  </si>
  <si>
    <t xml:space="preserve">RS1124</t>
  </si>
  <si>
    <t xml:space="preserve">RS1137</t>
  </si>
  <si>
    <t xml:space="preserve">Epoxy Vinyl Ester Resin</t>
  </si>
  <si>
    <t xml:space="preserve">RS1142</t>
  </si>
  <si>
    <t xml:space="preserve">RS191</t>
  </si>
  <si>
    <t xml:space="preserve">RS210</t>
  </si>
  <si>
    <t xml:space="preserve">Epoxy Ester Resin</t>
  </si>
  <si>
    <t xml:space="preserve">RS281</t>
  </si>
  <si>
    <t xml:space="preserve">RS390</t>
  </si>
  <si>
    <t xml:space="preserve">Aliphatic Polyisocyanate</t>
  </si>
  <si>
    <t xml:space="preserve">RS444</t>
  </si>
  <si>
    <t xml:space="preserve">RS445</t>
  </si>
  <si>
    <t xml:space="preserve">Resin-Med. Oil Alkyd</t>
  </si>
  <si>
    <t xml:space="preserve">RS553</t>
  </si>
  <si>
    <t xml:space="preserve">Resin-Polyisocyanate</t>
  </si>
  <si>
    <t xml:space="preserve">RS582</t>
  </si>
  <si>
    <t xml:space="preserve">RS700</t>
  </si>
  <si>
    <t xml:space="preserve">RS732</t>
  </si>
  <si>
    <t xml:space="preserve">RS783</t>
  </si>
  <si>
    <t xml:space="preserve">Resin - Chain-Stopped Alkyd</t>
  </si>
  <si>
    <t xml:space="preserve">GOOD APPLE — using manager lead time (40</t>
  </si>
  <si>
    <t xml:space="preserve">RS809</t>
  </si>
  <si>
    <t xml:space="preserve">RS811</t>
  </si>
  <si>
    <t xml:space="preserve">RS851</t>
  </si>
  <si>
    <t xml:space="preserve">Aromatic Polyisocyanate</t>
  </si>
  <si>
    <t xml:space="preserve">RS856</t>
  </si>
  <si>
    <t xml:space="preserve">Resin-Fluoropolymer</t>
  </si>
  <si>
    <t xml:space="preserve">RS875</t>
  </si>
  <si>
    <t xml:space="preserve">RS895</t>
  </si>
  <si>
    <t xml:space="preserve">Resin-Acrylic Solution</t>
  </si>
  <si>
    <t xml:space="preserve">RS897</t>
  </si>
  <si>
    <t xml:space="preserve">Resin-Bisphenol F</t>
  </si>
  <si>
    <t xml:space="preserve">RS902</t>
  </si>
  <si>
    <t xml:space="preserve">Resin-Phenolic Alkyd</t>
  </si>
  <si>
    <t xml:space="preserve">RS907</t>
  </si>
  <si>
    <t xml:space="preserve">Phenolic Modified Alkyd</t>
  </si>
  <si>
    <t xml:space="preserve">RS912</t>
  </si>
  <si>
    <t xml:space="preserve">Resin-Epoxy Novolac</t>
  </si>
  <si>
    <t xml:space="preserve">RS913</t>
  </si>
  <si>
    <t xml:space="preserve">RS918</t>
  </si>
  <si>
    <t xml:space="preserve">RS921</t>
  </si>
  <si>
    <t xml:space="preserve">RS926</t>
  </si>
  <si>
    <t xml:space="preserve">Ethyl Polysilicate</t>
  </si>
  <si>
    <t xml:space="preserve">RS927</t>
  </si>
  <si>
    <t xml:space="preserve">Ethyl Silicate</t>
  </si>
  <si>
    <t xml:space="preserve">RS940</t>
  </si>
  <si>
    <t xml:space="preserve">Resin-Diluent</t>
  </si>
  <si>
    <t xml:space="preserve">RS941</t>
  </si>
  <si>
    <t xml:space="preserve">Resin-Bis F Epoxy Adduct</t>
  </si>
  <si>
    <t xml:space="preserve">RS942</t>
  </si>
  <si>
    <t xml:space="preserve">Polyester Resin</t>
  </si>
  <si>
    <t xml:space="preserve">RS943</t>
  </si>
  <si>
    <t xml:space="preserve">Resin-Epoxy Ester</t>
  </si>
  <si>
    <t xml:space="preserve">RS948</t>
  </si>
  <si>
    <t xml:space="preserve">RS949</t>
  </si>
  <si>
    <t xml:space="preserve">RS953</t>
  </si>
  <si>
    <t xml:space="preserve">Potassium Silicate Binder</t>
  </si>
  <si>
    <t xml:space="preserve">RS972</t>
  </si>
  <si>
    <t xml:space="preserve">RS973</t>
  </si>
  <si>
    <t xml:space="preserve">RS979</t>
  </si>
  <si>
    <t xml:space="preserve">Isocyanate Prepolymer</t>
  </si>
  <si>
    <t xml:space="preserve">S3100908B50D</t>
  </si>
  <si>
    <t xml:space="preserve">Phenoline 310 Part B 0908 BLK</t>
  </si>
  <si>
    <t xml:space="preserve">S310N800A50D</t>
  </si>
  <si>
    <t xml:space="preserve">Phenoline 310 Part A White</t>
  </si>
  <si>
    <t xml:space="preserve">S5010700APGD</t>
  </si>
  <si>
    <t xml:space="preserve">Carboguard 501 Part A Grey</t>
  </si>
  <si>
    <t xml:space="preserve">S5010908BPGD</t>
  </si>
  <si>
    <t xml:space="preserve">Carboguard 501 Part B</t>
  </si>
  <si>
    <t xml:space="preserve">S5100700A01D</t>
  </si>
  <si>
    <t xml:space="preserve">Carboguard 510 Part A Grey</t>
  </si>
  <si>
    <t xml:space="preserve">S5100909B01D</t>
  </si>
  <si>
    <t xml:space="preserve">Carboguard 510 Part B</t>
  </si>
  <si>
    <t xml:space="preserve">S5100909B05D</t>
  </si>
  <si>
    <t xml:space="preserve">S5110700AESD</t>
  </si>
  <si>
    <t xml:space="preserve">Carboguard 510 SG Part A Grey</t>
  </si>
  <si>
    <t xml:space="preserve">S5110904C4VD</t>
  </si>
  <si>
    <t xml:space="preserve">Carboguard 510 SG Part C</t>
  </si>
  <si>
    <t xml:space="preserve">S5110909B6ND</t>
  </si>
  <si>
    <t xml:space="preserve">Carboguard 510 SG Part B</t>
  </si>
  <si>
    <t xml:space="preserve">STRCHWRP</t>
  </si>
  <si>
    <t xml:space="preserve">Stretch Wrap 80 Gauge</t>
  </si>
  <si>
    <t xml:space="preserve">T1</t>
  </si>
  <si>
    <t xml:space="preserve">Mineral Spirits R-66</t>
  </si>
  <si>
    <t xml:space="preserve">T1000</t>
  </si>
  <si>
    <t xml:space="preserve">Pine Oil</t>
  </si>
  <si>
    <t xml:space="preserve">T1002</t>
  </si>
  <si>
    <t xml:space="preserve">Isobutyl Acetate</t>
  </si>
  <si>
    <t xml:space="preserve">T140</t>
  </si>
  <si>
    <t xml:space="preserve">Glycol Ether EP</t>
  </si>
  <si>
    <t xml:space="preserve">T141</t>
  </si>
  <si>
    <t xml:space="preserve">Methyl n-Propyl Ketone</t>
  </si>
  <si>
    <t xml:space="preserve">T161</t>
  </si>
  <si>
    <t xml:space="preserve">Solvent-Ester</t>
  </si>
  <si>
    <t xml:space="preserve">T19</t>
  </si>
  <si>
    <t xml:space="preserve">N-Butyl Alcohol or N-Butanol</t>
  </si>
  <si>
    <t xml:space="preserve">T201</t>
  </si>
  <si>
    <t xml:space="preserve">Mineral Spirits 18% Aromatic</t>
  </si>
  <si>
    <t xml:space="preserve">T96</t>
  </si>
  <si>
    <t xml:space="preserve">Ethyl Acetate 99%</t>
  </si>
  <si>
    <t xml:space="preserve">TH-013</t>
  </si>
  <si>
    <t xml:space="preserve">#71 THINNER</t>
  </si>
  <si>
    <t xml:space="preserve">W2</t>
  </si>
  <si>
    <t xml:space="preserve">W41</t>
  </si>
  <si>
    <t xml:space="preserve">W63</t>
  </si>
  <si>
    <t xml:space="preserve">W82</t>
  </si>
  <si>
    <t xml:space="preserve">W90</t>
  </si>
  <si>
    <t xml:space="preserve">Strontium Zinc Phosphosilicate</t>
  </si>
  <si>
    <t xml:space="preserve">Y1000</t>
  </si>
  <si>
    <t xml:space="preserve">Pigment-Iron Oxide Tan</t>
  </si>
  <si>
    <t xml:space="preserve">GOOD APPLE — using manager lead time (84</t>
  </si>
  <si>
    <t xml:space="preserve">Y103</t>
  </si>
  <si>
    <t xml:space="preserve">GOOD APPLE — using manager lead time (66</t>
  </si>
  <si>
    <t xml:space="preserve">Y104</t>
  </si>
  <si>
    <t xml:space="preserve">Yellow Dye</t>
  </si>
  <si>
    <t xml:space="preserve">Y107</t>
  </si>
  <si>
    <t xml:space="preserve">GOOD APPLE — using manager lead time (53</t>
  </si>
  <si>
    <t xml:space="preserve">Y109</t>
  </si>
  <si>
    <t xml:space="preserve">Y110</t>
  </si>
  <si>
    <t xml:space="preserve">Orange Pigment</t>
  </si>
  <si>
    <t xml:space="preserve">Y111</t>
  </si>
  <si>
    <t xml:space="preserve">Bismuth Vanadate</t>
  </si>
  <si>
    <t xml:space="preserve">Y116</t>
  </si>
  <si>
    <t xml:space="preserve">Y188</t>
  </si>
  <si>
    <t xml:space="preserve">Y193</t>
  </si>
  <si>
    <t xml:space="preserve">PIGMNT-MUST USE DUST CLLCTN</t>
  </si>
  <si>
    <t xml:space="preserve">Y72</t>
  </si>
  <si>
    <t xml:space="preserve">Pigment-Yellow Iron Oxide</t>
  </si>
  <si>
    <t xml:space="preserve">Y95</t>
  </si>
  <si>
    <t xml:space="preserve">Pigment-Orange</t>
  </si>
  <si>
    <t xml:space="preserve">Y97</t>
  </si>
  <si>
    <t xml:space="preserve">Z102</t>
  </si>
  <si>
    <t xml:space="preserve">Aluminum</t>
  </si>
  <si>
    <t xml:space="preserve">GOOD APPLE — using manager lead time (4.</t>
  </si>
  <si>
    <t xml:space="preserve">Z103</t>
  </si>
  <si>
    <t xml:space="preserve">GOOD APPLE — using manager lead time (13</t>
  </si>
  <si>
    <t xml:space="preserve">Z104</t>
  </si>
  <si>
    <t xml:space="preserve">Z108</t>
  </si>
  <si>
    <t xml:space="preserve">Aluminum Paste</t>
  </si>
  <si>
    <t xml:space="preserve">Z113</t>
  </si>
  <si>
    <t xml:space="preserve">Aluminum Flake</t>
  </si>
  <si>
    <t xml:space="preserve">Z125</t>
  </si>
  <si>
    <t xml:space="preserve">Z3</t>
  </si>
  <si>
    <t xml:space="preserve">ZINC 15</t>
  </si>
  <si>
    <t xml:space="preserve">Zinc Dust</t>
  </si>
  <si>
    <t xml:space="preserve">ZINC 29</t>
  </si>
  <si>
    <t xml:space="preserve">Special Zinc Filler</t>
  </si>
  <si>
    <t xml:space="preserve">ZINC 30</t>
  </si>
  <si>
    <t xml:space="preserve">Zinc</t>
  </si>
  <si>
    <t xml:space="preserve">ZINC 31</t>
  </si>
  <si>
    <t xml:space="preserve">Zinc Dust UP4</t>
  </si>
  <si>
    <t xml:space="preserve">B1011</t>
  </si>
  <si>
    <t xml:space="preserve">C05.3USPC</t>
  </si>
  <si>
    <t xml:space="preserve">5.3 Gal OH Tapered (Nested) St</t>
  </si>
  <si>
    <t xml:space="preserve">C05PSL</t>
  </si>
  <si>
    <t xml:space="preserve">5 GL Non-UN Plastic Screw Cap</t>
  </si>
  <si>
    <t xml:space="preserve">No PO history — using global median (26.</t>
  </si>
  <si>
    <t xml:space="preserve">C2888A625L</t>
  </si>
  <si>
    <t xml:space="preserve">SPC Lid for 2888 size 625</t>
  </si>
  <si>
    <t xml:space="preserve">C2888A75L</t>
  </si>
  <si>
    <t xml:space="preserve">SPC Lid for 2888 size 75</t>
  </si>
  <si>
    <t xml:space="preserve">C55LUOH3BSPC</t>
  </si>
  <si>
    <t xml:space="preserve">55 gl,ch,black,white lid,SPC</t>
  </si>
  <si>
    <t xml:space="preserve">C55LUTHSPC</t>
  </si>
  <si>
    <t xml:space="preserve">55 gl,full,black,white lid,SPC</t>
  </si>
  <si>
    <t xml:space="preserve">GOOD APPLE — using manager lead time (45</t>
  </si>
  <si>
    <t xml:space="preserve">CBB1.5LSPC</t>
  </si>
  <si>
    <t xml:space="preserve">1.5 Liter Base Bucket</t>
  </si>
  <si>
    <t xml:space="preserve">CBB2.5LSPC</t>
  </si>
  <si>
    <t xml:space="preserve">2.5 Liter Base Bucket</t>
  </si>
  <si>
    <t xml:space="preserve">CBB3.2LSPC</t>
  </si>
  <si>
    <t xml:space="preserve">3.2 Liter Base Bucket</t>
  </si>
  <si>
    <t xml:space="preserve">CH350MLSPC</t>
  </si>
  <si>
    <t xml:space="preserve">350 ml Hardener Cup</t>
  </si>
  <si>
    <t xml:space="preserve">CH620MLSPC</t>
  </si>
  <si>
    <t xml:space="preserve">620 ml Hardener Cup</t>
  </si>
  <si>
    <t xml:space="preserve">CLIDA625</t>
  </si>
  <si>
    <t xml:space="preserve">SPC Lid size 625</t>
  </si>
  <si>
    <t xml:space="preserve">CLIDB45</t>
  </si>
  <si>
    <t xml:space="preserve">SPC Lid size 45</t>
  </si>
  <si>
    <t xml:space="preserve">CM1035</t>
  </si>
  <si>
    <t xml:space="preserve">CM1046</t>
  </si>
  <si>
    <t xml:space="preserve">CM1068</t>
  </si>
  <si>
    <t xml:space="preserve">CM1100</t>
  </si>
  <si>
    <t xml:space="preserve">CM1166</t>
  </si>
  <si>
    <t xml:space="preserve">CM1186</t>
  </si>
  <si>
    <t xml:space="preserve">CM1189</t>
  </si>
  <si>
    <t xml:space="preserve">CM1194</t>
  </si>
  <si>
    <t xml:space="preserve">CM1195</t>
  </si>
  <si>
    <t xml:space="preserve">CM1197</t>
  </si>
  <si>
    <t xml:space="preserve">CM1201</t>
  </si>
  <si>
    <t xml:space="preserve">CM1204</t>
  </si>
  <si>
    <t xml:space="preserve">CM1209</t>
  </si>
  <si>
    <t xml:space="preserve">CM1211</t>
  </si>
  <si>
    <t xml:space="preserve">Flow Additive</t>
  </si>
  <si>
    <t xml:space="preserve">CM1225</t>
  </si>
  <si>
    <t xml:space="preserve">CM26</t>
  </si>
  <si>
    <t xml:space="preserve">CM284</t>
  </si>
  <si>
    <t xml:space="preserve">CM556</t>
  </si>
  <si>
    <t xml:space="preserve">CM601</t>
  </si>
  <si>
    <t xml:space="preserve">Waterborne Defoamer</t>
  </si>
  <si>
    <t xml:space="preserve">CM664</t>
  </si>
  <si>
    <t xml:space="preserve">Thixotrope-WB</t>
  </si>
  <si>
    <t xml:space="preserve">CM666</t>
  </si>
  <si>
    <t xml:space="preserve">Anticorrosive Pigment</t>
  </si>
  <si>
    <t xml:space="preserve">CM667</t>
  </si>
  <si>
    <t xml:space="preserve">CM675</t>
  </si>
  <si>
    <t xml:space="preserve">Defoamer-WB</t>
  </si>
  <si>
    <t xml:space="preserve">CM709</t>
  </si>
  <si>
    <t xml:space="preserve">Catalyst</t>
  </si>
  <si>
    <t xml:space="preserve">CM713</t>
  </si>
  <si>
    <t xml:space="preserve">CM730</t>
  </si>
  <si>
    <t xml:space="preserve">CM783</t>
  </si>
  <si>
    <t xml:space="preserve">WB Defoamer</t>
  </si>
  <si>
    <t xml:space="preserve">CM820F</t>
  </si>
  <si>
    <t xml:space="preserve">CM826F</t>
  </si>
  <si>
    <t xml:space="preserve">Zinc Borate Hydrate</t>
  </si>
  <si>
    <t xml:space="preserve">CM853</t>
  </si>
  <si>
    <t xml:space="preserve">CM871F</t>
  </si>
  <si>
    <t xml:space="preserve">Boric Acid Extra Fine</t>
  </si>
  <si>
    <t xml:space="preserve">CM911</t>
  </si>
  <si>
    <t xml:space="preserve">CM919</t>
  </si>
  <si>
    <t xml:space="preserve">Wetting Aid</t>
  </si>
  <si>
    <t xml:space="preserve">CM933</t>
  </si>
  <si>
    <t xml:space="preserve">CM966</t>
  </si>
  <si>
    <t xml:space="preserve">WB Polymer Thickener</t>
  </si>
  <si>
    <t xml:space="preserve">CM976</t>
  </si>
  <si>
    <t xml:space="preserve">CM990</t>
  </si>
  <si>
    <t xml:space="preserve">CS26</t>
  </si>
  <si>
    <t xml:space="preserve">Aqua Ammonia 26</t>
  </si>
  <si>
    <t xml:space="preserve">CS97</t>
  </si>
  <si>
    <t xml:space="preserve">Dicyandiamide</t>
  </si>
  <si>
    <t xml:space="preserve">CT5L10LSPC</t>
  </si>
  <si>
    <t xml:space="preserve">Carton for SPC Brush</t>
  </si>
  <si>
    <t xml:space="preserve">CTDIVSPC1</t>
  </si>
  <si>
    <t xml:space="preserve">Divider for CT5L10LSPC carton</t>
  </si>
  <si>
    <t xml:space="preserve">CTSPCCB</t>
  </si>
  <si>
    <t xml:space="preserve">SPC Double Wall Corrugated Box</t>
  </si>
  <si>
    <t xml:space="preserve">GOOD APPLE — using manager lead time (3.</t>
  </si>
  <si>
    <t xml:space="preserve">D40</t>
  </si>
  <si>
    <t xml:space="preserve">24% Zirconium Drier</t>
  </si>
  <si>
    <t xml:space="preserve">H1024</t>
  </si>
  <si>
    <t xml:space="preserve">H1053</t>
  </si>
  <si>
    <t xml:space="preserve">H190</t>
  </si>
  <si>
    <t xml:space="preserve">Silica Sand</t>
  </si>
  <si>
    <t xml:space="preserve">H308F</t>
  </si>
  <si>
    <t xml:space="preserve">Carbon Fiber Filler</t>
  </si>
  <si>
    <t xml:space="preserve">H309F</t>
  </si>
  <si>
    <t xml:space="preserve">Hollow Ceramic Filler</t>
  </si>
  <si>
    <t xml:space="preserve">H316F</t>
  </si>
  <si>
    <t xml:space="preserve">Glass Fiber Filler</t>
  </si>
  <si>
    <t xml:space="preserve">H322</t>
  </si>
  <si>
    <t xml:space="preserve">H364</t>
  </si>
  <si>
    <t xml:space="preserve">Filler-Microsphere</t>
  </si>
  <si>
    <t xml:space="preserve">GOOD APPLE — using manager lead time (24</t>
  </si>
  <si>
    <t xml:space="preserve">H389</t>
  </si>
  <si>
    <t xml:space="preserve">H420</t>
  </si>
  <si>
    <t xml:space="preserve">Filler-Feldspar</t>
  </si>
  <si>
    <t xml:space="preserve">H434</t>
  </si>
  <si>
    <t xml:space="preserve">H436</t>
  </si>
  <si>
    <t xml:space="preserve">H441</t>
  </si>
  <si>
    <t xml:space="preserve">GOOD APPLE — using manager lead time (22</t>
  </si>
  <si>
    <t xml:space="preserve">P1002</t>
  </si>
  <si>
    <t xml:space="preserve">P4</t>
  </si>
  <si>
    <t xml:space="preserve">Dibutyl Phthalate</t>
  </si>
  <si>
    <t xml:space="preserve">P85</t>
  </si>
  <si>
    <t xml:space="preserve">PAQD5077</t>
  </si>
  <si>
    <t xml:space="preserve">Chroma-Chem 895-9406 (AQV)</t>
  </si>
  <si>
    <t xml:space="preserve">PAQD6006</t>
  </si>
  <si>
    <t xml:space="preserve">Chroma-Chem 895-1806 (AYO)</t>
  </si>
  <si>
    <t xml:space="preserve">PAQD8035</t>
  </si>
  <si>
    <t xml:space="preserve">Chroma-Chem 895-0005 (ATW)</t>
  </si>
  <si>
    <t xml:space="preserve">PAQD9015</t>
  </si>
  <si>
    <t xml:space="preserve">Chroma-Chem 895-9905 (ALB)</t>
  </si>
  <si>
    <t xml:space="preserve">PDNP5081</t>
  </si>
  <si>
    <t xml:space="preserve">PDNP 48-58000 Red</t>
  </si>
  <si>
    <t xml:space="preserve">PRV1015</t>
  </si>
  <si>
    <t xml:space="preserve">R1008</t>
  </si>
  <si>
    <t xml:space="preserve">Natural Red Iron Oxide</t>
  </si>
  <si>
    <t xml:space="preserve">R122</t>
  </si>
  <si>
    <t xml:space="preserve">RH256F</t>
  </si>
  <si>
    <t xml:space="preserve">MK Powder</t>
  </si>
  <si>
    <t xml:space="preserve">RH257F</t>
  </si>
  <si>
    <t xml:space="preserve">Melamine Resin</t>
  </si>
  <si>
    <t xml:space="preserve">RS1032F</t>
  </si>
  <si>
    <t xml:space="preserve">Polysulfide Polymer</t>
  </si>
  <si>
    <t xml:space="preserve">RS1093</t>
  </si>
  <si>
    <t xml:space="preserve">RS1094</t>
  </si>
  <si>
    <t xml:space="preserve">RS1096</t>
  </si>
  <si>
    <t xml:space="preserve">RS1105</t>
  </si>
  <si>
    <t xml:space="preserve">RS1110</t>
  </si>
  <si>
    <t xml:space="preserve">RS1115</t>
  </si>
  <si>
    <t xml:space="preserve">RS1120</t>
  </si>
  <si>
    <t xml:space="preserve">RS1126</t>
  </si>
  <si>
    <t xml:space="preserve">RS585</t>
  </si>
  <si>
    <t xml:space="preserve">RS819</t>
  </si>
  <si>
    <t xml:space="preserve">RS859</t>
  </si>
  <si>
    <t xml:space="preserve">RS860</t>
  </si>
  <si>
    <t xml:space="preserve">Resin-Silicone Alkyd</t>
  </si>
  <si>
    <t xml:space="preserve">GOOD APPLE — using manager lead time (46</t>
  </si>
  <si>
    <t xml:space="preserve">RS882</t>
  </si>
  <si>
    <t xml:space="preserve">Acrylic Polymer</t>
  </si>
  <si>
    <t xml:space="preserve">RS899</t>
  </si>
  <si>
    <t xml:space="preserve">WB Acrylic Emulsion</t>
  </si>
  <si>
    <t xml:space="preserve">RS915</t>
  </si>
  <si>
    <t xml:space="preserve">Potassium Silicate</t>
  </si>
  <si>
    <t xml:space="preserve">RS916</t>
  </si>
  <si>
    <t xml:space="preserve">Lithium Polysilicate</t>
  </si>
  <si>
    <t xml:space="preserve">RS920</t>
  </si>
  <si>
    <t xml:space="preserve">RS924</t>
  </si>
  <si>
    <t xml:space="preserve">RS990</t>
  </si>
  <si>
    <t xml:space="preserve">S03593</t>
  </si>
  <si>
    <t xml:space="preserve">S23483</t>
  </si>
  <si>
    <t xml:space="preserve">T1004</t>
  </si>
  <si>
    <t xml:space="preserve">Aliphatic Hydrocarbon</t>
  </si>
  <si>
    <t xml:space="preserve">T156</t>
  </si>
  <si>
    <t xml:space="preserve">Alkyl Ester Solvent</t>
  </si>
  <si>
    <t xml:space="preserve">T160</t>
  </si>
  <si>
    <t xml:space="preserve">Glycol Ether DM</t>
  </si>
  <si>
    <t xml:space="preserve">T179</t>
  </si>
  <si>
    <t xml:space="preserve">Hexylene Glycol</t>
  </si>
  <si>
    <t xml:space="preserve">T182</t>
  </si>
  <si>
    <t xml:space="preserve">T53</t>
  </si>
  <si>
    <t xml:space="preserve">Glycol Ether DB</t>
  </si>
  <si>
    <t xml:space="preserve">W75</t>
  </si>
  <si>
    <t xml:space="preserve">Y117</t>
  </si>
  <si>
    <t xml:space="preserve">CM1109F</t>
  </si>
  <si>
    <t xml:space="preserve">CM1110F</t>
  </si>
  <si>
    <t xml:space="preserve">CM1163F</t>
  </si>
  <si>
    <t xml:space="preserve">CM1175F</t>
  </si>
  <si>
    <t xml:space="preserve">CM310F</t>
  </si>
  <si>
    <t xml:space="preserve">Methylhydroxyethyl Cellulose</t>
  </si>
  <si>
    <t xml:space="preserve">CM322F</t>
  </si>
  <si>
    <t xml:space="preserve">Calcium Nitrate Trihydrate</t>
  </si>
  <si>
    <t xml:space="preserve">CM452F</t>
  </si>
  <si>
    <t xml:space="preserve">Sodium Alpha Olefin Sulfonate</t>
  </si>
  <si>
    <t xml:space="preserve">CM468F</t>
  </si>
  <si>
    <t xml:space="preserve">CM473F</t>
  </si>
  <si>
    <t xml:space="preserve">Fungicide</t>
  </si>
  <si>
    <t xml:space="preserve">CM481F</t>
  </si>
  <si>
    <t xml:space="preserve">Sodium Silicate</t>
  </si>
  <si>
    <t xml:space="preserve">CM808F</t>
  </si>
  <si>
    <t xml:space="preserve">Aluminum Sulfate</t>
  </si>
  <si>
    <t xml:space="preserve">CM975F</t>
  </si>
  <si>
    <t xml:space="preserve">Arctic Gel 1010, AP 93 G63, XS</t>
  </si>
  <si>
    <t xml:space="preserve">H100F</t>
  </si>
  <si>
    <t xml:space="preserve">Gypsum Retarder</t>
  </si>
  <si>
    <t xml:space="preserve">H1079F</t>
  </si>
  <si>
    <t xml:space="preserve">H1080F</t>
  </si>
  <si>
    <t xml:space="preserve">Micro-Fibers</t>
  </si>
  <si>
    <t xml:space="preserve">H1081F</t>
  </si>
  <si>
    <t xml:space="preserve">1/4 Chopped Glass</t>
  </si>
  <si>
    <t xml:space="preserve">H176F</t>
  </si>
  <si>
    <t xml:space="preserve">H184F</t>
  </si>
  <si>
    <t xml:space="preserve">H235F</t>
  </si>
  <si>
    <t xml:space="preserve">Mica Filler</t>
  </si>
  <si>
    <t xml:space="preserve">H247F</t>
  </si>
  <si>
    <t xml:space="preserve">H317F</t>
  </si>
  <si>
    <t xml:space="preserve">Hydrated Lime</t>
  </si>
  <si>
    <t xml:space="preserve">H321F</t>
  </si>
  <si>
    <t xml:space="preserve">Cellulose Fibers</t>
  </si>
  <si>
    <t xml:space="preserve">H350F</t>
  </si>
  <si>
    <t xml:space="preserve">Plaster</t>
  </si>
  <si>
    <t xml:space="preserve">H404F</t>
  </si>
  <si>
    <t xml:space="preserve">Calcined Kaolin</t>
  </si>
  <si>
    <t xml:space="preserve">H419F</t>
  </si>
  <si>
    <t xml:space="preserve">Vermiculite</t>
  </si>
  <si>
    <t xml:space="preserve">H442F</t>
  </si>
  <si>
    <t xml:space="preserve">Chopped Glass 1/4 Inch</t>
  </si>
  <si>
    <t xml:space="preserve">H444F</t>
  </si>
  <si>
    <t xml:space="preserve">Alumina Trihydrate, Polyfill 2</t>
  </si>
  <si>
    <t xml:space="preserve">H446F</t>
  </si>
  <si>
    <t xml:space="preserve">H450F</t>
  </si>
  <si>
    <t xml:space="preserve">H701F</t>
  </si>
  <si>
    <t xml:space="preserve">Glass Fibers</t>
  </si>
  <si>
    <t xml:space="preserve">TOTAL — IN-SCOPE (excl. OUT_OF_SCOPE + Bad Apples)</t>
  </si>
  <si>
    <t xml:space="preserve">OUT OF SCOPE (582) — Finished goods — NOT 8003/8010 raw materials</t>
  </si>
  <si>
    <t xml:space="preserve">product_type</t>
  </si>
  <si>
    <t xml:space="preserve">product_type_label</t>
  </si>
  <si>
    <t xml:space="preserve">TSA</t>
  </si>
  <si>
    <t xml:space="preserve">Thermally Sprayed Aluminum</t>
  </si>
  <si>
    <t xml:space="preserve">KMM</t>
  </si>
  <si>
    <t xml:space="preserve">Knockdown/Mix Material</t>
  </si>
  <si>
    <t xml:space="preserve">KAM</t>
  </si>
  <si>
    <t xml:space="preserve">Knockdown/Aggregate Material</t>
  </si>
  <si>
    <t xml:space="preserve">TSC</t>
  </si>
  <si>
    <t xml:space="preserve">Thermally Sprayed Copper</t>
  </si>
  <si>
    <t xml:space="preserve">TSB</t>
  </si>
  <si>
    <t xml:space="preserve">Thermally Sprayed Bronze</t>
  </si>
  <si>
    <t xml:space="preserve">KBM</t>
  </si>
  <si>
    <t xml:space="preserve">Knockdown/Bulk Material</t>
  </si>
  <si>
    <t xml:space="preserve">ABC BY SITE | Cols K-L = SUMPRODUCT formulas from Master_Data | v4 (Bad Apples excluded from totals)</t>
  </si>
  <si>
    <t xml:space="preserve">site</t>
  </si>
  <si>
    <t xml:space="preserve">tier</t>
  </si>
  <si>
    <t xml:space="preserve">count</t>
  </si>
  <si>
    <t xml:space="preserve">underst.</t>
  </si>
  <si>
    <t xml:space="preserve">overst.</t>
  </si>
  <si>
    <t xml:space="preserve">ok</t>
  </si>
  <si>
    <t xml:space="preserve">ss_lbs</t>
  </si>
  <si>
    <t xml:space="preserve">rop_lbs</t>
  </si>
  <si>
    <t xml:space="preserve">avg_lt</t>
  </si>
  <si>
    <t xml:space="preserve">avg_otd</t>
  </si>
  <si>
    <t xml:space="preserve">ss_$ ▶F</t>
  </si>
  <si>
    <t xml:space="preserve">rop_$ ▶F</t>
  </si>
  <si>
    <t xml:space="preserve">Lake Charles SUBTOTAL</t>
  </si>
  <si>
    <t xml:space="preserve">Green Bay SUBTOTAL</t>
  </si>
  <si>
    <t xml:space="preserve">Dayton SUBTOTAL</t>
  </si>
  <si>
    <t xml:space="preserve">Louisa SUBTOTAL</t>
  </si>
  <si>
    <t xml:space="preserve">ACTION ITEMS — v4 Update | June 23-24 2026</t>
  </si>
  <si>
    <t xml:space="preserve">ID</t>
  </si>
  <si>
    <t xml:space="preserve">Details</t>
  </si>
  <si>
    <t xml:space="preserve">Owner</t>
  </si>
  <si>
    <t xml:space="preserve">1 ✅ GOOD APPLE FLAGS</t>
  </si>
  <si>
    <t xml:space="preserve">59 Good Apple items in ROP file now use manager-provided lead times. SS calculated with manager's lead time instead of avg PO history. 33 Good Apple items are understocked. 26 are stocked OK. 93 Good Apples are NOT in the ROP file — Pat must add LN ordering params for these.</t>
  </si>
  <si>
    <t xml:space="preserve">Done ✅ | Pat: add 93 items</t>
  </si>
  <si>
    <t xml:space="preserve">2 ✅ BAD APPLE FLAGS</t>
  </si>
  <si>
    <t xml:space="preserve">94 Bad Apple items in ROP file now have SS=0 and priority_score=0. They will never appear in the Priority Audit List. Pat should remove their ordering parameters in LN item ordering session. 1,056 Bad Apples already have no ROP set in LN — correct as-is. 1 duplicate (RS1100) removed from source file.</t>
  </si>
  <si>
    <t xml:space="preserve">Done ✅ | Pat: remove 94 items</t>
  </si>
  <si>
    <t xml:space="preserve">3 ✅ LC BULK TANK CAPS</t>
  </si>
  <si>
    <t xml:space="preserve">6 Lake Charles items capped at 80% of tank max: RS977 (103,057LB), RS820 (71,432LB), RS825 (72,000LB), CM1115 (95,933LB), CM847 (51,478LB), Z86 (6,000LB hard safety cap). Uncapped values stored in lt_source_v4 column for reference.</t>
  </si>
  <si>
    <t xml:space="preserve">Done ✅</t>
  </si>
  <si>
    <t xml:space="preserve">4 ✅ GB BULK TANK CAPS DEFINED</t>
  </si>
  <si>
    <t xml:space="preserve">GB caps: RS977=36,000LB | T25=32,000LB | RS554=35,200LB | T10=12,800LB. Formula: 80% × (max_capacity − must_be_down_to). These 4 items are NOT in the ROP file yet — Pat needs to add LN ordering params first.</t>
  </si>
  <si>
    <t xml:space="preserve">Done ✅ defined | Pat: add 4 GB tank items</t>
  </si>
  <si>
    <t xml:space="preserve">5 🔴 PAT: 93 GOOD APPLE ITEMS NEED LN PARAMS</t>
  </si>
  <si>
    <t xml:space="preserve">93 Good Apple items are on manager's always-stock list but have NO ordering parameters set in LN. Without ROP in LN, the system will not generate planned orders. See ⭐ Good_Apple_Missing_ROP sheet in SS file for the full list.</t>
  </si>
  <si>
    <t xml:space="preserve">Pat — this week</t>
  </si>
  <si>
    <t xml:space="preserve">6 🔴 PAT: 4 GB TANK ITEMS NEED LN PARAMS</t>
  </si>
  <si>
    <t xml:space="preserve">RS977, T25, RS554, T10 at Green Bay have no ROP in LN. These are bulk liquid raw materials that need active ordering parameters.</t>
  </si>
  <si>
    <t xml:space="preserve">7 🔴 LOUISA URGENT</t>
  </si>
  <si>
    <t xml:space="preserve">H350F, H419F, H450F at Louisa: LN ROP is 35K-50K LB but should be 240K-917K LB. Pat must update immediately.</t>
  </si>
  <si>
    <t xml:space="preserve">Pat — URGENT</t>
  </si>
  <si>
    <t xml:space="preserve">8 ⚠ MORE GOOD APPLES COMING</t>
  </si>
  <si>
    <t xml:space="preserve">Manager said this is the first cut of Good Apples (~146 items). Better/fuller list coming. When it arrives, re-run v4 Python script to update flags.</t>
  </si>
  <si>
    <t xml:space="preserve">Manager — pending</t>
  </si>
</sst>
</file>

<file path=xl/styles.xml><?xml version="1.0" encoding="utf-8"?>
<styleSheet xmlns="http://schemas.openxmlformats.org/spreadsheetml/2006/main">
  <numFmts count="7">
    <numFmt numFmtId="164" formatCode="General"/>
    <numFmt numFmtId="165" formatCode="\$#,##0.0000"/>
    <numFmt numFmtId="166" formatCode="#,##0.00"/>
    <numFmt numFmtId="167" formatCode="\$#,##0"/>
    <numFmt numFmtId="168" formatCode="0.0"/>
    <numFmt numFmtId="169" formatCode="0.0\%"/>
    <numFmt numFmtId="170" formatCode="\$#,##0.00"/>
  </numFmts>
  <fonts count="20">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9"/>
      <color rgb="FFFFFFFF"/>
      <name val="Arial"/>
      <family val="0"/>
      <charset val="1"/>
    </font>
    <font>
      <sz val="9"/>
      <color rgb="FF000000"/>
      <name val="Arial"/>
      <family val="0"/>
      <charset val="1"/>
    </font>
    <font>
      <b val="true"/>
      <sz val="9"/>
      <color rgb="FF8B0000"/>
      <name val="Arial"/>
      <family val="0"/>
      <charset val="1"/>
    </font>
    <font>
      <b val="true"/>
      <sz val="13"/>
      <color rgb="FFFFFFFF"/>
      <name val="Arial"/>
      <family val="0"/>
      <charset val="1"/>
    </font>
    <font>
      <b val="true"/>
      <sz val="10"/>
      <color rgb="FF7F6000"/>
      <name val="Arial"/>
      <family val="0"/>
      <charset val="1"/>
    </font>
    <font>
      <sz val="10"/>
      <color rgb="FF1F3864"/>
      <name val="Arial"/>
      <family val="0"/>
      <charset val="1"/>
    </font>
    <font>
      <b val="true"/>
      <sz val="9"/>
      <color rgb="FF000000"/>
      <name val="Arial"/>
      <family val="0"/>
      <charset val="1"/>
    </font>
    <font>
      <sz val="9"/>
      <color rgb="FF5D4037"/>
      <name val="Arial"/>
      <family val="0"/>
      <charset val="1"/>
    </font>
    <font>
      <b val="true"/>
      <sz val="9"/>
      <color rgb="FFB8860B"/>
      <name val="Arial"/>
      <family val="0"/>
      <charset val="1"/>
    </font>
    <font>
      <b val="true"/>
      <sz val="9"/>
      <color rgb="FF595959"/>
      <name val="Arial"/>
      <family val="0"/>
      <charset val="1"/>
    </font>
    <font>
      <b val="true"/>
      <sz val="10"/>
      <color rgb="FFFFFFFF"/>
      <name val="Arial"/>
      <family val="0"/>
      <charset val="1"/>
    </font>
    <font>
      <b val="true"/>
      <sz val="9"/>
      <color rgb="FF5D4037"/>
      <name val="Arial"/>
      <family val="0"/>
      <charset val="1"/>
    </font>
    <font>
      <b val="true"/>
      <sz val="10"/>
      <color rgb="FF375623"/>
      <name val="Arial"/>
      <family val="0"/>
      <charset val="1"/>
    </font>
    <font>
      <sz val="10"/>
      <color rgb="FF000000"/>
      <name val="Arial"/>
      <family val="0"/>
      <charset val="1"/>
    </font>
    <font>
      <b val="true"/>
      <sz val="10"/>
      <color rgb="FFC00000"/>
      <name val="Arial"/>
      <family val="0"/>
      <charset val="1"/>
    </font>
  </fonts>
  <fills count="25">
    <fill>
      <patternFill patternType="none"/>
    </fill>
    <fill>
      <patternFill patternType="gray125"/>
    </fill>
    <fill>
      <patternFill patternType="solid">
        <fgColor rgb="FF595959"/>
        <bgColor rgb="FF5D4037"/>
      </patternFill>
    </fill>
    <fill>
      <patternFill patternType="solid">
        <fgColor rgb="FF8B0000"/>
        <bgColor rgb="FF800000"/>
      </patternFill>
    </fill>
    <fill>
      <patternFill patternType="solid">
        <fgColor rgb="FFF2F2F2"/>
        <bgColor rgb="FFEBF3FB"/>
      </patternFill>
    </fill>
    <fill>
      <patternFill patternType="solid">
        <fgColor rgb="FFFFFFFF"/>
        <bgColor rgb="FFFFFDE7"/>
      </patternFill>
    </fill>
    <fill>
      <patternFill patternType="solid">
        <fgColor rgb="FFFFE0E0"/>
        <bgColor rgb="FFFCE4D6"/>
      </patternFill>
    </fill>
    <fill>
      <patternFill patternType="solid">
        <fgColor rgb="FFFFF2CC"/>
        <bgColor rgb="FFFFF8DC"/>
      </patternFill>
    </fill>
    <fill>
      <patternFill patternType="solid">
        <fgColor rgb="FF1F3864"/>
        <bgColor rgb="FF333399"/>
      </patternFill>
    </fill>
    <fill>
      <patternFill patternType="solid">
        <fgColor rgb="FF2E75B6"/>
        <bgColor rgb="FF0066CC"/>
      </patternFill>
    </fill>
    <fill>
      <patternFill patternType="solid">
        <fgColor rgb="FFD6E4F0"/>
        <bgColor rgb="FFE2EFDA"/>
      </patternFill>
    </fill>
    <fill>
      <patternFill patternType="solid">
        <fgColor rgb="FFC00000"/>
        <bgColor rgb="FF8B0000"/>
      </patternFill>
    </fill>
    <fill>
      <patternFill patternType="solid">
        <fgColor rgb="FFE2EFDA"/>
        <bgColor rgb="FFF2F2F2"/>
      </patternFill>
    </fill>
    <fill>
      <patternFill patternType="solid">
        <fgColor rgb="FFB8860B"/>
        <bgColor rgb="FFDAA520"/>
      </patternFill>
    </fill>
    <fill>
      <patternFill patternType="solid">
        <fgColor rgb="FFFCE4D6"/>
        <bgColor rgb="FFFFE0E0"/>
      </patternFill>
    </fill>
    <fill>
      <patternFill patternType="solid">
        <fgColor rgb="FF375623"/>
        <bgColor rgb="FF595959"/>
      </patternFill>
    </fill>
    <fill>
      <patternFill patternType="solid">
        <fgColor rgb="FFEBF3FB"/>
        <bgColor rgb="FFF2F2F2"/>
      </patternFill>
    </fill>
    <fill>
      <patternFill patternType="solid">
        <fgColor rgb="FFFFFDE7"/>
        <bgColor rgb="FFFFF8DC"/>
      </patternFill>
    </fill>
    <fill>
      <patternFill patternType="solid">
        <fgColor rgb="FFED7D31"/>
        <bgColor rgb="FFFF8080"/>
      </patternFill>
    </fill>
    <fill>
      <patternFill patternType="solid">
        <fgColor rgb="FFC55A11"/>
        <bgColor rgb="FFB8860B"/>
      </patternFill>
    </fill>
    <fill>
      <patternFill patternType="solid">
        <fgColor rgb="FFFFF8DC"/>
        <bgColor rgb="FFFFFDE7"/>
      </patternFill>
    </fill>
    <fill>
      <patternFill patternType="solid">
        <fgColor rgb="FFDAA520"/>
        <bgColor rgb="FFB8860B"/>
      </patternFill>
    </fill>
    <fill>
      <patternFill patternType="solid">
        <fgColor rgb="FF7F7F7F"/>
        <bgColor rgb="FF595959"/>
      </patternFill>
    </fill>
    <fill>
      <patternFill patternType="solid">
        <fgColor rgb="FFBFBFBF"/>
        <bgColor rgb="FFCCCCCC"/>
      </patternFill>
    </fill>
    <fill>
      <patternFill patternType="solid">
        <fgColor rgb="FFFFD7D7"/>
        <bgColor rgb="FFFFE0E0"/>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5" fontId="6" fillId="4" borderId="2" xfId="0" applyFont="true" applyBorder="true" applyAlignment="true" applyProtection="false">
      <alignment horizontal="right" vertical="center" textRotation="0" wrapText="true" indent="0" shrinkToFit="false"/>
      <protection locked="true" hidden="false"/>
    </xf>
    <xf numFmtId="166" fontId="6" fillId="4" borderId="2" xfId="0" applyFont="true" applyBorder="true" applyAlignment="true" applyProtection="false">
      <alignment horizontal="right" vertical="center" textRotation="0" wrapText="true" indent="0" shrinkToFit="false"/>
      <protection locked="true" hidden="false"/>
    </xf>
    <xf numFmtId="164" fontId="6" fillId="5" borderId="2" xfId="0" applyFont="true" applyBorder="true" applyAlignment="true" applyProtection="false">
      <alignment horizontal="left" vertical="center" textRotation="0" wrapText="true" indent="0" shrinkToFit="false"/>
      <protection locked="true" hidden="false"/>
    </xf>
    <xf numFmtId="165" fontId="6" fillId="5" borderId="2" xfId="0" applyFont="true" applyBorder="true" applyAlignment="true" applyProtection="false">
      <alignment horizontal="right" vertical="center" textRotation="0" wrapText="true" indent="0" shrinkToFit="false"/>
      <protection locked="true" hidden="false"/>
    </xf>
    <xf numFmtId="166" fontId="6" fillId="5" borderId="2" xfId="0" applyFont="true" applyBorder="true" applyAlignment="true" applyProtection="false">
      <alignment horizontal="righ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6" fillId="7" borderId="2" xfId="0" applyFont="true" applyBorder="true" applyAlignment="true" applyProtection="false">
      <alignment horizontal="left" vertical="center" textRotation="0" wrapText="true" indent="0" shrinkToFit="false"/>
      <protection locked="true" hidden="false"/>
    </xf>
    <xf numFmtId="165" fontId="6" fillId="7" borderId="2" xfId="0" applyFont="true" applyBorder="true" applyAlignment="true" applyProtection="false">
      <alignment horizontal="right" vertical="center" textRotation="0" wrapText="true" indent="0" shrinkToFit="false"/>
      <protection locked="true" hidden="false"/>
    </xf>
    <xf numFmtId="166" fontId="6" fillId="7" borderId="2" xfId="0" applyFont="true" applyBorder="true" applyAlignment="true" applyProtection="false">
      <alignment horizontal="righ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5" fillId="9" borderId="2"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left" vertical="center" textRotation="0" wrapText="true" indent="0" shrinkToFit="false"/>
      <protection locked="true" hidden="false"/>
    </xf>
    <xf numFmtId="164" fontId="6" fillId="10" borderId="2" xfId="0" applyFont="true" applyBorder="true" applyAlignment="true" applyProtection="false">
      <alignment horizontal="right" vertical="center" textRotation="0" wrapText="true" indent="0" shrinkToFit="false"/>
      <protection locked="true" hidden="false"/>
    </xf>
    <xf numFmtId="164" fontId="5" fillId="11" borderId="2" xfId="0" applyFont="true" applyBorder="true" applyAlignment="true" applyProtection="false">
      <alignment horizontal="right" vertical="center" textRotation="0" wrapText="true" indent="0" shrinkToFit="false"/>
      <protection locked="true" hidden="false"/>
    </xf>
    <xf numFmtId="164" fontId="5" fillId="2" borderId="2" xfId="0" applyFont="true" applyBorder="true" applyAlignment="true" applyProtection="false">
      <alignment horizontal="right" vertical="center" textRotation="0" wrapText="true" indent="0" shrinkToFit="false"/>
      <protection locked="true" hidden="false"/>
    </xf>
    <xf numFmtId="167" fontId="6" fillId="10" borderId="2" xfId="0" applyFont="true" applyBorder="true" applyAlignment="true" applyProtection="false">
      <alignment horizontal="right" vertical="center" textRotation="0" wrapText="true" indent="0" shrinkToFit="false"/>
      <protection locked="true" hidden="false"/>
    </xf>
    <xf numFmtId="168" fontId="6" fillId="10" borderId="2" xfId="0" applyFont="true" applyBorder="true" applyAlignment="true" applyProtection="false">
      <alignment horizontal="right" vertical="center" textRotation="0" wrapText="true" indent="0" shrinkToFit="false"/>
      <protection locked="true" hidden="false"/>
    </xf>
    <xf numFmtId="169" fontId="6" fillId="10" borderId="2" xfId="0" applyFont="true" applyBorder="true" applyAlignment="true" applyProtection="false">
      <alignment horizontal="right" vertical="center" textRotation="0" wrapText="true" indent="0" shrinkToFit="false"/>
      <protection locked="true" hidden="false"/>
    </xf>
    <xf numFmtId="164" fontId="6" fillId="12" borderId="2" xfId="0" applyFont="true" applyBorder="true" applyAlignment="true" applyProtection="false">
      <alignment horizontal="left" vertical="center" textRotation="0" wrapText="true" indent="0" shrinkToFit="false"/>
      <protection locked="true" hidden="false"/>
    </xf>
    <xf numFmtId="164" fontId="6" fillId="12" borderId="2" xfId="0" applyFont="true" applyBorder="true" applyAlignment="true" applyProtection="false">
      <alignment horizontal="right" vertical="center" textRotation="0" wrapText="true" indent="0" shrinkToFit="false"/>
      <protection locked="true" hidden="false"/>
    </xf>
    <xf numFmtId="164" fontId="5" fillId="13" borderId="2" xfId="0" applyFont="true" applyBorder="true" applyAlignment="true" applyProtection="false">
      <alignment horizontal="right" vertical="center" textRotation="0" wrapText="true" indent="0" shrinkToFit="false"/>
      <protection locked="true" hidden="false"/>
    </xf>
    <xf numFmtId="167" fontId="6" fillId="12" borderId="2" xfId="0" applyFont="true" applyBorder="true" applyAlignment="true" applyProtection="false">
      <alignment horizontal="right" vertical="center" textRotation="0" wrapText="true" indent="0" shrinkToFit="false"/>
      <protection locked="true" hidden="false"/>
    </xf>
    <xf numFmtId="168" fontId="6" fillId="12" borderId="2" xfId="0" applyFont="true" applyBorder="true" applyAlignment="true" applyProtection="false">
      <alignment horizontal="right" vertical="center" textRotation="0" wrapText="true" indent="0" shrinkToFit="false"/>
      <protection locked="true" hidden="false"/>
    </xf>
    <xf numFmtId="169" fontId="6" fillId="12" borderId="2" xfId="0" applyFont="true" applyBorder="true" applyAlignment="true" applyProtection="false">
      <alignment horizontal="right" vertical="center" textRotation="0" wrapText="true" indent="0" shrinkToFit="false"/>
      <protection locked="true" hidden="false"/>
    </xf>
    <xf numFmtId="164" fontId="6" fillId="7" borderId="2" xfId="0" applyFont="true" applyBorder="true" applyAlignment="true" applyProtection="false">
      <alignment horizontal="right" vertical="center" textRotation="0" wrapText="true" indent="0" shrinkToFit="false"/>
      <protection locked="true" hidden="false"/>
    </xf>
    <xf numFmtId="167" fontId="6" fillId="7" borderId="2" xfId="0" applyFont="true" applyBorder="true" applyAlignment="true" applyProtection="false">
      <alignment horizontal="right" vertical="center" textRotation="0" wrapText="true" indent="0" shrinkToFit="false"/>
      <protection locked="true" hidden="false"/>
    </xf>
    <xf numFmtId="168" fontId="6" fillId="7" borderId="2" xfId="0" applyFont="true" applyBorder="true" applyAlignment="true" applyProtection="false">
      <alignment horizontal="right" vertical="center" textRotation="0" wrapText="true" indent="0" shrinkToFit="false"/>
      <protection locked="true" hidden="false"/>
    </xf>
    <xf numFmtId="169" fontId="6" fillId="7" borderId="2" xfId="0" applyFont="true" applyBorder="true" applyAlignment="true" applyProtection="false">
      <alignment horizontal="right" vertical="center" textRotation="0" wrapText="true" indent="0" shrinkToFit="false"/>
      <protection locked="true" hidden="false"/>
    </xf>
    <xf numFmtId="164" fontId="6" fillId="14" borderId="2" xfId="0" applyFont="true" applyBorder="true" applyAlignment="true" applyProtection="false">
      <alignment horizontal="left" vertical="center" textRotation="0" wrapText="true" indent="0" shrinkToFit="false"/>
      <protection locked="true" hidden="false"/>
    </xf>
    <xf numFmtId="164" fontId="6" fillId="14" borderId="2" xfId="0" applyFont="true" applyBorder="true" applyAlignment="true" applyProtection="false">
      <alignment horizontal="right" vertical="center" textRotation="0" wrapText="true" indent="0" shrinkToFit="false"/>
      <protection locked="true" hidden="false"/>
    </xf>
    <xf numFmtId="167" fontId="6" fillId="14" borderId="2" xfId="0" applyFont="true" applyBorder="true" applyAlignment="true" applyProtection="false">
      <alignment horizontal="right" vertical="center" textRotation="0" wrapText="true" indent="0" shrinkToFit="false"/>
      <protection locked="true" hidden="false"/>
    </xf>
    <xf numFmtId="168" fontId="6" fillId="14" borderId="2" xfId="0" applyFont="true" applyBorder="true" applyAlignment="true" applyProtection="false">
      <alignment horizontal="right" vertical="center" textRotation="0" wrapText="true" indent="0" shrinkToFit="false"/>
      <protection locked="true" hidden="false"/>
    </xf>
    <xf numFmtId="169" fontId="6" fillId="14" borderId="2" xfId="0" applyFont="true" applyBorder="true" applyAlignment="true" applyProtection="false">
      <alignment horizontal="right" vertical="center" textRotation="0" wrapText="true" indent="0" shrinkToFit="false"/>
      <protection locked="true" hidden="false"/>
    </xf>
    <xf numFmtId="164" fontId="5" fillId="8" borderId="2" xfId="0" applyFont="true" applyBorder="true" applyAlignment="true" applyProtection="false">
      <alignment horizontal="left" vertical="center" textRotation="0" wrapText="true" indent="0" shrinkToFit="false"/>
      <protection locked="true" hidden="false"/>
    </xf>
    <xf numFmtId="164" fontId="5" fillId="8" borderId="2" xfId="0" applyFont="true" applyBorder="true" applyAlignment="true" applyProtection="false">
      <alignment horizontal="right" vertical="center" textRotation="0" wrapText="true" indent="0" shrinkToFit="false"/>
      <protection locked="true" hidden="false"/>
    </xf>
    <xf numFmtId="167" fontId="5" fillId="8" borderId="2" xfId="0" applyFont="true" applyBorder="true" applyAlignment="true" applyProtection="false">
      <alignment horizontal="right" vertical="center" textRotation="0" wrapText="true" indent="0" shrinkToFit="false"/>
      <protection locked="true" hidden="false"/>
    </xf>
    <xf numFmtId="168" fontId="5" fillId="8" borderId="2" xfId="0" applyFont="true" applyBorder="true" applyAlignment="true" applyProtection="false">
      <alignment horizontal="right" vertical="center" textRotation="0" wrapText="true" indent="0" shrinkToFit="false"/>
      <protection locked="true" hidden="false"/>
    </xf>
    <xf numFmtId="169" fontId="5" fillId="8" borderId="2" xfId="0" applyFont="true" applyBorder="true" applyAlignment="true" applyProtection="false">
      <alignment horizontal="right"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5" fillId="11" borderId="2" xfId="0" applyFont="true" applyBorder="true" applyAlignment="true" applyProtection="false">
      <alignment horizontal="center" vertical="center" textRotation="0" wrapText="true" indent="0" shrinkToFit="false"/>
      <protection locked="true" hidden="false"/>
    </xf>
    <xf numFmtId="164" fontId="5" fillId="15" borderId="2" xfId="0" applyFont="true" applyBorder="true" applyAlignment="true" applyProtection="false">
      <alignment horizontal="center" vertical="center" textRotation="0" wrapText="true" indent="0" shrinkToFit="false"/>
      <protection locked="true" hidden="false"/>
    </xf>
    <xf numFmtId="164" fontId="11" fillId="10" borderId="2" xfId="0" applyFont="true" applyBorder="true" applyAlignment="true" applyProtection="false">
      <alignment horizontal="left" vertical="center" textRotation="0" wrapText="true" indent="0" shrinkToFit="false"/>
      <protection locked="true" hidden="false"/>
    </xf>
    <xf numFmtId="164" fontId="6" fillId="16" borderId="2" xfId="0" applyFont="true" applyBorder="true" applyAlignment="true" applyProtection="false">
      <alignment horizontal="left" vertical="center" textRotation="0" wrapText="true" indent="0" shrinkToFit="false"/>
      <protection locked="true" hidden="false"/>
    </xf>
    <xf numFmtId="164" fontId="5" fillId="9" borderId="2" xfId="0" applyFont="true" applyBorder="true" applyAlignment="true" applyProtection="false">
      <alignment horizontal="left" vertical="center" textRotation="0" wrapText="true" indent="0" shrinkToFit="false"/>
      <protection locked="true" hidden="false"/>
    </xf>
    <xf numFmtId="166" fontId="6" fillId="16" borderId="2" xfId="0" applyFont="true" applyBorder="true" applyAlignment="true" applyProtection="false">
      <alignment horizontal="right" vertical="center" textRotation="0" wrapText="true" indent="0" shrinkToFit="false"/>
      <protection locked="true" hidden="false"/>
    </xf>
    <xf numFmtId="166" fontId="5" fillId="11" borderId="2" xfId="0" applyFont="true" applyBorder="true" applyAlignment="true" applyProtection="false">
      <alignment horizontal="right" vertical="center" textRotation="0" wrapText="true" indent="0" shrinkToFit="false"/>
      <protection locked="true" hidden="false"/>
    </xf>
    <xf numFmtId="168" fontId="6" fillId="16" borderId="2" xfId="0" applyFont="true" applyBorder="true" applyAlignment="true" applyProtection="false">
      <alignment horizontal="right" vertical="center" textRotation="0" wrapText="true" indent="0" shrinkToFit="false"/>
      <protection locked="true" hidden="false"/>
    </xf>
    <xf numFmtId="169" fontId="6" fillId="16" borderId="2" xfId="0" applyFont="true" applyBorder="true" applyAlignment="true" applyProtection="false">
      <alignment horizontal="right" vertical="center" textRotation="0" wrapText="true" indent="0" shrinkToFit="false"/>
      <protection locked="true" hidden="false"/>
    </xf>
    <xf numFmtId="165" fontId="6" fillId="16" borderId="2" xfId="0" applyFont="true" applyBorder="true" applyAlignment="true" applyProtection="false">
      <alignment horizontal="right" vertical="center" textRotation="0" wrapText="true" indent="0" shrinkToFit="false"/>
      <protection locked="true" hidden="false"/>
    </xf>
    <xf numFmtId="170" fontId="12" fillId="17" borderId="2" xfId="0" applyFont="true" applyBorder="true" applyAlignment="true" applyProtection="false">
      <alignment horizontal="right" vertical="center" textRotation="0" wrapText="true" indent="0" shrinkToFit="false"/>
      <protection locked="true" hidden="false"/>
    </xf>
    <xf numFmtId="164" fontId="5" fillId="18" borderId="2" xfId="0" applyFont="true" applyBorder="true" applyAlignment="true" applyProtection="false">
      <alignment horizontal="left" vertical="center" textRotation="0" wrapText="true" indent="0" shrinkToFit="false"/>
      <protection locked="true" hidden="false"/>
    </xf>
    <xf numFmtId="168" fontId="6" fillId="5" borderId="2" xfId="0" applyFont="true" applyBorder="true" applyAlignment="true" applyProtection="false">
      <alignment horizontal="right" vertical="center" textRotation="0" wrapText="true" indent="0" shrinkToFit="false"/>
      <protection locked="true" hidden="false"/>
    </xf>
    <xf numFmtId="169" fontId="6" fillId="5" borderId="2" xfId="0" applyFont="true" applyBorder="true" applyAlignment="true" applyProtection="false">
      <alignment horizontal="right" vertical="center" textRotation="0" wrapText="true" indent="0" shrinkToFit="false"/>
      <protection locked="true" hidden="false"/>
    </xf>
    <xf numFmtId="164" fontId="5" fillId="11" borderId="2" xfId="0" applyFont="true" applyBorder="true" applyAlignment="true" applyProtection="false">
      <alignment horizontal="left" vertical="center" textRotation="0" wrapText="true" indent="0" shrinkToFit="false"/>
      <protection locked="true" hidden="false"/>
    </xf>
    <xf numFmtId="164" fontId="5" fillId="19" borderId="2" xfId="0" applyFont="true" applyBorder="true" applyAlignment="true" applyProtection="false">
      <alignment horizontal="left" vertical="center" textRotation="0" wrapText="true" indent="0" shrinkToFit="false"/>
      <protection locked="true" hidden="false"/>
    </xf>
    <xf numFmtId="164" fontId="6" fillId="20" borderId="2" xfId="0" applyFont="true" applyBorder="true" applyAlignment="true" applyProtection="false">
      <alignment horizontal="left" vertical="center" textRotation="0" wrapText="true" indent="0" shrinkToFit="false"/>
      <protection locked="true" hidden="false"/>
    </xf>
    <xf numFmtId="164" fontId="11" fillId="21" borderId="2" xfId="0" applyFont="true" applyBorder="true" applyAlignment="true" applyProtection="false">
      <alignment horizontal="left" vertical="center" textRotation="0" wrapText="true" indent="0" shrinkToFit="false"/>
      <protection locked="true" hidden="false"/>
    </xf>
    <xf numFmtId="164" fontId="13" fillId="20" borderId="2" xfId="0" applyFont="true" applyBorder="true" applyAlignment="true" applyProtection="false">
      <alignment horizontal="left" vertical="center" textRotation="0" wrapText="true" indent="0" shrinkToFit="false"/>
      <protection locked="true" hidden="false"/>
    </xf>
    <xf numFmtId="166" fontId="6" fillId="20" borderId="2" xfId="0" applyFont="true" applyBorder="true" applyAlignment="true" applyProtection="false">
      <alignment horizontal="right" vertical="center" textRotation="0" wrapText="true" indent="0" shrinkToFit="false"/>
      <protection locked="true" hidden="false"/>
    </xf>
    <xf numFmtId="166" fontId="5" fillId="13" borderId="2" xfId="0" applyFont="true" applyBorder="true" applyAlignment="true" applyProtection="false">
      <alignment horizontal="right" vertical="center" textRotation="0" wrapText="true" indent="0" shrinkToFit="false"/>
      <protection locked="true" hidden="false"/>
    </xf>
    <xf numFmtId="168" fontId="6" fillId="20" borderId="2" xfId="0" applyFont="true" applyBorder="true" applyAlignment="true" applyProtection="false">
      <alignment horizontal="right" vertical="center" textRotation="0" wrapText="true" indent="0" shrinkToFit="false"/>
      <protection locked="true" hidden="false"/>
    </xf>
    <xf numFmtId="169" fontId="6" fillId="20" borderId="2" xfId="0" applyFont="true" applyBorder="true" applyAlignment="true" applyProtection="false">
      <alignment horizontal="right" vertical="center" textRotation="0" wrapText="true" indent="0" shrinkToFit="false"/>
      <protection locked="true" hidden="false"/>
    </xf>
    <xf numFmtId="165" fontId="6" fillId="20" borderId="2" xfId="0" applyFont="true" applyBorder="true" applyAlignment="true" applyProtection="false">
      <alignment horizontal="right" vertical="center" textRotation="0" wrapText="true" indent="0" shrinkToFit="false"/>
      <protection locked="true" hidden="false"/>
    </xf>
    <xf numFmtId="164" fontId="5" fillId="2" borderId="2" xfId="0" applyFont="true" applyBorder="true" applyAlignment="true" applyProtection="false">
      <alignment horizontal="left" vertical="center" textRotation="0" wrapText="true" indent="0" shrinkToFit="false"/>
      <protection locked="true" hidden="false"/>
    </xf>
    <xf numFmtId="164" fontId="14" fillId="4" borderId="2" xfId="0" applyFont="true" applyBorder="true" applyAlignment="true" applyProtection="false">
      <alignment horizontal="left" vertical="center" textRotation="0" wrapText="true" indent="0" shrinkToFit="false"/>
      <protection locked="true" hidden="false"/>
    </xf>
    <xf numFmtId="168" fontId="6" fillId="4" borderId="2" xfId="0" applyFont="true" applyBorder="true" applyAlignment="true" applyProtection="false">
      <alignment horizontal="right" vertical="center" textRotation="0" wrapText="true" indent="0" shrinkToFit="false"/>
      <protection locked="true" hidden="false"/>
    </xf>
    <xf numFmtId="169" fontId="6" fillId="4" borderId="2" xfId="0" applyFont="true" applyBorder="true" applyAlignment="true" applyProtection="false">
      <alignment horizontal="right" vertical="center" textRotation="0" wrapText="true" indent="0" shrinkToFit="false"/>
      <protection locked="true" hidden="false"/>
    </xf>
    <xf numFmtId="164" fontId="5" fillId="22" borderId="2" xfId="0" applyFont="true" applyBorder="true" applyAlignment="true" applyProtection="false">
      <alignment horizontal="left" vertical="center" textRotation="0" wrapText="true" indent="0" shrinkToFit="false"/>
      <protection locked="true" hidden="false"/>
    </xf>
    <xf numFmtId="164" fontId="5" fillId="15" borderId="2" xfId="0" applyFont="true" applyBorder="true" applyAlignment="true" applyProtection="false">
      <alignment horizontal="left" vertical="center" textRotation="0" wrapText="true" indent="0" shrinkToFit="false"/>
      <protection locked="true" hidden="false"/>
    </xf>
    <xf numFmtId="164" fontId="11" fillId="12" borderId="2" xfId="0" applyFont="true" applyBorder="true" applyAlignment="true" applyProtection="false">
      <alignment horizontal="left" vertical="center" textRotation="0" wrapText="true" indent="0" shrinkToFit="false"/>
      <protection locked="true" hidden="false"/>
    </xf>
    <xf numFmtId="164" fontId="5" fillId="23" borderId="2" xfId="0" applyFont="true" applyBorder="true" applyAlignment="true" applyProtection="false">
      <alignment horizontal="left" vertical="center" textRotation="0" wrapText="true" indent="0" shrinkToFit="false"/>
      <protection locked="true" hidden="false"/>
    </xf>
    <xf numFmtId="164" fontId="5" fillId="13" borderId="2" xfId="0" applyFont="true" applyBorder="true" applyAlignment="true" applyProtection="false">
      <alignment horizontal="left" vertical="center" textRotation="0" wrapText="true" indent="0" shrinkToFit="false"/>
      <protection locked="true" hidden="false"/>
    </xf>
    <xf numFmtId="164" fontId="11" fillId="7" borderId="2" xfId="0" applyFont="true" applyBorder="true" applyAlignment="true" applyProtection="false">
      <alignment horizontal="left" vertical="center" textRotation="0" wrapText="true" indent="0" shrinkToFit="false"/>
      <protection locked="true" hidden="false"/>
    </xf>
    <xf numFmtId="164" fontId="11" fillId="14" borderId="2" xfId="0" applyFont="true" applyBorder="true" applyAlignment="true" applyProtection="false">
      <alignment horizontal="left" vertical="center" textRotation="0" wrapText="tru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6" fontId="15" fillId="8" borderId="2" xfId="0" applyFont="true" applyBorder="true" applyAlignment="true" applyProtection="false">
      <alignment horizontal="right" vertical="center" textRotation="0" wrapText="true" indent="0" shrinkToFit="false"/>
      <protection locked="true" hidden="false"/>
    </xf>
    <xf numFmtId="168" fontId="15" fillId="8" borderId="2" xfId="0" applyFont="true" applyBorder="true" applyAlignment="true" applyProtection="false">
      <alignment horizontal="right" vertical="center" textRotation="0" wrapText="true" indent="0" shrinkToFit="false"/>
      <protection locked="true" hidden="false"/>
    </xf>
    <xf numFmtId="169" fontId="15" fillId="8" borderId="2" xfId="0" applyFont="true" applyBorder="true" applyAlignment="true" applyProtection="false">
      <alignment horizontal="right" vertical="center" textRotation="0" wrapText="true" indent="0" shrinkToFit="false"/>
      <protection locked="true" hidden="false"/>
    </xf>
    <xf numFmtId="167" fontId="15" fillId="8" borderId="2" xfId="0" applyFont="true" applyBorder="true" applyAlignment="true" applyProtection="false">
      <alignment horizontal="right" vertical="center" textRotation="0" wrapText="true" indent="0" shrinkToFit="false"/>
      <protection locked="true" hidden="false"/>
    </xf>
    <xf numFmtId="164" fontId="4" fillId="22" borderId="1" xfId="0" applyFont="true" applyBorder="true" applyAlignment="true" applyProtection="false">
      <alignment horizontal="center" vertical="center" textRotation="0" wrapText="true" indent="0" shrinkToFit="false"/>
      <protection locked="true" hidden="false"/>
    </xf>
    <xf numFmtId="164" fontId="5" fillId="22" borderId="2" xfId="0" applyFont="true" applyBorder="true" applyAlignment="true" applyProtection="false">
      <alignment horizontal="center" vertical="center" textRotation="0" wrapText="true" indent="0" shrinkToFit="false"/>
      <protection locked="true" hidden="false"/>
    </xf>
    <xf numFmtId="164" fontId="6" fillId="24" borderId="2" xfId="0" applyFont="true" applyBorder="true" applyAlignment="true" applyProtection="false">
      <alignment horizontal="right" vertical="center" textRotation="0" wrapText="true" indent="0" shrinkToFit="false"/>
      <protection locked="true" hidden="false"/>
    </xf>
    <xf numFmtId="166" fontId="6" fillId="24" borderId="2" xfId="0" applyFont="true" applyBorder="true" applyAlignment="true" applyProtection="false">
      <alignment horizontal="right" vertical="center" textRotation="0" wrapText="true" indent="0" shrinkToFit="false"/>
      <protection locked="true" hidden="false"/>
    </xf>
    <xf numFmtId="168" fontId="6" fillId="24" borderId="2" xfId="0" applyFont="true" applyBorder="true" applyAlignment="true" applyProtection="false">
      <alignment horizontal="right" vertical="center" textRotation="0" wrapText="true" indent="0" shrinkToFit="false"/>
      <protection locked="true" hidden="false"/>
    </xf>
    <xf numFmtId="167" fontId="16" fillId="17" borderId="2" xfId="0" applyFont="true" applyBorder="true" applyAlignment="true" applyProtection="false">
      <alignment horizontal="right" vertical="center" textRotation="0" wrapText="true" indent="0" shrinkToFit="false"/>
      <protection locked="true" hidden="false"/>
    </xf>
    <xf numFmtId="166" fontId="6" fillId="14" borderId="2" xfId="0" applyFont="true" applyBorder="true" applyAlignment="true" applyProtection="false">
      <alignment horizontal="right" vertical="center" textRotation="0" wrapText="true" indent="0" shrinkToFit="false"/>
      <protection locked="true" hidden="false"/>
    </xf>
    <xf numFmtId="166" fontId="6" fillId="10" borderId="2" xfId="0" applyFont="true" applyBorder="true" applyAlignment="true" applyProtection="false">
      <alignment horizontal="right" vertical="center" textRotation="0" wrapText="true" indent="0" shrinkToFit="false"/>
      <protection locked="true" hidden="false"/>
    </xf>
    <xf numFmtId="164" fontId="6" fillId="4" borderId="2" xfId="0" applyFont="true" applyBorder="true" applyAlignment="true" applyProtection="false">
      <alignment horizontal="right" vertical="center" textRotation="0" wrapText="true" indent="0" shrinkToFit="false"/>
      <protection locked="true" hidden="false"/>
    </xf>
    <xf numFmtId="167" fontId="11" fillId="10" borderId="2" xfId="0" applyFont="true" applyBorder="true" applyAlignment="true" applyProtection="false">
      <alignment horizontal="right" vertical="center" textRotation="0" wrapText="true" indent="0" shrinkToFit="false"/>
      <protection locked="true" hidden="false"/>
    </xf>
    <xf numFmtId="167" fontId="11" fillId="12" borderId="2" xfId="0" applyFont="true" applyBorder="true" applyAlignment="true" applyProtection="false">
      <alignment horizontal="right" vertical="center" textRotation="0" wrapText="true" indent="0" shrinkToFit="false"/>
      <protection locked="true" hidden="false"/>
    </xf>
    <xf numFmtId="167" fontId="11" fillId="7" borderId="2" xfId="0" applyFont="true" applyBorder="true" applyAlignment="true" applyProtection="false">
      <alignment horizontal="right" vertical="center" textRotation="0" wrapText="true" indent="0" shrinkToFit="false"/>
      <protection locked="true" hidden="false"/>
    </xf>
    <xf numFmtId="167" fontId="11" fillId="14" borderId="2" xfId="0" applyFont="true" applyBorder="true" applyAlignment="true" applyProtection="false">
      <alignment horizontal="righ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7" fillId="12" borderId="2" xfId="0" applyFont="true" applyBorder="true" applyAlignment="true" applyProtection="false">
      <alignment horizontal="left" vertical="center" textRotation="0" wrapText="true" indent="0" shrinkToFit="false"/>
      <protection locked="true" hidden="false"/>
    </xf>
    <xf numFmtId="164" fontId="18" fillId="12" borderId="2" xfId="0" applyFont="true" applyBorder="true" applyAlignment="true" applyProtection="false">
      <alignment horizontal="left" vertical="center" textRotation="0" wrapText="true" indent="0" shrinkToFit="false"/>
      <protection locked="true" hidden="false"/>
    </xf>
    <xf numFmtId="164" fontId="19" fillId="6" borderId="2" xfId="0" applyFont="true" applyBorder="true" applyAlignment="true" applyProtection="false">
      <alignment horizontal="left" vertical="center" textRotation="0" wrapText="true" indent="0" shrinkToFit="false"/>
      <protection locked="true" hidden="false"/>
    </xf>
    <xf numFmtId="164" fontId="18" fillId="6" borderId="2"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18" fillId="7"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DE7"/>
      <rgbColor rgb="FFFF00FF"/>
      <rgbColor rgb="FF00FFFF"/>
      <rgbColor rgb="FF8B0000"/>
      <rgbColor rgb="FF008000"/>
      <rgbColor rgb="FF000080"/>
      <rgbColor rgb="FF7F6000"/>
      <rgbColor rgb="FF800080"/>
      <rgbColor rgb="FF008080"/>
      <rgbColor rgb="FFBFBFBF"/>
      <rgbColor rgb="FF7F7F7F"/>
      <rgbColor rgb="FF9999FF"/>
      <rgbColor rgb="FF993366"/>
      <rgbColor rgb="FFFFF8DC"/>
      <rgbColor rgb="FFEBF3FB"/>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D6E4F0"/>
      <rgbColor rgb="FFE2EFDA"/>
      <rgbColor rgb="FFFFF2CC"/>
      <rgbColor rgb="FFF2F2F2"/>
      <rgbColor rgb="FFFFE0E0"/>
      <rgbColor rgb="FFFCE4D6"/>
      <rgbColor rgb="FFFFD7D7"/>
      <rgbColor rgb="FF2E75B6"/>
      <rgbColor rgb="FF33CCCC"/>
      <rgbColor rgb="FF99CC00"/>
      <rgbColor rgb="FFFFCC00"/>
      <rgbColor rgb="FFDAA520"/>
      <rgbColor rgb="FFED7D31"/>
      <rgbColor rgb="FF595959"/>
      <rgbColor rgb="FFB8860B"/>
      <rgbColor rgb="FF1F3864"/>
      <rgbColor rgb="FF339966"/>
      <rgbColor rgb="FF003300"/>
      <rgbColor rgb="FF375623"/>
      <rgbColor rgb="FFC55A11"/>
      <rgbColor rgb="FF993366"/>
      <rgbColor rgb="FF333399"/>
      <rgbColor rgb="FF5D40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L17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20"/>
    <col collapsed="false" customWidth="true" hidden="false" outlineLevel="0" max="8" min="8" style="0" width="18"/>
    <col collapsed="false" customWidth="true" hidden="false" outlineLevel="0" max="9" min="9" style="0" width="16"/>
    <col collapsed="false" customWidth="true" hidden="false" outlineLevel="0" max="10" min="10" style="0" width="18"/>
    <col collapsed="false" customWidth="true" hidden="false" outlineLevel="0" max="11" min="11" style="0" width="34"/>
    <col collapsed="false" customWidth="true" hidden="false" outlineLevel="0" max="12" min="12" style="0" width="55"/>
  </cols>
  <sheetData>
    <row r="1" customFormat="false" ht="27.75" hidden="false" customHeight="true" outlineLevel="0" collapsed="false">
      <c r="A1" s="1" t="s">
        <v>0</v>
      </c>
      <c r="B1" s="1"/>
      <c r="C1" s="1"/>
      <c r="D1" s="1"/>
      <c r="E1" s="1"/>
      <c r="F1" s="1"/>
      <c r="G1" s="1"/>
      <c r="H1" s="1"/>
      <c r="I1" s="1"/>
      <c r="J1" s="1"/>
      <c r="K1" s="1"/>
      <c r="L1" s="1"/>
    </row>
    <row r="2" customFormat="false" ht="25.5" hidden="false" customHeight="true" outlineLevel="0" collapsed="false">
      <c r="A2" s="2" t="s">
        <v>1</v>
      </c>
      <c r="B2" s="2" t="s">
        <v>2</v>
      </c>
      <c r="C2" s="2" t="s">
        <v>3</v>
      </c>
      <c r="D2" s="2" t="s">
        <v>4</v>
      </c>
      <c r="E2" s="2" t="s">
        <v>5</v>
      </c>
      <c r="F2" s="2" t="s">
        <v>6</v>
      </c>
      <c r="G2" s="2" t="s">
        <v>7</v>
      </c>
      <c r="H2" s="2" t="s">
        <v>8</v>
      </c>
      <c r="I2" s="2" t="s">
        <v>9</v>
      </c>
      <c r="J2" s="2" t="s">
        <v>10</v>
      </c>
      <c r="K2" s="3" t="s">
        <v>11</v>
      </c>
      <c r="L2" s="2" t="s">
        <v>12</v>
      </c>
    </row>
    <row r="3" customFormat="false" ht="22.35" hidden="false" customHeight="false" outlineLevel="0" collapsed="false">
      <c r="A3" s="4" t="s">
        <v>13</v>
      </c>
      <c r="B3" s="4" t="s">
        <v>14</v>
      </c>
      <c r="C3" s="4" t="s">
        <v>15</v>
      </c>
      <c r="D3" s="4" t="s">
        <v>16</v>
      </c>
      <c r="E3" s="4" t="s">
        <v>17</v>
      </c>
      <c r="F3" s="5" t="n">
        <v>1.455</v>
      </c>
      <c r="G3" s="6" t="n">
        <v>0</v>
      </c>
      <c r="H3" s="6" t="n">
        <v>0</v>
      </c>
      <c r="I3" s="6" t="n">
        <v>0</v>
      </c>
      <c r="J3" s="4" t="s">
        <v>18</v>
      </c>
      <c r="K3" s="4" t="s">
        <v>19</v>
      </c>
      <c r="L3" s="4" t="s">
        <v>20</v>
      </c>
    </row>
    <row r="4" customFormat="false" ht="22.35" hidden="false" customHeight="false" outlineLevel="0" collapsed="false">
      <c r="A4" s="7" t="s">
        <v>21</v>
      </c>
      <c r="B4" s="7" t="s">
        <v>14</v>
      </c>
      <c r="C4" s="7" t="s">
        <v>15</v>
      </c>
      <c r="D4" s="7" t="s">
        <v>16</v>
      </c>
      <c r="E4" s="7" t="s">
        <v>22</v>
      </c>
      <c r="F4" s="8" t="n">
        <v>0</v>
      </c>
      <c r="G4" s="9" t="n">
        <v>0</v>
      </c>
      <c r="H4" s="9" t="n">
        <v>0</v>
      </c>
      <c r="I4" s="9" t="n">
        <v>0</v>
      </c>
      <c r="J4" s="7" t="s">
        <v>18</v>
      </c>
      <c r="K4" s="7" t="s">
        <v>19</v>
      </c>
      <c r="L4" s="7" t="s">
        <v>20</v>
      </c>
    </row>
    <row r="5" customFormat="false" ht="22.35" hidden="false" customHeight="false" outlineLevel="0" collapsed="false">
      <c r="A5" s="4" t="s">
        <v>23</v>
      </c>
      <c r="B5" s="4" t="s">
        <v>14</v>
      </c>
      <c r="C5" s="4" t="s">
        <v>15</v>
      </c>
      <c r="D5" s="4" t="s">
        <v>16</v>
      </c>
      <c r="E5" s="4" t="s">
        <v>17</v>
      </c>
      <c r="F5" s="5" t="n">
        <v>1.436</v>
      </c>
      <c r="G5" s="6" t="n">
        <v>0</v>
      </c>
      <c r="H5" s="6" t="n">
        <v>0</v>
      </c>
      <c r="I5" s="6" t="n">
        <v>0</v>
      </c>
      <c r="J5" s="4" t="s">
        <v>18</v>
      </c>
      <c r="K5" s="4" t="s">
        <v>19</v>
      </c>
      <c r="L5" s="4" t="s">
        <v>20</v>
      </c>
    </row>
    <row r="6" customFormat="false" ht="22.35" hidden="false" customHeight="false" outlineLevel="0" collapsed="false">
      <c r="A6" s="7" t="s">
        <v>24</v>
      </c>
      <c r="B6" s="7" t="s">
        <v>14</v>
      </c>
      <c r="C6" s="7" t="s">
        <v>15</v>
      </c>
      <c r="D6" s="7" t="s">
        <v>16</v>
      </c>
      <c r="E6" s="7" t="s">
        <v>17</v>
      </c>
      <c r="F6" s="8" t="n">
        <v>1.426</v>
      </c>
      <c r="G6" s="9" t="n">
        <v>0</v>
      </c>
      <c r="H6" s="9" t="n">
        <v>0</v>
      </c>
      <c r="I6" s="9" t="n">
        <v>0</v>
      </c>
      <c r="J6" s="7" t="s">
        <v>18</v>
      </c>
      <c r="K6" s="7" t="s">
        <v>19</v>
      </c>
      <c r="L6" s="7" t="s">
        <v>20</v>
      </c>
    </row>
    <row r="7" customFormat="false" ht="22.35" hidden="false" customHeight="false" outlineLevel="0" collapsed="false">
      <c r="A7" s="4" t="s">
        <v>25</v>
      </c>
      <c r="B7" s="4" t="s">
        <v>14</v>
      </c>
      <c r="C7" s="4" t="s">
        <v>15</v>
      </c>
      <c r="D7" s="4" t="s">
        <v>16</v>
      </c>
      <c r="E7" s="4" t="s">
        <v>17</v>
      </c>
      <c r="F7" s="5" t="n">
        <v>3.1185</v>
      </c>
      <c r="G7" s="6" t="n">
        <v>0</v>
      </c>
      <c r="H7" s="6" t="n">
        <v>0</v>
      </c>
      <c r="I7" s="6" t="n">
        <v>0</v>
      </c>
      <c r="J7" s="4" t="s">
        <v>18</v>
      </c>
      <c r="K7" s="4" t="s">
        <v>19</v>
      </c>
      <c r="L7" s="4" t="s">
        <v>20</v>
      </c>
    </row>
    <row r="8" customFormat="false" ht="22.35" hidden="false" customHeight="false" outlineLevel="0" collapsed="false">
      <c r="A8" s="7" t="s">
        <v>26</v>
      </c>
      <c r="B8" s="7" t="s">
        <v>14</v>
      </c>
      <c r="C8" s="7" t="s">
        <v>15</v>
      </c>
      <c r="D8" s="7" t="s">
        <v>16</v>
      </c>
      <c r="E8" s="7" t="s">
        <v>27</v>
      </c>
      <c r="F8" s="8" t="n">
        <v>2.4802</v>
      </c>
      <c r="G8" s="9" t="n">
        <v>0</v>
      </c>
      <c r="H8" s="9" t="n">
        <v>0</v>
      </c>
      <c r="I8" s="9" t="n">
        <v>0</v>
      </c>
      <c r="J8" s="7" t="s">
        <v>18</v>
      </c>
      <c r="K8" s="7" t="s">
        <v>19</v>
      </c>
      <c r="L8" s="7" t="s">
        <v>20</v>
      </c>
    </row>
    <row r="9" customFormat="false" ht="22.35" hidden="false" customHeight="false" outlineLevel="0" collapsed="false">
      <c r="A9" s="4" t="s">
        <v>28</v>
      </c>
      <c r="B9" s="4" t="s">
        <v>14</v>
      </c>
      <c r="C9" s="4" t="s">
        <v>15</v>
      </c>
      <c r="D9" s="4" t="s">
        <v>16</v>
      </c>
      <c r="E9" s="4" t="s">
        <v>17</v>
      </c>
      <c r="F9" s="5" t="n">
        <v>2.5486</v>
      </c>
      <c r="G9" s="6" t="n">
        <v>0</v>
      </c>
      <c r="H9" s="6" t="n">
        <v>0</v>
      </c>
      <c r="I9" s="6" t="n">
        <v>0</v>
      </c>
      <c r="J9" s="4" t="s">
        <v>18</v>
      </c>
      <c r="K9" s="4" t="s">
        <v>19</v>
      </c>
      <c r="L9" s="4" t="s">
        <v>20</v>
      </c>
    </row>
    <row r="10" customFormat="false" ht="22.35" hidden="false" customHeight="false" outlineLevel="0" collapsed="false">
      <c r="A10" s="7" t="s">
        <v>29</v>
      </c>
      <c r="B10" s="7" t="s">
        <v>14</v>
      </c>
      <c r="C10" s="7" t="s">
        <v>15</v>
      </c>
      <c r="D10" s="7" t="s">
        <v>16</v>
      </c>
      <c r="E10" s="7" t="s">
        <v>27</v>
      </c>
      <c r="F10" s="8" t="n">
        <v>2.676</v>
      </c>
      <c r="G10" s="9" t="n">
        <v>0</v>
      </c>
      <c r="H10" s="9" t="n">
        <v>0</v>
      </c>
      <c r="I10" s="9" t="n">
        <v>0</v>
      </c>
      <c r="J10" s="7" t="s">
        <v>18</v>
      </c>
      <c r="K10" s="7" t="s">
        <v>19</v>
      </c>
      <c r="L10" s="7" t="s">
        <v>20</v>
      </c>
    </row>
    <row r="11" customFormat="false" ht="22.35" hidden="false" customHeight="false" outlineLevel="0" collapsed="false">
      <c r="A11" s="4" t="s">
        <v>30</v>
      </c>
      <c r="B11" s="4" t="s">
        <v>14</v>
      </c>
      <c r="C11" s="4" t="s">
        <v>15</v>
      </c>
      <c r="D11" s="4" t="s">
        <v>16</v>
      </c>
      <c r="E11" s="4" t="s">
        <v>27</v>
      </c>
      <c r="F11" s="5" t="n">
        <v>2.7419</v>
      </c>
      <c r="G11" s="6" t="n">
        <v>0</v>
      </c>
      <c r="H11" s="6" t="n">
        <v>0</v>
      </c>
      <c r="I11" s="6" t="n">
        <v>0</v>
      </c>
      <c r="J11" s="4" t="s">
        <v>18</v>
      </c>
      <c r="K11" s="4" t="s">
        <v>19</v>
      </c>
      <c r="L11" s="4" t="s">
        <v>20</v>
      </c>
    </row>
    <row r="12" customFormat="false" ht="22.35" hidden="false" customHeight="false" outlineLevel="0" collapsed="false">
      <c r="A12" s="7" t="s">
        <v>31</v>
      </c>
      <c r="B12" s="7" t="s">
        <v>14</v>
      </c>
      <c r="C12" s="7" t="s">
        <v>15</v>
      </c>
      <c r="D12" s="7" t="s">
        <v>16</v>
      </c>
      <c r="E12" s="7" t="s">
        <v>17</v>
      </c>
      <c r="F12" s="8" t="n">
        <v>0.71</v>
      </c>
      <c r="G12" s="9" t="n">
        <v>0</v>
      </c>
      <c r="H12" s="9" t="n">
        <v>0</v>
      </c>
      <c r="I12" s="9" t="n">
        <v>0</v>
      </c>
      <c r="J12" s="7" t="s">
        <v>18</v>
      </c>
      <c r="K12" s="7" t="s">
        <v>19</v>
      </c>
      <c r="L12" s="7" t="s">
        <v>20</v>
      </c>
    </row>
    <row r="13" customFormat="false" ht="22.35" hidden="false" customHeight="false" outlineLevel="0" collapsed="false">
      <c r="A13" s="4" t="s">
        <v>32</v>
      </c>
      <c r="B13" s="4" t="s">
        <v>14</v>
      </c>
      <c r="C13" s="4" t="s">
        <v>15</v>
      </c>
      <c r="D13" s="4" t="s">
        <v>16</v>
      </c>
      <c r="E13" s="4" t="s">
        <v>17</v>
      </c>
      <c r="F13" s="5" t="n">
        <v>7.6035</v>
      </c>
      <c r="G13" s="6" t="n">
        <v>0</v>
      </c>
      <c r="H13" s="6" t="n">
        <v>0</v>
      </c>
      <c r="I13" s="6" t="n">
        <v>0</v>
      </c>
      <c r="J13" s="4" t="s">
        <v>18</v>
      </c>
      <c r="K13" s="4" t="s">
        <v>19</v>
      </c>
      <c r="L13" s="4" t="s">
        <v>20</v>
      </c>
    </row>
    <row r="14" customFormat="false" ht="22.35" hidden="false" customHeight="false" outlineLevel="0" collapsed="false">
      <c r="A14" s="7" t="s">
        <v>33</v>
      </c>
      <c r="B14" s="7" t="s">
        <v>14</v>
      </c>
      <c r="C14" s="7" t="s">
        <v>15</v>
      </c>
      <c r="D14" s="7" t="s">
        <v>16</v>
      </c>
      <c r="E14" s="7" t="s">
        <v>17</v>
      </c>
      <c r="F14" s="8" t="n">
        <v>0.63</v>
      </c>
      <c r="G14" s="9" t="n">
        <v>0</v>
      </c>
      <c r="H14" s="9" t="n">
        <v>0</v>
      </c>
      <c r="I14" s="9" t="n">
        <v>0</v>
      </c>
      <c r="J14" s="7" t="s">
        <v>18</v>
      </c>
      <c r="K14" s="7" t="s">
        <v>19</v>
      </c>
      <c r="L14" s="7" t="s">
        <v>20</v>
      </c>
    </row>
    <row r="15" customFormat="false" ht="22.35" hidden="false" customHeight="false" outlineLevel="0" collapsed="false">
      <c r="A15" s="4" t="s">
        <v>34</v>
      </c>
      <c r="B15" s="4" t="s">
        <v>14</v>
      </c>
      <c r="C15" s="4" t="s">
        <v>15</v>
      </c>
      <c r="D15" s="4" t="s">
        <v>16</v>
      </c>
      <c r="E15" s="4" t="s">
        <v>27</v>
      </c>
      <c r="F15" s="5" t="n">
        <v>4.5363</v>
      </c>
      <c r="G15" s="6" t="n">
        <v>0</v>
      </c>
      <c r="H15" s="6" t="n">
        <v>0</v>
      </c>
      <c r="I15" s="6" t="n">
        <v>0</v>
      </c>
      <c r="J15" s="4" t="s">
        <v>18</v>
      </c>
      <c r="K15" s="4" t="s">
        <v>19</v>
      </c>
      <c r="L15" s="4" t="s">
        <v>20</v>
      </c>
    </row>
    <row r="16" customFormat="false" ht="22.35" hidden="false" customHeight="false" outlineLevel="0" collapsed="false">
      <c r="A16" s="7" t="s">
        <v>35</v>
      </c>
      <c r="B16" s="7" t="s">
        <v>14</v>
      </c>
      <c r="C16" s="7" t="s">
        <v>15</v>
      </c>
      <c r="D16" s="7" t="s">
        <v>16</v>
      </c>
      <c r="E16" s="7" t="s">
        <v>27</v>
      </c>
      <c r="F16" s="8" t="n">
        <v>4.3364</v>
      </c>
      <c r="G16" s="9" t="n">
        <v>0</v>
      </c>
      <c r="H16" s="9" t="n">
        <v>0</v>
      </c>
      <c r="I16" s="9" t="n">
        <v>0</v>
      </c>
      <c r="J16" s="7" t="s">
        <v>18</v>
      </c>
      <c r="K16" s="7" t="s">
        <v>19</v>
      </c>
      <c r="L16" s="7" t="s">
        <v>20</v>
      </c>
    </row>
    <row r="17" customFormat="false" ht="22.35" hidden="false" customHeight="false" outlineLevel="0" collapsed="false">
      <c r="A17" s="4" t="s">
        <v>36</v>
      </c>
      <c r="B17" s="4" t="s">
        <v>14</v>
      </c>
      <c r="C17" s="4" t="s">
        <v>15</v>
      </c>
      <c r="D17" s="4" t="s">
        <v>16</v>
      </c>
      <c r="E17" s="4" t="s">
        <v>27</v>
      </c>
      <c r="F17" s="5" t="n">
        <v>4.3543</v>
      </c>
      <c r="G17" s="6" t="n">
        <v>0</v>
      </c>
      <c r="H17" s="6" t="n">
        <v>0</v>
      </c>
      <c r="I17" s="6" t="n">
        <v>0</v>
      </c>
      <c r="J17" s="4" t="s">
        <v>18</v>
      </c>
      <c r="K17" s="4" t="s">
        <v>19</v>
      </c>
      <c r="L17" s="4" t="s">
        <v>20</v>
      </c>
    </row>
    <row r="18" customFormat="false" ht="22.35" hidden="false" customHeight="false" outlineLevel="0" collapsed="false">
      <c r="A18" s="7" t="s">
        <v>37</v>
      </c>
      <c r="B18" s="7" t="s">
        <v>14</v>
      </c>
      <c r="C18" s="7" t="s">
        <v>15</v>
      </c>
      <c r="D18" s="7" t="s">
        <v>16</v>
      </c>
      <c r="E18" s="7" t="s">
        <v>27</v>
      </c>
      <c r="F18" s="8" t="n">
        <v>2.1145</v>
      </c>
      <c r="G18" s="9" t="n">
        <v>0</v>
      </c>
      <c r="H18" s="9" t="n">
        <v>0</v>
      </c>
      <c r="I18" s="9" t="n">
        <v>0</v>
      </c>
      <c r="J18" s="7" t="s">
        <v>18</v>
      </c>
      <c r="K18" s="7" t="s">
        <v>19</v>
      </c>
      <c r="L18" s="7" t="s">
        <v>20</v>
      </c>
    </row>
    <row r="19" customFormat="false" ht="22.35" hidden="false" customHeight="false" outlineLevel="0" collapsed="false">
      <c r="A19" s="4" t="s">
        <v>38</v>
      </c>
      <c r="B19" s="4" t="s">
        <v>14</v>
      </c>
      <c r="C19" s="4" t="s">
        <v>15</v>
      </c>
      <c r="D19" s="4" t="s">
        <v>16</v>
      </c>
      <c r="E19" s="4" t="s">
        <v>27</v>
      </c>
      <c r="F19" s="5" t="n">
        <v>5.2284</v>
      </c>
      <c r="G19" s="6" t="n">
        <v>0</v>
      </c>
      <c r="H19" s="6" t="n">
        <v>0</v>
      </c>
      <c r="I19" s="6" t="n">
        <v>0</v>
      </c>
      <c r="J19" s="4" t="s">
        <v>18</v>
      </c>
      <c r="K19" s="4" t="s">
        <v>19</v>
      </c>
      <c r="L19" s="4" t="s">
        <v>20</v>
      </c>
    </row>
    <row r="20" customFormat="false" ht="22.35" hidden="false" customHeight="false" outlineLevel="0" collapsed="false">
      <c r="A20" s="7" t="s">
        <v>39</v>
      </c>
      <c r="B20" s="7" t="s">
        <v>14</v>
      </c>
      <c r="C20" s="7" t="s">
        <v>15</v>
      </c>
      <c r="D20" s="7" t="s">
        <v>16</v>
      </c>
      <c r="E20" s="7" t="s">
        <v>17</v>
      </c>
      <c r="F20" s="8" t="n">
        <v>15.2148</v>
      </c>
      <c r="G20" s="9" t="n">
        <v>0</v>
      </c>
      <c r="H20" s="9" t="n">
        <v>0</v>
      </c>
      <c r="I20" s="9" t="n">
        <v>0</v>
      </c>
      <c r="J20" s="7" t="s">
        <v>18</v>
      </c>
      <c r="K20" s="7" t="s">
        <v>19</v>
      </c>
      <c r="L20" s="7" t="s">
        <v>20</v>
      </c>
    </row>
    <row r="21" customFormat="false" ht="22.35" hidden="false" customHeight="false" outlineLevel="0" collapsed="false">
      <c r="A21" s="4" t="s">
        <v>40</v>
      </c>
      <c r="B21" s="4" t="s">
        <v>14</v>
      </c>
      <c r="C21" s="4" t="s">
        <v>15</v>
      </c>
      <c r="D21" s="4" t="s">
        <v>16</v>
      </c>
      <c r="E21" s="4" t="s">
        <v>17</v>
      </c>
      <c r="F21" s="5" t="n">
        <v>17.5945</v>
      </c>
      <c r="G21" s="6" t="n">
        <v>0</v>
      </c>
      <c r="H21" s="6" t="n">
        <v>0</v>
      </c>
      <c r="I21" s="6" t="n">
        <v>0</v>
      </c>
      <c r="J21" s="4" t="s">
        <v>18</v>
      </c>
      <c r="K21" s="4" t="s">
        <v>19</v>
      </c>
      <c r="L21" s="4" t="s">
        <v>20</v>
      </c>
    </row>
    <row r="22" customFormat="false" ht="22.35" hidden="false" customHeight="false" outlineLevel="0" collapsed="false">
      <c r="A22" s="7" t="s">
        <v>41</v>
      </c>
      <c r="B22" s="7" t="s">
        <v>14</v>
      </c>
      <c r="C22" s="7" t="s">
        <v>15</v>
      </c>
      <c r="D22" s="7" t="s">
        <v>16</v>
      </c>
      <c r="E22" s="7" t="s">
        <v>17</v>
      </c>
      <c r="F22" s="8" t="n">
        <v>12.5487</v>
      </c>
      <c r="G22" s="9" t="n">
        <v>0</v>
      </c>
      <c r="H22" s="9" t="n">
        <v>0</v>
      </c>
      <c r="I22" s="9" t="n">
        <v>0</v>
      </c>
      <c r="J22" s="7" t="s">
        <v>18</v>
      </c>
      <c r="K22" s="7" t="s">
        <v>19</v>
      </c>
      <c r="L22" s="7" t="s">
        <v>20</v>
      </c>
    </row>
    <row r="23" customFormat="false" ht="22.35" hidden="false" customHeight="false" outlineLevel="0" collapsed="false">
      <c r="A23" s="4" t="s">
        <v>42</v>
      </c>
      <c r="B23" s="4" t="s">
        <v>14</v>
      </c>
      <c r="C23" s="4" t="s">
        <v>15</v>
      </c>
      <c r="D23" s="4" t="s">
        <v>16</v>
      </c>
      <c r="E23" s="4" t="s">
        <v>17</v>
      </c>
      <c r="F23" s="5" t="n">
        <v>12.3595</v>
      </c>
      <c r="G23" s="6" t="n">
        <v>0</v>
      </c>
      <c r="H23" s="6" t="n">
        <v>0</v>
      </c>
      <c r="I23" s="6" t="n">
        <v>0</v>
      </c>
      <c r="J23" s="4" t="s">
        <v>18</v>
      </c>
      <c r="K23" s="4" t="s">
        <v>19</v>
      </c>
      <c r="L23" s="4" t="s">
        <v>20</v>
      </c>
    </row>
    <row r="24" customFormat="false" ht="22.35" hidden="false" customHeight="false" outlineLevel="0" collapsed="false">
      <c r="A24" s="7" t="s">
        <v>43</v>
      </c>
      <c r="B24" s="7" t="s">
        <v>14</v>
      </c>
      <c r="C24" s="7" t="s">
        <v>15</v>
      </c>
      <c r="D24" s="7" t="s">
        <v>16</v>
      </c>
      <c r="E24" s="7" t="s">
        <v>44</v>
      </c>
      <c r="F24" s="8" t="n">
        <v>8.95</v>
      </c>
      <c r="G24" s="9" t="n">
        <v>0</v>
      </c>
      <c r="H24" s="9" t="n">
        <v>0</v>
      </c>
      <c r="I24" s="9" t="n">
        <v>0</v>
      </c>
      <c r="J24" s="7" t="s">
        <v>18</v>
      </c>
      <c r="K24" s="7" t="s">
        <v>19</v>
      </c>
      <c r="L24" s="7" t="s">
        <v>20</v>
      </c>
    </row>
    <row r="25" customFormat="false" ht="22.35" hidden="false" customHeight="false" outlineLevel="0" collapsed="false">
      <c r="A25" s="4" t="s">
        <v>45</v>
      </c>
      <c r="B25" s="4" t="s">
        <v>14</v>
      </c>
      <c r="C25" s="4" t="s">
        <v>15</v>
      </c>
      <c r="D25" s="4" t="s">
        <v>16</v>
      </c>
      <c r="E25" s="4" t="s">
        <v>27</v>
      </c>
      <c r="F25" s="5" t="n">
        <v>5.1638</v>
      </c>
      <c r="G25" s="6" t="n">
        <v>0</v>
      </c>
      <c r="H25" s="6" t="n">
        <v>0</v>
      </c>
      <c r="I25" s="6" t="n">
        <v>0</v>
      </c>
      <c r="J25" s="4" t="s">
        <v>18</v>
      </c>
      <c r="K25" s="4" t="s">
        <v>19</v>
      </c>
      <c r="L25" s="4" t="s">
        <v>20</v>
      </c>
    </row>
    <row r="26" customFormat="false" ht="22.35" hidden="false" customHeight="false" outlineLevel="0" collapsed="false">
      <c r="A26" s="7" t="s">
        <v>46</v>
      </c>
      <c r="B26" s="7" t="s">
        <v>14</v>
      </c>
      <c r="C26" s="7" t="s">
        <v>15</v>
      </c>
      <c r="D26" s="7" t="s">
        <v>16</v>
      </c>
      <c r="E26" s="7" t="s">
        <v>44</v>
      </c>
      <c r="F26" s="8" t="n">
        <v>12.6852</v>
      </c>
      <c r="G26" s="9" t="n">
        <v>0</v>
      </c>
      <c r="H26" s="9" t="n">
        <v>0</v>
      </c>
      <c r="I26" s="9" t="n">
        <v>0</v>
      </c>
      <c r="J26" s="7" t="s">
        <v>18</v>
      </c>
      <c r="K26" s="7" t="s">
        <v>19</v>
      </c>
      <c r="L26" s="7" t="s">
        <v>20</v>
      </c>
    </row>
    <row r="27" customFormat="false" ht="22.35" hidden="false" customHeight="false" outlineLevel="0" collapsed="false">
      <c r="A27" s="4" t="s">
        <v>47</v>
      </c>
      <c r="B27" s="4" t="s">
        <v>14</v>
      </c>
      <c r="C27" s="4" t="s">
        <v>15</v>
      </c>
      <c r="D27" s="4" t="s">
        <v>16</v>
      </c>
      <c r="E27" s="4" t="s">
        <v>27</v>
      </c>
      <c r="F27" s="5" t="n">
        <v>13.1261</v>
      </c>
      <c r="G27" s="6" t="n">
        <v>0</v>
      </c>
      <c r="H27" s="6" t="n">
        <v>0</v>
      </c>
      <c r="I27" s="6" t="n">
        <v>0</v>
      </c>
      <c r="J27" s="4" t="s">
        <v>18</v>
      </c>
      <c r="K27" s="4" t="s">
        <v>19</v>
      </c>
      <c r="L27" s="4" t="s">
        <v>20</v>
      </c>
    </row>
    <row r="28" customFormat="false" ht="22.35" hidden="false" customHeight="false" outlineLevel="0" collapsed="false">
      <c r="A28" s="7" t="s">
        <v>48</v>
      </c>
      <c r="B28" s="7" t="s">
        <v>14</v>
      </c>
      <c r="C28" s="7" t="s">
        <v>15</v>
      </c>
      <c r="D28" s="7" t="s">
        <v>16</v>
      </c>
      <c r="E28" s="7" t="s">
        <v>27</v>
      </c>
      <c r="F28" s="8" t="n">
        <v>2.1167</v>
      </c>
      <c r="G28" s="9" t="n">
        <v>0</v>
      </c>
      <c r="H28" s="9" t="n">
        <v>0</v>
      </c>
      <c r="I28" s="9" t="n">
        <v>0</v>
      </c>
      <c r="J28" s="7" t="s">
        <v>18</v>
      </c>
      <c r="K28" s="7" t="s">
        <v>19</v>
      </c>
      <c r="L28" s="7" t="s">
        <v>20</v>
      </c>
    </row>
    <row r="29" customFormat="false" ht="22.35" hidden="false" customHeight="false" outlineLevel="0" collapsed="false">
      <c r="A29" s="4" t="s">
        <v>49</v>
      </c>
      <c r="B29" s="4" t="s">
        <v>14</v>
      </c>
      <c r="C29" s="4" t="s">
        <v>15</v>
      </c>
      <c r="D29" s="4" t="s">
        <v>16</v>
      </c>
      <c r="E29" s="4" t="s">
        <v>27</v>
      </c>
      <c r="F29" s="5" t="n">
        <v>2.3711</v>
      </c>
      <c r="G29" s="6" t="n">
        <v>0</v>
      </c>
      <c r="H29" s="6" t="n">
        <v>0</v>
      </c>
      <c r="I29" s="6" t="n">
        <v>0</v>
      </c>
      <c r="J29" s="4" t="s">
        <v>18</v>
      </c>
      <c r="K29" s="4" t="s">
        <v>19</v>
      </c>
      <c r="L29" s="4" t="s">
        <v>20</v>
      </c>
    </row>
    <row r="30" customFormat="false" ht="22.35" hidden="false" customHeight="false" outlineLevel="0" collapsed="false">
      <c r="A30" s="7" t="s">
        <v>50</v>
      </c>
      <c r="B30" s="7" t="s">
        <v>14</v>
      </c>
      <c r="C30" s="7" t="s">
        <v>15</v>
      </c>
      <c r="D30" s="7" t="s">
        <v>16</v>
      </c>
      <c r="E30" s="7" t="s">
        <v>27</v>
      </c>
      <c r="F30" s="8" t="n">
        <v>5.0325</v>
      </c>
      <c r="G30" s="9" t="n">
        <v>0</v>
      </c>
      <c r="H30" s="9" t="n">
        <v>0</v>
      </c>
      <c r="I30" s="9" t="n">
        <v>0</v>
      </c>
      <c r="J30" s="7" t="s">
        <v>18</v>
      </c>
      <c r="K30" s="7" t="s">
        <v>19</v>
      </c>
      <c r="L30" s="7" t="s">
        <v>20</v>
      </c>
    </row>
    <row r="31" customFormat="false" ht="22.35" hidden="false" customHeight="false" outlineLevel="0" collapsed="false">
      <c r="A31" s="4" t="s">
        <v>51</v>
      </c>
      <c r="B31" s="4" t="s">
        <v>14</v>
      </c>
      <c r="C31" s="4" t="s">
        <v>15</v>
      </c>
      <c r="D31" s="4" t="s">
        <v>16</v>
      </c>
      <c r="E31" s="4" t="s">
        <v>27</v>
      </c>
      <c r="F31" s="5" t="n">
        <v>3.0062</v>
      </c>
      <c r="G31" s="6" t="n">
        <v>0</v>
      </c>
      <c r="H31" s="6" t="n">
        <v>0</v>
      </c>
      <c r="I31" s="6" t="n">
        <v>0</v>
      </c>
      <c r="J31" s="4" t="s">
        <v>18</v>
      </c>
      <c r="K31" s="4" t="s">
        <v>19</v>
      </c>
      <c r="L31" s="4" t="s">
        <v>20</v>
      </c>
    </row>
    <row r="32" customFormat="false" ht="22.35" hidden="false" customHeight="false" outlineLevel="0" collapsed="false">
      <c r="A32" s="7" t="s">
        <v>52</v>
      </c>
      <c r="B32" s="7" t="s">
        <v>14</v>
      </c>
      <c r="C32" s="7" t="s">
        <v>15</v>
      </c>
      <c r="D32" s="7" t="s">
        <v>16</v>
      </c>
      <c r="E32" s="7" t="s">
        <v>27</v>
      </c>
      <c r="F32" s="8" t="n">
        <v>1.9686</v>
      </c>
      <c r="G32" s="9" t="n">
        <v>0</v>
      </c>
      <c r="H32" s="9" t="n">
        <v>0</v>
      </c>
      <c r="I32" s="9" t="n">
        <v>0</v>
      </c>
      <c r="J32" s="7" t="s">
        <v>18</v>
      </c>
      <c r="K32" s="7" t="s">
        <v>19</v>
      </c>
      <c r="L32" s="7" t="s">
        <v>20</v>
      </c>
    </row>
    <row r="33" customFormat="false" ht="22.35" hidden="false" customHeight="false" outlineLevel="0" collapsed="false">
      <c r="A33" s="4" t="s">
        <v>53</v>
      </c>
      <c r="B33" s="4" t="s">
        <v>14</v>
      </c>
      <c r="C33" s="4" t="s">
        <v>15</v>
      </c>
      <c r="D33" s="4" t="s">
        <v>16</v>
      </c>
      <c r="E33" s="4" t="s">
        <v>27</v>
      </c>
      <c r="F33" s="5" t="n">
        <v>2.6768</v>
      </c>
      <c r="G33" s="6" t="n">
        <v>0</v>
      </c>
      <c r="H33" s="6" t="n">
        <v>0</v>
      </c>
      <c r="I33" s="6" t="n">
        <v>0</v>
      </c>
      <c r="J33" s="4" t="s">
        <v>18</v>
      </c>
      <c r="K33" s="4" t="s">
        <v>19</v>
      </c>
      <c r="L33" s="4" t="s">
        <v>20</v>
      </c>
    </row>
    <row r="34" customFormat="false" ht="22.35" hidden="false" customHeight="false" outlineLevel="0" collapsed="false">
      <c r="A34" s="7" t="s">
        <v>54</v>
      </c>
      <c r="B34" s="7" t="s">
        <v>14</v>
      </c>
      <c r="C34" s="7" t="s">
        <v>15</v>
      </c>
      <c r="D34" s="7" t="s">
        <v>16</v>
      </c>
      <c r="E34" s="7" t="s">
        <v>17</v>
      </c>
      <c r="F34" s="8" t="n">
        <v>2.7239</v>
      </c>
      <c r="G34" s="9" t="n">
        <v>0</v>
      </c>
      <c r="H34" s="9" t="n">
        <v>0</v>
      </c>
      <c r="I34" s="9" t="n">
        <v>0</v>
      </c>
      <c r="J34" s="7" t="s">
        <v>18</v>
      </c>
      <c r="K34" s="7" t="s">
        <v>19</v>
      </c>
      <c r="L34" s="7" t="s">
        <v>20</v>
      </c>
    </row>
    <row r="35" customFormat="false" ht="22.35" hidden="false" customHeight="false" outlineLevel="0" collapsed="false">
      <c r="A35" s="4" t="s">
        <v>55</v>
      </c>
      <c r="B35" s="4" t="s">
        <v>14</v>
      </c>
      <c r="C35" s="4" t="s">
        <v>15</v>
      </c>
      <c r="D35" s="4" t="s">
        <v>16</v>
      </c>
      <c r="E35" s="4" t="s">
        <v>17</v>
      </c>
      <c r="F35" s="5" t="n">
        <v>1.8954</v>
      </c>
      <c r="G35" s="6" t="n">
        <v>0</v>
      </c>
      <c r="H35" s="6" t="n">
        <v>0</v>
      </c>
      <c r="I35" s="6" t="n">
        <v>0</v>
      </c>
      <c r="J35" s="4" t="s">
        <v>18</v>
      </c>
      <c r="K35" s="4" t="s">
        <v>19</v>
      </c>
      <c r="L35" s="4" t="s">
        <v>20</v>
      </c>
    </row>
    <row r="36" customFormat="false" ht="22.35" hidden="false" customHeight="false" outlineLevel="0" collapsed="false">
      <c r="A36" s="7" t="s">
        <v>56</v>
      </c>
      <c r="B36" s="7" t="s">
        <v>14</v>
      </c>
      <c r="C36" s="7" t="s">
        <v>15</v>
      </c>
      <c r="D36" s="7" t="s">
        <v>16</v>
      </c>
      <c r="E36" s="7" t="s">
        <v>17</v>
      </c>
      <c r="F36" s="8" t="n">
        <v>2.2044</v>
      </c>
      <c r="G36" s="9" t="n">
        <v>0</v>
      </c>
      <c r="H36" s="9" t="n">
        <v>0</v>
      </c>
      <c r="I36" s="9" t="n">
        <v>0</v>
      </c>
      <c r="J36" s="7" t="s">
        <v>18</v>
      </c>
      <c r="K36" s="7" t="s">
        <v>19</v>
      </c>
      <c r="L36" s="7" t="s">
        <v>20</v>
      </c>
    </row>
    <row r="37" customFormat="false" ht="22.35" hidden="false" customHeight="false" outlineLevel="0" collapsed="false">
      <c r="A37" s="4" t="s">
        <v>57</v>
      </c>
      <c r="B37" s="4" t="s">
        <v>14</v>
      </c>
      <c r="C37" s="4" t="s">
        <v>15</v>
      </c>
      <c r="D37" s="4" t="s">
        <v>16</v>
      </c>
      <c r="E37" s="4" t="s">
        <v>17</v>
      </c>
      <c r="F37" s="5" t="n">
        <v>2.1066</v>
      </c>
      <c r="G37" s="6" t="n">
        <v>0</v>
      </c>
      <c r="H37" s="6" t="n">
        <v>0</v>
      </c>
      <c r="I37" s="6" t="n">
        <v>0</v>
      </c>
      <c r="J37" s="4" t="s">
        <v>18</v>
      </c>
      <c r="K37" s="4" t="s">
        <v>19</v>
      </c>
      <c r="L37" s="4" t="s">
        <v>20</v>
      </c>
    </row>
    <row r="38" customFormat="false" ht="22.35" hidden="false" customHeight="false" outlineLevel="0" collapsed="false">
      <c r="A38" s="7" t="s">
        <v>58</v>
      </c>
      <c r="B38" s="7" t="s">
        <v>14</v>
      </c>
      <c r="C38" s="7" t="s">
        <v>15</v>
      </c>
      <c r="D38" s="7" t="s">
        <v>16</v>
      </c>
      <c r="E38" s="7" t="s">
        <v>17</v>
      </c>
      <c r="F38" s="8" t="n">
        <v>2.0439</v>
      </c>
      <c r="G38" s="9" t="n">
        <v>0</v>
      </c>
      <c r="H38" s="9" t="n">
        <v>0</v>
      </c>
      <c r="I38" s="9" t="n">
        <v>0</v>
      </c>
      <c r="J38" s="7" t="s">
        <v>18</v>
      </c>
      <c r="K38" s="7" t="s">
        <v>19</v>
      </c>
      <c r="L38" s="7" t="s">
        <v>20</v>
      </c>
    </row>
    <row r="39" customFormat="false" ht="22.35" hidden="false" customHeight="false" outlineLevel="0" collapsed="false">
      <c r="A39" s="4" t="s">
        <v>59</v>
      </c>
      <c r="B39" s="4" t="s">
        <v>14</v>
      </c>
      <c r="C39" s="4" t="s">
        <v>15</v>
      </c>
      <c r="D39" s="4" t="s">
        <v>16</v>
      </c>
      <c r="E39" s="4" t="s">
        <v>17</v>
      </c>
      <c r="F39" s="5" t="n">
        <v>2.1611</v>
      </c>
      <c r="G39" s="6" t="n">
        <v>0</v>
      </c>
      <c r="H39" s="6" t="n">
        <v>0</v>
      </c>
      <c r="I39" s="6" t="n">
        <v>0</v>
      </c>
      <c r="J39" s="4" t="s">
        <v>18</v>
      </c>
      <c r="K39" s="4" t="s">
        <v>19</v>
      </c>
      <c r="L39" s="4" t="s">
        <v>20</v>
      </c>
    </row>
    <row r="40" customFormat="false" ht="22.35" hidden="false" customHeight="false" outlineLevel="0" collapsed="false">
      <c r="A40" s="7" t="s">
        <v>60</v>
      </c>
      <c r="B40" s="7" t="s">
        <v>14</v>
      </c>
      <c r="C40" s="7" t="s">
        <v>15</v>
      </c>
      <c r="D40" s="7" t="s">
        <v>16</v>
      </c>
      <c r="E40" s="7" t="s">
        <v>17</v>
      </c>
      <c r="F40" s="8" t="n">
        <v>2.1955</v>
      </c>
      <c r="G40" s="9" t="n">
        <v>0</v>
      </c>
      <c r="H40" s="9" t="n">
        <v>0</v>
      </c>
      <c r="I40" s="9" t="n">
        <v>0</v>
      </c>
      <c r="J40" s="7" t="s">
        <v>18</v>
      </c>
      <c r="K40" s="7" t="s">
        <v>19</v>
      </c>
      <c r="L40" s="7" t="s">
        <v>20</v>
      </c>
    </row>
    <row r="41" customFormat="false" ht="22.35" hidden="false" customHeight="false" outlineLevel="0" collapsed="false">
      <c r="A41" s="4" t="s">
        <v>61</v>
      </c>
      <c r="B41" s="4" t="s">
        <v>14</v>
      </c>
      <c r="C41" s="4" t="s">
        <v>15</v>
      </c>
      <c r="D41" s="4" t="s">
        <v>16</v>
      </c>
      <c r="E41" s="4" t="s">
        <v>27</v>
      </c>
      <c r="F41" s="5" t="n">
        <v>1.5017</v>
      </c>
      <c r="G41" s="6" t="n">
        <v>0</v>
      </c>
      <c r="H41" s="6" t="n">
        <v>0</v>
      </c>
      <c r="I41" s="6" t="n">
        <v>0</v>
      </c>
      <c r="J41" s="4" t="s">
        <v>18</v>
      </c>
      <c r="K41" s="4" t="s">
        <v>19</v>
      </c>
      <c r="L41" s="4" t="s">
        <v>20</v>
      </c>
    </row>
    <row r="42" customFormat="false" ht="22.35" hidden="false" customHeight="false" outlineLevel="0" collapsed="false">
      <c r="A42" s="7" t="s">
        <v>62</v>
      </c>
      <c r="B42" s="7" t="s">
        <v>14</v>
      </c>
      <c r="C42" s="7" t="s">
        <v>15</v>
      </c>
      <c r="D42" s="7" t="s">
        <v>16</v>
      </c>
      <c r="E42" s="7" t="s">
        <v>27</v>
      </c>
      <c r="F42" s="8" t="n">
        <v>2.0389</v>
      </c>
      <c r="G42" s="9" t="n">
        <v>0</v>
      </c>
      <c r="H42" s="9" t="n">
        <v>0</v>
      </c>
      <c r="I42" s="9" t="n">
        <v>0</v>
      </c>
      <c r="J42" s="7" t="s">
        <v>18</v>
      </c>
      <c r="K42" s="7" t="s">
        <v>19</v>
      </c>
      <c r="L42" s="7" t="s">
        <v>20</v>
      </c>
    </row>
    <row r="43" customFormat="false" ht="22.35" hidden="false" customHeight="false" outlineLevel="0" collapsed="false">
      <c r="A43" s="4" t="s">
        <v>63</v>
      </c>
      <c r="B43" s="4" t="s">
        <v>14</v>
      </c>
      <c r="C43" s="4" t="s">
        <v>15</v>
      </c>
      <c r="D43" s="4" t="s">
        <v>16</v>
      </c>
      <c r="E43" s="4" t="s">
        <v>27</v>
      </c>
      <c r="F43" s="5" t="n">
        <v>2.2169</v>
      </c>
      <c r="G43" s="6" t="n">
        <v>0</v>
      </c>
      <c r="H43" s="6" t="n">
        <v>0</v>
      </c>
      <c r="I43" s="6" t="n">
        <v>0</v>
      </c>
      <c r="J43" s="4" t="s">
        <v>18</v>
      </c>
      <c r="K43" s="4" t="s">
        <v>19</v>
      </c>
      <c r="L43" s="4" t="s">
        <v>20</v>
      </c>
    </row>
    <row r="44" customFormat="false" ht="22.35" hidden="false" customHeight="false" outlineLevel="0" collapsed="false">
      <c r="A44" s="7" t="s">
        <v>64</v>
      </c>
      <c r="B44" s="7" t="s">
        <v>14</v>
      </c>
      <c r="C44" s="7" t="s">
        <v>15</v>
      </c>
      <c r="D44" s="7" t="s">
        <v>16</v>
      </c>
      <c r="E44" s="7" t="s">
        <v>27</v>
      </c>
      <c r="F44" s="8" t="n">
        <v>2.2868</v>
      </c>
      <c r="G44" s="9" t="n">
        <v>0</v>
      </c>
      <c r="H44" s="9" t="n">
        <v>0</v>
      </c>
      <c r="I44" s="9" t="n">
        <v>0</v>
      </c>
      <c r="J44" s="7" t="s">
        <v>18</v>
      </c>
      <c r="K44" s="7" t="s">
        <v>19</v>
      </c>
      <c r="L44" s="7" t="s">
        <v>20</v>
      </c>
    </row>
    <row r="45" customFormat="false" ht="22.35" hidden="false" customHeight="false" outlineLevel="0" collapsed="false">
      <c r="A45" s="4" t="s">
        <v>65</v>
      </c>
      <c r="B45" s="4" t="s">
        <v>14</v>
      </c>
      <c r="C45" s="4" t="s">
        <v>15</v>
      </c>
      <c r="D45" s="4" t="s">
        <v>16</v>
      </c>
      <c r="E45" s="4" t="s">
        <v>27</v>
      </c>
      <c r="F45" s="5" t="n">
        <v>2.2836</v>
      </c>
      <c r="G45" s="6" t="n">
        <v>0</v>
      </c>
      <c r="H45" s="6" t="n">
        <v>0</v>
      </c>
      <c r="I45" s="6" t="n">
        <v>0</v>
      </c>
      <c r="J45" s="4" t="s">
        <v>18</v>
      </c>
      <c r="K45" s="4" t="s">
        <v>19</v>
      </c>
      <c r="L45" s="4" t="s">
        <v>20</v>
      </c>
    </row>
    <row r="46" customFormat="false" ht="22.35" hidden="false" customHeight="false" outlineLevel="0" collapsed="false">
      <c r="A46" s="7" t="s">
        <v>66</v>
      </c>
      <c r="B46" s="7" t="s">
        <v>14</v>
      </c>
      <c r="C46" s="7" t="s">
        <v>15</v>
      </c>
      <c r="D46" s="7" t="s">
        <v>16</v>
      </c>
      <c r="E46" s="7" t="s">
        <v>27</v>
      </c>
      <c r="F46" s="8" t="n">
        <v>4.5</v>
      </c>
      <c r="G46" s="9" t="n">
        <v>0</v>
      </c>
      <c r="H46" s="9" t="n">
        <v>0</v>
      </c>
      <c r="I46" s="9" t="n">
        <v>0</v>
      </c>
      <c r="J46" s="7" t="s">
        <v>18</v>
      </c>
      <c r="K46" s="7" t="s">
        <v>19</v>
      </c>
      <c r="L46" s="7" t="s">
        <v>20</v>
      </c>
    </row>
    <row r="47" customFormat="false" ht="22.35" hidden="false" customHeight="false" outlineLevel="0" collapsed="false">
      <c r="A47" s="4" t="s">
        <v>67</v>
      </c>
      <c r="B47" s="4" t="s">
        <v>14</v>
      </c>
      <c r="C47" s="4" t="s">
        <v>15</v>
      </c>
      <c r="D47" s="4" t="s">
        <v>16</v>
      </c>
      <c r="E47" s="4" t="s">
        <v>17</v>
      </c>
      <c r="F47" s="5" t="n">
        <v>4.7803</v>
      </c>
      <c r="G47" s="6" t="n">
        <v>0</v>
      </c>
      <c r="H47" s="6" t="n">
        <v>0</v>
      </c>
      <c r="I47" s="6" t="n">
        <v>0</v>
      </c>
      <c r="J47" s="4" t="s">
        <v>18</v>
      </c>
      <c r="K47" s="4" t="s">
        <v>19</v>
      </c>
      <c r="L47" s="4" t="s">
        <v>20</v>
      </c>
    </row>
    <row r="48" customFormat="false" ht="22.35" hidden="false" customHeight="false" outlineLevel="0" collapsed="false">
      <c r="A48" s="7" t="s">
        <v>68</v>
      </c>
      <c r="B48" s="7" t="s">
        <v>14</v>
      </c>
      <c r="C48" s="7" t="s">
        <v>15</v>
      </c>
      <c r="D48" s="7" t="s">
        <v>16</v>
      </c>
      <c r="E48" s="7" t="s">
        <v>27</v>
      </c>
      <c r="F48" s="8" t="n">
        <v>4.8019</v>
      </c>
      <c r="G48" s="9" t="n">
        <v>0</v>
      </c>
      <c r="H48" s="9" t="n">
        <v>0</v>
      </c>
      <c r="I48" s="9" t="n">
        <v>0</v>
      </c>
      <c r="J48" s="7" t="s">
        <v>18</v>
      </c>
      <c r="K48" s="7" t="s">
        <v>19</v>
      </c>
      <c r="L48" s="7" t="s">
        <v>20</v>
      </c>
    </row>
    <row r="49" customFormat="false" ht="22.35" hidden="false" customHeight="false" outlineLevel="0" collapsed="false">
      <c r="A49" s="4" t="s">
        <v>69</v>
      </c>
      <c r="B49" s="4" t="s">
        <v>14</v>
      </c>
      <c r="C49" s="4" t="s">
        <v>15</v>
      </c>
      <c r="D49" s="4" t="s">
        <v>16</v>
      </c>
      <c r="E49" s="4" t="s">
        <v>17</v>
      </c>
      <c r="F49" s="5" t="n">
        <v>4.9754</v>
      </c>
      <c r="G49" s="6" t="n">
        <v>0</v>
      </c>
      <c r="H49" s="6" t="n">
        <v>0</v>
      </c>
      <c r="I49" s="6" t="n">
        <v>0</v>
      </c>
      <c r="J49" s="4" t="s">
        <v>18</v>
      </c>
      <c r="K49" s="4" t="s">
        <v>19</v>
      </c>
      <c r="L49" s="4" t="s">
        <v>20</v>
      </c>
    </row>
    <row r="50" customFormat="false" ht="22.35" hidden="false" customHeight="false" outlineLevel="0" collapsed="false">
      <c r="A50" s="7" t="s">
        <v>70</v>
      </c>
      <c r="B50" s="7" t="s">
        <v>14</v>
      </c>
      <c r="C50" s="7" t="s">
        <v>15</v>
      </c>
      <c r="D50" s="7" t="s">
        <v>16</v>
      </c>
      <c r="E50" s="7" t="s">
        <v>27</v>
      </c>
      <c r="F50" s="8" t="n">
        <v>4.6461</v>
      </c>
      <c r="G50" s="9" t="n">
        <v>0</v>
      </c>
      <c r="H50" s="9" t="n">
        <v>0</v>
      </c>
      <c r="I50" s="9" t="n">
        <v>0</v>
      </c>
      <c r="J50" s="7" t="s">
        <v>18</v>
      </c>
      <c r="K50" s="7" t="s">
        <v>19</v>
      </c>
      <c r="L50" s="7" t="s">
        <v>20</v>
      </c>
    </row>
    <row r="51" customFormat="false" ht="22.35" hidden="false" customHeight="false" outlineLevel="0" collapsed="false">
      <c r="A51" s="4" t="s">
        <v>71</v>
      </c>
      <c r="B51" s="4" t="s">
        <v>14</v>
      </c>
      <c r="C51" s="4" t="s">
        <v>15</v>
      </c>
      <c r="D51" s="4" t="s">
        <v>16</v>
      </c>
      <c r="E51" s="4" t="s">
        <v>27</v>
      </c>
      <c r="F51" s="5" t="n">
        <v>4.951</v>
      </c>
      <c r="G51" s="6" t="n">
        <v>0</v>
      </c>
      <c r="H51" s="6" t="n">
        <v>0</v>
      </c>
      <c r="I51" s="6" t="n">
        <v>0</v>
      </c>
      <c r="J51" s="4" t="s">
        <v>18</v>
      </c>
      <c r="K51" s="4" t="s">
        <v>19</v>
      </c>
      <c r="L51" s="4" t="s">
        <v>20</v>
      </c>
    </row>
    <row r="52" customFormat="false" ht="22.35" hidden="false" customHeight="false" outlineLevel="0" collapsed="false">
      <c r="A52" s="7" t="s">
        <v>72</v>
      </c>
      <c r="B52" s="7" t="s">
        <v>14</v>
      </c>
      <c r="C52" s="7" t="s">
        <v>15</v>
      </c>
      <c r="D52" s="7" t="s">
        <v>16</v>
      </c>
      <c r="E52" s="7" t="s">
        <v>17</v>
      </c>
      <c r="F52" s="8" t="n">
        <v>5.2705</v>
      </c>
      <c r="G52" s="9" t="n">
        <v>0</v>
      </c>
      <c r="H52" s="9" t="n">
        <v>0</v>
      </c>
      <c r="I52" s="9" t="n">
        <v>0</v>
      </c>
      <c r="J52" s="7" t="s">
        <v>18</v>
      </c>
      <c r="K52" s="7" t="s">
        <v>19</v>
      </c>
      <c r="L52" s="7" t="s">
        <v>20</v>
      </c>
    </row>
    <row r="53" customFormat="false" ht="22.35" hidden="false" customHeight="false" outlineLevel="0" collapsed="false">
      <c r="A53" s="4" t="s">
        <v>73</v>
      </c>
      <c r="B53" s="4" t="s">
        <v>14</v>
      </c>
      <c r="C53" s="4" t="s">
        <v>15</v>
      </c>
      <c r="D53" s="4" t="s">
        <v>16</v>
      </c>
      <c r="E53" s="4" t="s">
        <v>27</v>
      </c>
      <c r="F53" s="5" t="n">
        <v>4.6495</v>
      </c>
      <c r="G53" s="6" t="n">
        <v>0</v>
      </c>
      <c r="H53" s="6" t="n">
        <v>0</v>
      </c>
      <c r="I53" s="6" t="n">
        <v>0</v>
      </c>
      <c r="J53" s="4" t="s">
        <v>18</v>
      </c>
      <c r="K53" s="4" t="s">
        <v>19</v>
      </c>
      <c r="L53" s="4" t="s">
        <v>20</v>
      </c>
    </row>
    <row r="54" customFormat="false" ht="22.35" hidden="false" customHeight="false" outlineLevel="0" collapsed="false">
      <c r="A54" s="7" t="s">
        <v>74</v>
      </c>
      <c r="B54" s="7" t="s">
        <v>14</v>
      </c>
      <c r="C54" s="7" t="s">
        <v>15</v>
      </c>
      <c r="D54" s="7" t="s">
        <v>16</v>
      </c>
      <c r="E54" s="7" t="s">
        <v>17</v>
      </c>
      <c r="F54" s="8" t="n">
        <v>4.5257</v>
      </c>
      <c r="G54" s="9" t="n">
        <v>0</v>
      </c>
      <c r="H54" s="9" t="n">
        <v>0</v>
      </c>
      <c r="I54" s="9" t="n">
        <v>0</v>
      </c>
      <c r="J54" s="7" t="s">
        <v>18</v>
      </c>
      <c r="K54" s="7" t="s">
        <v>19</v>
      </c>
      <c r="L54" s="7" t="s">
        <v>20</v>
      </c>
    </row>
    <row r="55" customFormat="false" ht="22.35" hidden="false" customHeight="false" outlineLevel="0" collapsed="false">
      <c r="A55" s="4" t="s">
        <v>75</v>
      </c>
      <c r="B55" s="4" t="s">
        <v>14</v>
      </c>
      <c r="C55" s="4" t="s">
        <v>15</v>
      </c>
      <c r="D55" s="4" t="s">
        <v>16</v>
      </c>
      <c r="E55" s="4" t="s">
        <v>27</v>
      </c>
      <c r="F55" s="5" t="n">
        <v>4.586</v>
      </c>
      <c r="G55" s="6" t="n">
        <v>0</v>
      </c>
      <c r="H55" s="6" t="n">
        <v>0</v>
      </c>
      <c r="I55" s="6" t="n">
        <v>0</v>
      </c>
      <c r="J55" s="4" t="s">
        <v>18</v>
      </c>
      <c r="K55" s="4" t="s">
        <v>19</v>
      </c>
      <c r="L55" s="4" t="s">
        <v>20</v>
      </c>
    </row>
    <row r="56" customFormat="false" ht="22.35" hidden="false" customHeight="false" outlineLevel="0" collapsed="false">
      <c r="A56" s="7" t="s">
        <v>76</v>
      </c>
      <c r="B56" s="7" t="s">
        <v>14</v>
      </c>
      <c r="C56" s="7" t="s">
        <v>15</v>
      </c>
      <c r="D56" s="7" t="s">
        <v>16</v>
      </c>
      <c r="E56" s="7" t="s">
        <v>27</v>
      </c>
      <c r="F56" s="8" t="n">
        <v>4.6238</v>
      </c>
      <c r="G56" s="9" t="n">
        <v>0</v>
      </c>
      <c r="H56" s="9" t="n">
        <v>0</v>
      </c>
      <c r="I56" s="9" t="n">
        <v>0</v>
      </c>
      <c r="J56" s="7" t="s">
        <v>18</v>
      </c>
      <c r="K56" s="7" t="s">
        <v>19</v>
      </c>
      <c r="L56" s="7" t="s">
        <v>20</v>
      </c>
    </row>
    <row r="57" customFormat="false" ht="22.35" hidden="false" customHeight="false" outlineLevel="0" collapsed="false">
      <c r="A57" s="4" t="s">
        <v>77</v>
      </c>
      <c r="B57" s="4" t="s">
        <v>14</v>
      </c>
      <c r="C57" s="4" t="s">
        <v>15</v>
      </c>
      <c r="D57" s="4" t="s">
        <v>16</v>
      </c>
      <c r="E57" s="4" t="s">
        <v>27</v>
      </c>
      <c r="F57" s="5" t="n">
        <v>2.9267</v>
      </c>
      <c r="G57" s="6" t="n">
        <v>0</v>
      </c>
      <c r="H57" s="6" t="n">
        <v>0</v>
      </c>
      <c r="I57" s="6" t="n">
        <v>0</v>
      </c>
      <c r="J57" s="4" t="s">
        <v>18</v>
      </c>
      <c r="K57" s="4" t="s">
        <v>19</v>
      </c>
      <c r="L57" s="4" t="s">
        <v>20</v>
      </c>
    </row>
    <row r="58" customFormat="false" ht="22.35" hidden="false" customHeight="false" outlineLevel="0" collapsed="false">
      <c r="A58" s="7" t="s">
        <v>78</v>
      </c>
      <c r="B58" s="7" t="s">
        <v>14</v>
      </c>
      <c r="C58" s="7" t="s">
        <v>15</v>
      </c>
      <c r="D58" s="7" t="s">
        <v>16</v>
      </c>
      <c r="E58" s="7" t="s">
        <v>27</v>
      </c>
      <c r="F58" s="8" t="n">
        <v>5.2764</v>
      </c>
      <c r="G58" s="9" t="n">
        <v>0</v>
      </c>
      <c r="H58" s="9" t="n">
        <v>0</v>
      </c>
      <c r="I58" s="9" t="n">
        <v>0</v>
      </c>
      <c r="J58" s="7" t="s">
        <v>18</v>
      </c>
      <c r="K58" s="7" t="s">
        <v>19</v>
      </c>
      <c r="L58" s="7" t="s">
        <v>20</v>
      </c>
    </row>
    <row r="59" customFormat="false" ht="22.35" hidden="false" customHeight="false" outlineLevel="0" collapsed="false">
      <c r="A59" s="4" t="s">
        <v>79</v>
      </c>
      <c r="B59" s="4" t="s">
        <v>14</v>
      </c>
      <c r="C59" s="4" t="s">
        <v>15</v>
      </c>
      <c r="D59" s="4" t="s">
        <v>16</v>
      </c>
      <c r="E59" s="4" t="s">
        <v>27</v>
      </c>
      <c r="F59" s="5" t="n">
        <v>5.2287</v>
      </c>
      <c r="G59" s="6" t="n">
        <v>0</v>
      </c>
      <c r="H59" s="6" t="n">
        <v>0</v>
      </c>
      <c r="I59" s="6" t="n">
        <v>0</v>
      </c>
      <c r="J59" s="4" t="s">
        <v>18</v>
      </c>
      <c r="K59" s="4" t="s">
        <v>19</v>
      </c>
      <c r="L59" s="4" t="s">
        <v>20</v>
      </c>
    </row>
    <row r="60" customFormat="false" ht="22.35" hidden="false" customHeight="false" outlineLevel="0" collapsed="false">
      <c r="A60" s="7" t="s">
        <v>80</v>
      </c>
      <c r="B60" s="7" t="s">
        <v>14</v>
      </c>
      <c r="C60" s="7" t="s">
        <v>15</v>
      </c>
      <c r="D60" s="7" t="s">
        <v>16</v>
      </c>
      <c r="E60" s="7" t="s">
        <v>17</v>
      </c>
      <c r="F60" s="8" t="n">
        <v>4.2343</v>
      </c>
      <c r="G60" s="9" t="n">
        <v>0</v>
      </c>
      <c r="H60" s="9" t="n">
        <v>0</v>
      </c>
      <c r="I60" s="9" t="n">
        <v>0</v>
      </c>
      <c r="J60" s="7" t="s">
        <v>18</v>
      </c>
      <c r="K60" s="7" t="s">
        <v>19</v>
      </c>
      <c r="L60" s="7" t="s">
        <v>20</v>
      </c>
    </row>
    <row r="61" customFormat="false" ht="22.35" hidden="false" customHeight="false" outlineLevel="0" collapsed="false">
      <c r="A61" s="4" t="s">
        <v>81</v>
      </c>
      <c r="B61" s="4" t="s">
        <v>14</v>
      </c>
      <c r="C61" s="4" t="s">
        <v>15</v>
      </c>
      <c r="D61" s="4" t="s">
        <v>16</v>
      </c>
      <c r="E61" s="4" t="s">
        <v>17</v>
      </c>
      <c r="F61" s="5" t="n">
        <v>4.2013</v>
      </c>
      <c r="G61" s="6" t="n">
        <v>0</v>
      </c>
      <c r="H61" s="6" t="n">
        <v>0</v>
      </c>
      <c r="I61" s="6" t="n">
        <v>0</v>
      </c>
      <c r="J61" s="4" t="s">
        <v>18</v>
      </c>
      <c r="K61" s="4" t="s">
        <v>19</v>
      </c>
      <c r="L61" s="4" t="s">
        <v>20</v>
      </c>
    </row>
    <row r="62" customFormat="false" ht="22.35" hidden="false" customHeight="false" outlineLevel="0" collapsed="false">
      <c r="A62" s="7" t="s">
        <v>82</v>
      </c>
      <c r="B62" s="7" t="s">
        <v>14</v>
      </c>
      <c r="C62" s="7" t="s">
        <v>15</v>
      </c>
      <c r="D62" s="7" t="s">
        <v>16</v>
      </c>
      <c r="E62" s="7" t="s">
        <v>27</v>
      </c>
      <c r="F62" s="8" t="n">
        <v>4.376</v>
      </c>
      <c r="G62" s="9" t="n">
        <v>0</v>
      </c>
      <c r="H62" s="9" t="n">
        <v>0</v>
      </c>
      <c r="I62" s="9" t="n">
        <v>0</v>
      </c>
      <c r="J62" s="7" t="s">
        <v>18</v>
      </c>
      <c r="K62" s="7" t="s">
        <v>19</v>
      </c>
      <c r="L62" s="7" t="s">
        <v>20</v>
      </c>
    </row>
    <row r="63" customFormat="false" ht="22.35" hidden="false" customHeight="false" outlineLevel="0" collapsed="false">
      <c r="A63" s="4" t="s">
        <v>83</v>
      </c>
      <c r="B63" s="4" t="s">
        <v>14</v>
      </c>
      <c r="C63" s="4" t="s">
        <v>15</v>
      </c>
      <c r="D63" s="4" t="s">
        <v>16</v>
      </c>
      <c r="E63" s="4" t="s">
        <v>27</v>
      </c>
      <c r="F63" s="5" t="n">
        <v>4.395</v>
      </c>
      <c r="G63" s="6" t="n">
        <v>0</v>
      </c>
      <c r="H63" s="6" t="n">
        <v>0</v>
      </c>
      <c r="I63" s="6" t="n">
        <v>0</v>
      </c>
      <c r="J63" s="4" t="s">
        <v>18</v>
      </c>
      <c r="K63" s="4" t="s">
        <v>19</v>
      </c>
      <c r="L63" s="4" t="s">
        <v>20</v>
      </c>
    </row>
    <row r="64" customFormat="false" ht="22.35" hidden="false" customHeight="false" outlineLevel="0" collapsed="false">
      <c r="A64" s="7" t="s">
        <v>84</v>
      </c>
      <c r="B64" s="7" t="s">
        <v>14</v>
      </c>
      <c r="C64" s="7" t="s">
        <v>15</v>
      </c>
      <c r="D64" s="7" t="s">
        <v>16</v>
      </c>
      <c r="E64" s="7" t="s">
        <v>27</v>
      </c>
      <c r="F64" s="8" t="n">
        <v>4.3698</v>
      </c>
      <c r="G64" s="9" t="n">
        <v>0</v>
      </c>
      <c r="H64" s="9" t="n">
        <v>0</v>
      </c>
      <c r="I64" s="9" t="n">
        <v>0</v>
      </c>
      <c r="J64" s="7" t="s">
        <v>18</v>
      </c>
      <c r="K64" s="7" t="s">
        <v>19</v>
      </c>
      <c r="L64" s="7" t="s">
        <v>20</v>
      </c>
    </row>
    <row r="65" customFormat="false" ht="22.35" hidden="false" customHeight="false" outlineLevel="0" collapsed="false">
      <c r="A65" s="4" t="s">
        <v>85</v>
      </c>
      <c r="B65" s="4" t="s">
        <v>14</v>
      </c>
      <c r="C65" s="4" t="s">
        <v>15</v>
      </c>
      <c r="D65" s="4" t="s">
        <v>16</v>
      </c>
      <c r="E65" s="4" t="s">
        <v>17</v>
      </c>
      <c r="F65" s="5" t="n">
        <v>4.6558</v>
      </c>
      <c r="G65" s="6" t="n">
        <v>0</v>
      </c>
      <c r="H65" s="6" t="n">
        <v>0</v>
      </c>
      <c r="I65" s="6" t="n">
        <v>0</v>
      </c>
      <c r="J65" s="4" t="s">
        <v>18</v>
      </c>
      <c r="K65" s="4" t="s">
        <v>19</v>
      </c>
      <c r="L65" s="4" t="s">
        <v>20</v>
      </c>
    </row>
    <row r="66" customFormat="false" ht="22.35" hidden="false" customHeight="false" outlineLevel="0" collapsed="false">
      <c r="A66" s="7" t="s">
        <v>86</v>
      </c>
      <c r="B66" s="7" t="s">
        <v>14</v>
      </c>
      <c r="C66" s="7" t="s">
        <v>15</v>
      </c>
      <c r="D66" s="7" t="s">
        <v>16</v>
      </c>
      <c r="E66" s="7" t="s">
        <v>27</v>
      </c>
      <c r="F66" s="8" t="n">
        <v>4.2614</v>
      </c>
      <c r="G66" s="9" t="n">
        <v>0</v>
      </c>
      <c r="H66" s="9" t="n">
        <v>0</v>
      </c>
      <c r="I66" s="9" t="n">
        <v>0</v>
      </c>
      <c r="J66" s="7" t="s">
        <v>18</v>
      </c>
      <c r="K66" s="7" t="s">
        <v>19</v>
      </c>
      <c r="L66" s="7" t="s">
        <v>20</v>
      </c>
    </row>
    <row r="67" customFormat="false" ht="22.35" hidden="false" customHeight="false" outlineLevel="0" collapsed="false">
      <c r="A67" s="4" t="s">
        <v>87</v>
      </c>
      <c r="B67" s="4" t="s">
        <v>14</v>
      </c>
      <c r="C67" s="4" t="s">
        <v>15</v>
      </c>
      <c r="D67" s="4" t="s">
        <v>16</v>
      </c>
      <c r="E67" s="4" t="s">
        <v>27</v>
      </c>
      <c r="F67" s="5" t="n">
        <v>4.2007</v>
      </c>
      <c r="G67" s="6" t="n">
        <v>0</v>
      </c>
      <c r="H67" s="6" t="n">
        <v>0</v>
      </c>
      <c r="I67" s="6" t="n">
        <v>0</v>
      </c>
      <c r="J67" s="4" t="s">
        <v>18</v>
      </c>
      <c r="K67" s="4" t="s">
        <v>19</v>
      </c>
      <c r="L67" s="4" t="s">
        <v>20</v>
      </c>
    </row>
    <row r="68" customFormat="false" ht="22.35" hidden="false" customHeight="false" outlineLevel="0" collapsed="false">
      <c r="A68" s="7" t="s">
        <v>88</v>
      </c>
      <c r="B68" s="7" t="s">
        <v>14</v>
      </c>
      <c r="C68" s="7" t="s">
        <v>15</v>
      </c>
      <c r="D68" s="7" t="s">
        <v>16</v>
      </c>
      <c r="E68" s="7" t="s">
        <v>27</v>
      </c>
      <c r="F68" s="8" t="n">
        <v>4.198</v>
      </c>
      <c r="G68" s="9" t="n">
        <v>0</v>
      </c>
      <c r="H68" s="9" t="n">
        <v>0</v>
      </c>
      <c r="I68" s="9" t="n">
        <v>0</v>
      </c>
      <c r="J68" s="7" t="s">
        <v>18</v>
      </c>
      <c r="K68" s="7" t="s">
        <v>19</v>
      </c>
      <c r="L68" s="7" t="s">
        <v>20</v>
      </c>
    </row>
    <row r="69" customFormat="false" ht="22.35" hidden="false" customHeight="false" outlineLevel="0" collapsed="false">
      <c r="A69" s="4" t="s">
        <v>89</v>
      </c>
      <c r="B69" s="4" t="s">
        <v>14</v>
      </c>
      <c r="C69" s="4" t="s">
        <v>15</v>
      </c>
      <c r="D69" s="4" t="s">
        <v>16</v>
      </c>
      <c r="E69" s="4" t="s">
        <v>27</v>
      </c>
      <c r="F69" s="5" t="n">
        <v>4.2128</v>
      </c>
      <c r="G69" s="6" t="n">
        <v>0</v>
      </c>
      <c r="H69" s="6" t="n">
        <v>0</v>
      </c>
      <c r="I69" s="6" t="n">
        <v>0</v>
      </c>
      <c r="J69" s="4" t="s">
        <v>18</v>
      </c>
      <c r="K69" s="4" t="s">
        <v>19</v>
      </c>
      <c r="L69" s="4" t="s">
        <v>20</v>
      </c>
    </row>
    <row r="70" customFormat="false" ht="22.35" hidden="false" customHeight="false" outlineLevel="0" collapsed="false">
      <c r="A70" s="7" t="s">
        <v>90</v>
      </c>
      <c r="B70" s="7" t="s">
        <v>14</v>
      </c>
      <c r="C70" s="7" t="s">
        <v>15</v>
      </c>
      <c r="D70" s="7" t="s">
        <v>16</v>
      </c>
      <c r="E70" s="7" t="s">
        <v>27</v>
      </c>
      <c r="F70" s="8" t="n">
        <v>4.6352</v>
      </c>
      <c r="G70" s="9" t="n">
        <v>0</v>
      </c>
      <c r="H70" s="9" t="n">
        <v>0</v>
      </c>
      <c r="I70" s="9" t="n">
        <v>0</v>
      </c>
      <c r="J70" s="7" t="s">
        <v>18</v>
      </c>
      <c r="K70" s="7" t="s">
        <v>19</v>
      </c>
      <c r="L70" s="7" t="s">
        <v>20</v>
      </c>
    </row>
    <row r="71" customFormat="false" ht="22.35" hidden="false" customHeight="false" outlineLevel="0" collapsed="false">
      <c r="A71" s="4" t="s">
        <v>91</v>
      </c>
      <c r="B71" s="4" t="s">
        <v>14</v>
      </c>
      <c r="C71" s="4" t="s">
        <v>15</v>
      </c>
      <c r="D71" s="4" t="s">
        <v>16</v>
      </c>
      <c r="E71" s="4" t="s">
        <v>27</v>
      </c>
      <c r="F71" s="5" t="n">
        <v>4.7258</v>
      </c>
      <c r="G71" s="6" t="n">
        <v>0</v>
      </c>
      <c r="H71" s="6" t="n">
        <v>0</v>
      </c>
      <c r="I71" s="6" t="n">
        <v>0</v>
      </c>
      <c r="J71" s="4" t="s">
        <v>18</v>
      </c>
      <c r="K71" s="4" t="s">
        <v>19</v>
      </c>
      <c r="L71" s="4" t="s">
        <v>20</v>
      </c>
    </row>
    <row r="72" customFormat="false" ht="22.35" hidden="false" customHeight="false" outlineLevel="0" collapsed="false">
      <c r="A72" s="7" t="s">
        <v>92</v>
      </c>
      <c r="B72" s="7" t="s">
        <v>14</v>
      </c>
      <c r="C72" s="7" t="s">
        <v>15</v>
      </c>
      <c r="D72" s="7" t="s">
        <v>16</v>
      </c>
      <c r="E72" s="7" t="s">
        <v>27</v>
      </c>
      <c r="F72" s="8" t="n">
        <v>4.5176</v>
      </c>
      <c r="G72" s="9" t="n">
        <v>0</v>
      </c>
      <c r="H72" s="9" t="n">
        <v>0</v>
      </c>
      <c r="I72" s="9" t="n">
        <v>0</v>
      </c>
      <c r="J72" s="7" t="s">
        <v>18</v>
      </c>
      <c r="K72" s="7" t="s">
        <v>19</v>
      </c>
      <c r="L72" s="7" t="s">
        <v>20</v>
      </c>
    </row>
    <row r="73" customFormat="false" ht="22.35" hidden="false" customHeight="false" outlineLevel="0" collapsed="false">
      <c r="A73" s="4" t="s">
        <v>93</v>
      </c>
      <c r="B73" s="4" t="s">
        <v>14</v>
      </c>
      <c r="C73" s="4" t="s">
        <v>15</v>
      </c>
      <c r="D73" s="4" t="s">
        <v>16</v>
      </c>
      <c r="E73" s="4" t="s">
        <v>27</v>
      </c>
      <c r="F73" s="5" t="n">
        <v>4.4104</v>
      </c>
      <c r="G73" s="6" t="n">
        <v>0</v>
      </c>
      <c r="H73" s="6" t="n">
        <v>0</v>
      </c>
      <c r="I73" s="6" t="n">
        <v>0</v>
      </c>
      <c r="J73" s="4" t="s">
        <v>18</v>
      </c>
      <c r="K73" s="4" t="s">
        <v>19</v>
      </c>
      <c r="L73" s="4" t="s">
        <v>20</v>
      </c>
    </row>
    <row r="74" customFormat="false" ht="22.35" hidden="false" customHeight="false" outlineLevel="0" collapsed="false">
      <c r="A74" s="7" t="s">
        <v>94</v>
      </c>
      <c r="B74" s="7" t="s">
        <v>14</v>
      </c>
      <c r="C74" s="7" t="s">
        <v>15</v>
      </c>
      <c r="D74" s="7" t="s">
        <v>16</v>
      </c>
      <c r="E74" s="7" t="s">
        <v>27</v>
      </c>
      <c r="F74" s="8" t="n">
        <v>4.3892</v>
      </c>
      <c r="G74" s="9" t="n">
        <v>0</v>
      </c>
      <c r="H74" s="9" t="n">
        <v>0</v>
      </c>
      <c r="I74" s="9" t="n">
        <v>0</v>
      </c>
      <c r="J74" s="7" t="s">
        <v>18</v>
      </c>
      <c r="K74" s="7" t="s">
        <v>19</v>
      </c>
      <c r="L74" s="7" t="s">
        <v>20</v>
      </c>
    </row>
    <row r="75" customFormat="false" ht="22.35" hidden="false" customHeight="false" outlineLevel="0" collapsed="false">
      <c r="A75" s="4" t="s">
        <v>95</v>
      </c>
      <c r="B75" s="4" t="s">
        <v>14</v>
      </c>
      <c r="C75" s="4" t="s">
        <v>15</v>
      </c>
      <c r="D75" s="4" t="s">
        <v>16</v>
      </c>
      <c r="E75" s="4" t="s">
        <v>27</v>
      </c>
      <c r="F75" s="5" t="n">
        <v>4.349</v>
      </c>
      <c r="G75" s="6" t="n">
        <v>0</v>
      </c>
      <c r="H75" s="6" t="n">
        <v>0</v>
      </c>
      <c r="I75" s="6" t="n">
        <v>0</v>
      </c>
      <c r="J75" s="4" t="s">
        <v>18</v>
      </c>
      <c r="K75" s="4" t="s">
        <v>19</v>
      </c>
      <c r="L75" s="4" t="s">
        <v>20</v>
      </c>
    </row>
    <row r="76" customFormat="false" ht="22.35" hidden="false" customHeight="false" outlineLevel="0" collapsed="false">
      <c r="A76" s="7" t="s">
        <v>96</v>
      </c>
      <c r="B76" s="7" t="s">
        <v>14</v>
      </c>
      <c r="C76" s="7" t="s">
        <v>15</v>
      </c>
      <c r="D76" s="7" t="s">
        <v>16</v>
      </c>
      <c r="E76" s="7" t="s">
        <v>27</v>
      </c>
      <c r="F76" s="8" t="n">
        <v>4.32</v>
      </c>
      <c r="G76" s="9" t="n">
        <v>0</v>
      </c>
      <c r="H76" s="9" t="n">
        <v>0</v>
      </c>
      <c r="I76" s="9" t="n">
        <v>0</v>
      </c>
      <c r="J76" s="7" t="s">
        <v>18</v>
      </c>
      <c r="K76" s="7" t="s">
        <v>19</v>
      </c>
      <c r="L76" s="7" t="s">
        <v>20</v>
      </c>
    </row>
    <row r="77" customFormat="false" ht="22.35" hidden="false" customHeight="false" outlineLevel="0" collapsed="false">
      <c r="A77" s="4" t="s">
        <v>97</v>
      </c>
      <c r="B77" s="4" t="s">
        <v>14</v>
      </c>
      <c r="C77" s="4" t="s">
        <v>15</v>
      </c>
      <c r="D77" s="4" t="s">
        <v>16</v>
      </c>
      <c r="E77" s="4" t="s">
        <v>27</v>
      </c>
      <c r="F77" s="5" t="n">
        <v>4.7753</v>
      </c>
      <c r="G77" s="6" t="n">
        <v>0</v>
      </c>
      <c r="H77" s="6" t="n">
        <v>0</v>
      </c>
      <c r="I77" s="6" t="n">
        <v>0</v>
      </c>
      <c r="J77" s="4" t="s">
        <v>18</v>
      </c>
      <c r="K77" s="4" t="s">
        <v>19</v>
      </c>
      <c r="L77" s="4" t="s">
        <v>20</v>
      </c>
    </row>
    <row r="78" customFormat="false" ht="22.35" hidden="false" customHeight="false" outlineLevel="0" collapsed="false">
      <c r="A78" s="7" t="s">
        <v>98</v>
      </c>
      <c r="B78" s="7" t="s">
        <v>14</v>
      </c>
      <c r="C78" s="7" t="s">
        <v>15</v>
      </c>
      <c r="D78" s="7" t="s">
        <v>16</v>
      </c>
      <c r="E78" s="7" t="s">
        <v>27</v>
      </c>
      <c r="F78" s="8" t="n">
        <v>3.358</v>
      </c>
      <c r="G78" s="9" t="n">
        <v>0</v>
      </c>
      <c r="H78" s="9" t="n">
        <v>0</v>
      </c>
      <c r="I78" s="9" t="n">
        <v>0</v>
      </c>
      <c r="J78" s="7" t="s">
        <v>18</v>
      </c>
      <c r="K78" s="7" t="s">
        <v>19</v>
      </c>
      <c r="L78" s="7" t="s">
        <v>20</v>
      </c>
    </row>
    <row r="79" customFormat="false" ht="22.35" hidden="false" customHeight="false" outlineLevel="0" collapsed="false">
      <c r="A79" s="4" t="s">
        <v>99</v>
      </c>
      <c r="B79" s="4" t="s">
        <v>14</v>
      </c>
      <c r="C79" s="4" t="s">
        <v>15</v>
      </c>
      <c r="D79" s="4" t="s">
        <v>16</v>
      </c>
      <c r="E79" s="4" t="s">
        <v>27</v>
      </c>
      <c r="F79" s="5" t="n">
        <v>4.9754</v>
      </c>
      <c r="G79" s="6" t="n">
        <v>0</v>
      </c>
      <c r="H79" s="6" t="n">
        <v>0</v>
      </c>
      <c r="I79" s="6" t="n">
        <v>0</v>
      </c>
      <c r="J79" s="4" t="s">
        <v>18</v>
      </c>
      <c r="K79" s="4" t="s">
        <v>19</v>
      </c>
      <c r="L79" s="4" t="s">
        <v>20</v>
      </c>
    </row>
    <row r="80" customFormat="false" ht="22.35" hidden="false" customHeight="false" outlineLevel="0" collapsed="false">
      <c r="A80" s="7" t="s">
        <v>100</v>
      </c>
      <c r="B80" s="7" t="s">
        <v>14</v>
      </c>
      <c r="C80" s="7" t="s">
        <v>15</v>
      </c>
      <c r="D80" s="7" t="s">
        <v>16</v>
      </c>
      <c r="E80" s="7" t="s">
        <v>44</v>
      </c>
      <c r="F80" s="8" t="n">
        <v>14.19</v>
      </c>
      <c r="G80" s="9" t="n">
        <v>0</v>
      </c>
      <c r="H80" s="9" t="n">
        <v>0</v>
      </c>
      <c r="I80" s="9" t="n">
        <v>0</v>
      </c>
      <c r="J80" s="7" t="s">
        <v>18</v>
      </c>
      <c r="K80" s="7" t="s">
        <v>19</v>
      </c>
      <c r="L80" s="7" t="s">
        <v>20</v>
      </c>
    </row>
    <row r="81" customFormat="false" ht="22.35" hidden="false" customHeight="false" outlineLevel="0" collapsed="false">
      <c r="A81" s="4" t="s">
        <v>101</v>
      </c>
      <c r="B81" s="4" t="s">
        <v>14</v>
      </c>
      <c r="C81" s="4" t="s">
        <v>15</v>
      </c>
      <c r="D81" s="4" t="s">
        <v>16</v>
      </c>
      <c r="E81" s="4" t="s">
        <v>17</v>
      </c>
      <c r="F81" s="5" t="n">
        <v>2.1064</v>
      </c>
      <c r="G81" s="6" t="n">
        <v>0</v>
      </c>
      <c r="H81" s="6" t="n">
        <v>0</v>
      </c>
      <c r="I81" s="6" t="n">
        <v>0</v>
      </c>
      <c r="J81" s="4" t="s">
        <v>18</v>
      </c>
      <c r="K81" s="4" t="s">
        <v>19</v>
      </c>
      <c r="L81" s="4" t="s">
        <v>20</v>
      </c>
    </row>
    <row r="82" customFormat="false" ht="22.35" hidden="false" customHeight="false" outlineLevel="0" collapsed="false">
      <c r="A82" s="7" t="s">
        <v>102</v>
      </c>
      <c r="B82" s="7" t="s">
        <v>14</v>
      </c>
      <c r="C82" s="7" t="s">
        <v>15</v>
      </c>
      <c r="D82" s="7" t="s">
        <v>16</v>
      </c>
      <c r="E82" s="7" t="s">
        <v>27</v>
      </c>
      <c r="F82" s="8" t="n">
        <v>1.9785</v>
      </c>
      <c r="G82" s="9" t="n">
        <v>0</v>
      </c>
      <c r="H82" s="9" t="n">
        <v>0</v>
      </c>
      <c r="I82" s="9" t="n">
        <v>0</v>
      </c>
      <c r="J82" s="7" t="s">
        <v>18</v>
      </c>
      <c r="K82" s="7" t="s">
        <v>19</v>
      </c>
      <c r="L82" s="7" t="s">
        <v>20</v>
      </c>
    </row>
    <row r="83" customFormat="false" ht="22.35" hidden="false" customHeight="false" outlineLevel="0" collapsed="false">
      <c r="A83" s="4" t="s">
        <v>103</v>
      </c>
      <c r="B83" s="4" t="s">
        <v>14</v>
      </c>
      <c r="C83" s="4" t="s">
        <v>15</v>
      </c>
      <c r="D83" s="4" t="s">
        <v>16</v>
      </c>
      <c r="E83" s="4" t="s">
        <v>17</v>
      </c>
      <c r="F83" s="5" t="n">
        <v>2.3315</v>
      </c>
      <c r="G83" s="6" t="n">
        <v>0</v>
      </c>
      <c r="H83" s="6" t="n">
        <v>0</v>
      </c>
      <c r="I83" s="6" t="n">
        <v>0</v>
      </c>
      <c r="J83" s="4" t="s">
        <v>18</v>
      </c>
      <c r="K83" s="4" t="s">
        <v>19</v>
      </c>
      <c r="L83" s="4" t="s">
        <v>20</v>
      </c>
    </row>
    <row r="84" customFormat="false" ht="22.35" hidden="false" customHeight="false" outlineLevel="0" collapsed="false">
      <c r="A84" s="7" t="s">
        <v>104</v>
      </c>
      <c r="B84" s="7" t="s">
        <v>14</v>
      </c>
      <c r="C84" s="7" t="s">
        <v>15</v>
      </c>
      <c r="D84" s="7" t="s">
        <v>16</v>
      </c>
      <c r="E84" s="7" t="s">
        <v>17</v>
      </c>
      <c r="F84" s="8" t="n">
        <v>2.524</v>
      </c>
      <c r="G84" s="9" t="n">
        <v>0</v>
      </c>
      <c r="H84" s="9" t="n">
        <v>0</v>
      </c>
      <c r="I84" s="9" t="n">
        <v>0</v>
      </c>
      <c r="J84" s="7" t="s">
        <v>18</v>
      </c>
      <c r="K84" s="7" t="s">
        <v>19</v>
      </c>
      <c r="L84" s="7" t="s">
        <v>20</v>
      </c>
    </row>
    <row r="85" customFormat="false" ht="22.35" hidden="false" customHeight="false" outlineLevel="0" collapsed="false">
      <c r="A85" s="4" t="s">
        <v>105</v>
      </c>
      <c r="B85" s="4" t="s">
        <v>14</v>
      </c>
      <c r="C85" s="4" t="s">
        <v>15</v>
      </c>
      <c r="D85" s="4" t="s">
        <v>16</v>
      </c>
      <c r="E85" s="4" t="s">
        <v>27</v>
      </c>
      <c r="F85" s="5" t="n">
        <v>2.385</v>
      </c>
      <c r="G85" s="6" t="n">
        <v>0</v>
      </c>
      <c r="H85" s="6" t="n">
        <v>0</v>
      </c>
      <c r="I85" s="6" t="n">
        <v>0</v>
      </c>
      <c r="J85" s="4" t="s">
        <v>18</v>
      </c>
      <c r="K85" s="4" t="s">
        <v>19</v>
      </c>
      <c r="L85" s="4" t="s">
        <v>20</v>
      </c>
    </row>
    <row r="86" customFormat="false" ht="22.35" hidden="false" customHeight="false" outlineLevel="0" collapsed="false">
      <c r="A86" s="7" t="s">
        <v>106</v>
      </c>
      <c r="B86" s="7" t="s">
        <v>14</v>
      </c>
      <c r="C86" s="7" t="s">
        <v>15</v>
      </c>
      <c r="D86" s="7" t="s">
        <v>16</v>
      </c>
      <c r="E86" s="7" t="s">
        <v>17</v>
      </c>
      <c r="F86" s="8" t="n">
        <v>2.7717</v>
      </c>
      <c r="G86" s="9" t="n">
        <v>0</v>
      </c>
      <c r="H86" s="9" t="n">
        <v>0</v>
      </c>
      <c r="I86" s="9" t="n">
        <v>0</v>
      </c>
      <c r="J86" s="7" t="s">
        <v>18</v>
      </c>
      <c r="K86" s="7" t="s">
        <v>19</v>
      </c>
      <c r="L86" s="7" t="s">
        <v>20</v>
      </c>
    </row>
    <row r="87" customFormat="false" ht="22.35" hidden="false" customHeight="false" outlineLevel="0" collapsed="false">
      <c r="A87" s="4" t="s">
        <v>107</v>
      </c>
      <c r="B87" s="4" t="s">
        <v>14</v>
      </c>
      <c r="C87" s="4" t="s">
        <v>15</v>
      </c>
      <c r="D87" s="4" t="s">
        <v>16</v>
      </c>
      <c r="E87" s="4" t="s">
        <v>27</v>
      </c>
      <c r="F87" s="5" t="n">
        <v>2.2007</v>
      </c>
      <c r="G87" s="6" t="n">
        <v>0</v>
      </c>
      <c r="H87" s="6" t="n">
        <v>0</v>
      </c>
      <c r="I87" s="6" t="n">
        <v>0</v>
      </c>
      <c r="J87" s="4" t="s">
        <v>18</v>
      </c>
      <c r="K87" s="4" t="s">
        <v>19</v>
      </c>
      <c r="L87" s="4" t="s">
        <v>20</v>
      </c>
    </row>
    <row r="88" customFormat="false" ht="22.35" hidden="false" customHeight="false" outlineLevel="0" collapsed="false">
      <c r="A88" s="7" t="s">
        <v>108</v>
      </c>
      <c r="B88" s="7" t="s">
        <v>14</v>
      </c>
      <c r="C88" s="7" t="s">
        <v>15</v>
      </c>
      <c r="D88" s="7" t="s">
        <v>16</v>
      </c>
      <c r="E88" s="7" t="s">
        <v>27</v>
      </c>
      <c r="F88" s="8" t="n">
        <v>3.3889</v>
      </c>
      <c r="G88" s="9" t="n">
        <v>0</v>
      </c>
      <c r="H88" s="9" t="n">
        <v>0</v>
      </c>
      <c r="I88" s="9" t="n">
        <v>0</v>
      </c>
      <c r="J88" s="7" t="s">
        <v>18</v>
      </c>
      <c r="K88" s="7" t="s">
        <v>19</v>
      </c>
      <c r="L88" s="7" t="s">
        <v>20</v>
      </c>
    </row>
    <row r="89" customFormat="false" ht="22.35" hidden="false" customHeight="false" outlineLevel="0" collapsed="false">
      <c r="A89" s="4" t="s">
        <v>109</v>
      </c>
      <c r="B89" s="4" t="s">
        <v>14</v>
      </c>
      <c r="C89" s="4" t="s">
        <v>15</v>
      </c>
      <c r="D89" s="4" t="s">
        <v>16</v>
      </c>
      <c r="E89" s="4" t="s">
        <v>17</v>
      </c>
      <c r="F89" s="5" t="n">
        <v>2.5646</v>
      </c>
      <c r="G89" s="6" t="n">
        <v>0</v>
      </c>
      <c r="H89" s="6" t="n">
        <v>0</v>
      </c>
      <c r="I89" s="6" t="n">
        <v>0</v>
      </c>
      <c r="J89" s="4" t="s">
        <v>18</v>
      </c>
      <c r="K89" s="4" t="s">
        <v>19</v>
      </c>
      <c r="L89" s="4" t="s">
        <v>20</v>
      </c>
    </row>
    <row r="90" customFormat="false" ht="22.35" hidden="false" customHeight="false" outlineLevel="0" collapsed="false">
      <c r="A90" s="7" t="s">
        <v>110</v>
      </c>
      <c r="B90" s="7" t="s">
        <v>14</v>
      </c>
      <c r="C90" s="7" t="s">
        <v>15</v>
      </c>
      <c r="D90" s="7" t="s">
        <v>16</v>
      </c>
      <c r="E90" s="7" t="s">
        <v>27</v>
      </c>
      <c r="F90" s="8" t="n">
        <v>3.3751</v>
      </c>
      <c r="G90" s="9" t="n">
        <v>0</v>
      </c>
      <c r="H90" s="9" t="n">
        <v>0</v>
      </c>
      <c r="I90" s="9" t="n">
        <v>0</v>
      </c>
      <c r="J90" s="7" t="s">
        <v>18</v>
      </c>
      <c r="K90" s="7" t="s">
        <v>19</v>
      </c>
      <c r="L90" s="7" t="s">
        <v>20</v>
      </c>
    </row>
    <row r="91" customFormat="false" ht="22.35" hidden="false" customHeight="false" outlineLevel="0" collapsed="false">
      <c r="A91" s="4" t="s">
        <v>111</v>
      </c>
      <c r="B91" s="4" t="s">
        <v>14</v>
      </c>
      <c r="C91" s="4" t="s">
        <v>15</v>
      </c>
      <c r="D91" s="4" t="s">
        <v>16</v>
      </c>
      <c r="E91" s="4" t="s">
        <v>27</v>
      </c>
      <c r="F91" s="5" t="n">
        <v>2.4888</v>
      </c>
      <c r="G91" s="6" t="n">
        <v>0</v>
      </c>
      <c r="H91" s="6" t="n">
        <v>0</v>
      </c>
      <c r="I91" s="6" t="n">
        <v>0</v>
      </c>
      <c r="J91" s="4" t="s">
        <v>18</v>
      </c>
      <c r="K91" s="4" t="s">
        <v>19</v>
      </c>
      <c r="L91" s="4" t="s">
        <v>20</v>
      </c>
    </row>
    <row r="92" customFormat="false" ht="22.35" hidden="false" customHeight="false" outlineLevel="0" collapsed="false">
      <c r="A92" s="7" t="s">
        <v>112</v>
      </c>
      <c r="B92" s="7" t="s">
        <v>14</v>
      </c>
      <c r="C92" s="7" t="s">
        <v>15</v>
      </c>
      <c r="D92" s="7" t="s">
        <v>16</v>
      </c>
      <c r="E92" s="7" t="s">
        <v>27</v>
      </c>
      <c r="F92" s="8" t="n">
        <v>2.1705</v>
      </c>
      <c r="G92" s="9" t="n">
        <v>0</v>
      </c>
      <c r="H92" s="9" t="n">
        <v>0</v>
      </c>
      <c r="I92" s="9" t="n">
        <v>0</v>
      </c>
      <c r="J92" s="7" t="s">
        <v>18</v>
      </c>
      <c r="K92" s="7" t="s">
        <v>19</v>
      </c>
      <c r="L92" s="7" t="s">
        <v>20</v>
      </c>
    </row>
    <row r="93" customFormat="false" ht="22.35" hidden="false" customHeight="false" outlineLevel="0" collapsed="false">
      <c r="A93" s="4" t="s">
        <v>113</v>
      </c>
      <c r="B93" s="4" t="s">
        <v>14</v>
      </c>
      <c r="C93" s="4" t="s">
        <v>15</v>
      </c>
      <c r="D93" s="4" t="s">
        <v>16</v>
      </c>
      <c r="E93" s="4" t="s">
        <v>17</v>
      </c>
      <c r="F93" s="5" t="n">
        <v>2.5509</v>
      </c>
      <c r="G93" s="6" t="n">
        <v>0</v>
      </c>
      <c r="H93" s="6" t="n">
        <v>0</v>
      </c>
      <c r="I93" s="6" t="n">
        <v>0</v>
      </c>
      <c r="J93" s="4" t="s">
        <v>18</v>
      </c>
      <c r="K93" s="4" t="s">
        <v>19</v>
      </c>
      <c r="L93" s="4" t="s">
        <v>20</v>
      </c>
    </row>
    <row r="94" customFormat="false" ht="22.35" hidden="false" customHeight="false" outlineLevel="0" collapsed="false">
      <c r="A94" s="7" t="s">
        <v>114</v>
      </c>
      <c r="B94" s="7" t="s">
        <v>14</v>
      </c>
      <c r="C94" s="7" t="s">
        <v>15</v>
      </c>
      <c r="D94" s="7" t="s">
        <v>16</v>
      </c>
      <c r="E94" s="7" t="s">
        <v>17</v>
      </c>
      <c r="F94" s="8" t="n">
        <v>2.6927</v>
      </c>
      <c r="G94" s="9" t="n">
        <v>0</v>
      </c>
      <c r="H94" s="9" t="n">
        <v>0</v>
      </c>
      <c r="I94" s="9" t="n">
        <v>0</v>
      </c>
      <c r="J94" s="7" t="s">
        <v>18</v>
      </c>
      <c r="K94" s="7" t="s">
        <v>19</v>
      </c>
      <c r="L94" s="7" t="s">
        <v>20</v>
      </c>
    </row>
    <row r="95" customFormat="false" ht="22.35" hidden="false" customHeight="false" outlineLevel="0" collapsed="false">
      <c r="A95" s="4" t="s">
        <v>115</v>
      </c>
      <c r="B95" s="4" t="s">
        <v>14</v>
      </c>
      <c r="C95" s="4" t="s">
        <v>15</v>
      </c>
      <c r="D95" s="4" t="s">
        <v>16</v>
      </c>
      <c r="E95" s="4" t="s">
        <v>17</v>
      </c>
      <c r="F95" s="5" t="n">
        <v>2.3547</v>
      </c>
      <c r="G95" s="6" t="n">
        <v>0</v>
      </c>
      <c r="H95" s="6" t="n">
        <v>0</v>
      </c>
      <c r="I95" s="6" t="n">
        <v>0</v>
      </c>
      <c r="J95" s="4" t="s">
        <v>18</v>
      </c>
      <c r="K95" s="4" t="s">
        <v>19</v>
      </c>
      <c r="L95" s="4" t="s">
        <v>20</v>
      </c>
    </row>
    <row r="96" customFormat="false" ht="22.35" hidden="false" customHeight="false" outlineLevel="0" collapsed="false">
      <c r="A96" s="7" t="s">
        <v>116</v>
      </c>
      <c r="B96" s="7" t="s">
        <v>14</v>
      </c>
      <c r="C96" s="7" t="s">
        <v>15</v>
      </c>
      <c r="D96" s="7" t="s">
        <v>16</v>
      </c>
      <c r="E96" s="7" t="s">
        <v>27</v>
      </c>
      <c r="F96" s="8" t="n">
        <v>2.4393</v>
      </c>
      <c r="G96" s="9" t="n">
        <v>0</v>
      </c>
      <c r="H96" s="9" t="n">
        <v>0</v>
      </c>
      <c r="I96" s="9" t="n">
        <v>0</v>
      </c>
      <c r="J96" s="7" t="s">
        <v>18</v>
      </c>
      <c r="K96" s="7" t="s">
        <v>19</v>
      </c>
      <c r="L96" s="7" t="s">
        <v>20</v>
      </c>
    </row>
    <row r="97" customFormat="false" ht="22.35" hidden="false" customHeight="false" outlineLevel="0" collapsed="false">
      <c r="A97" s="4" t="s">
        <v>117</v>
      </c>
      <c r="B97" s="4" t="s">
        <v>14</v>
      </c>
      <c r="C97" s="4" t="s">
        <v>15</v>
      </c>
      <c r="D97" s="4" t="s">
        <v>16</v>
      </c>
      <c r="E97" s="4" t="s">
        <v>17</v>
      </c>
      <c r="F97" s="5" t="n">
        <v>2.6808</v>
      </c>
      <c r="G97" s="6" t="n">
        <v>0</v>
      </c>
      <c r="H97" s="6" t="n">
        <v>0</v>
      </c>
      <c r="I97" s="6" t="n">
        <v>0</v>
      </c>
      <c r="J97" s="4" t="s">
        <v>18</v>
      </c>
      <c r="K97" s="4" t="s">
        <v>19</v>
      </c>
      <c r="L97" s="4" t="s">
        <v>20</v>
      </c>
    </row>
    <row r="98" customFormat="false" ht="22.35" hidden="false" customHeight="false" outlineLevel="0" collapsed="false">
      <c r="A98" s="7" t="s">
        <v>118</v>
      </c>
      <c r="B98" s="7" t="s">
        <v>14</v>
      </c>
      <c r="C98" s="7" t="s">
        <v>15</v>
      </c>
      <c r="D98" s="7" t="s">
        <v>16</v>
      </c>
      <c r="E98" s="7" t="s">
        <v>17</v>
      </c>
      <c r="F98" s="8" t="n">
        <v>2.5884</v>
      </c>
      <c r="G98" s="9" t="n">
        <v>0</v>
      </c>
      <c r="H98" s="9" t="n">
        <v>0</v>
      </c>
      <c r="I98" s="9" t="n">
        <v>0</v>
      </c>
      <c r="J98" s="7" t="s">
        <v>18</v>
      </c>
      <c r="K98" s="7" t="s">
        <v>19</v>
      </c>
      <c r="L98" s="7" t="s">
        <v>20</v>
      </c>
    </row>
    <row r="99" customFormat="false" ht="22.35" hidden="false" customHeight="false" outlineLevel="0" collapsed="false">
      <c r="A99" s="4" t="s">
        <v>119</v>
      </c>
      <c r="B99" s="4" t="s">
        <v>14</v>
      </c>
      <c r="C99" s="4" t="s">
        <v>15</v>
      </c>
      <c r="D99" s="4" t="s">
        <v>16</v>
      </c>
      <c r="E99" s="4" t="s">
        <v>27</v>
      </c>
      <c r="F99" s="5" t="n">
        <v>2.8509</v>
      </c>
      <c r="G99" s="6" t="n">
        <v>0</v>
      </c>
      <c r="H99" s="6" t="n">
        <v>0</v>
      </c>
      <c r="I99" s="6" t="n">
        <v>0</v>
      </c>
      <c r="J99" s="4" t="s">
        <v>18</v>
      </c>
      <c r="K99" s="4" t="s">
        <v>19</v>
      </c>
      <c r="L99" s="4" t="s">
        <v>20</v>
      </c>
    </row>
    <row r="100" customFormat="false" ht="22.35" hidden="false" customHeight="false" outlineLevel="0" collapsed="false">
      <c r="A100" s="7" t="s">
        <v>120</v>
      </c>
      <c r="B100" s="7" t="s">
        <v>14</v>
      </c>
      <c r="C100" s="7" t="s">
        <v>15</v>
      </c>
      <c r="D100" s="7" t="s">
        <v>16</v>
      </c>
      <c r="E100" s="7" t="s">
        <v>27</v>
      </c>
      <c r="F100" s="8" t="n">
        <v>5.4526</v>
      </c>
      <c r="G100" s="9" t="n">
        <v>0</v>
      </c>
      <c r="H100" s="9" t="n">
        <v>0</v>
      </c>
      <c r="I100" s="9" t="n">
        <v>0</v>
      </c>
      <c r="J100" s="7" t="s">
        <v>18</v>
      </c>
      <c r="K100" s="7" t="s">
        <v>19</v>
      </c>
      <c r="L100" s="7" t="s">
        <v>20</v>
      </c>
    </row>
    <row r="101" customFormat="false" ht="22.35" hidden="false" customHeight="false" outlineLevel="0" collapsed="false">
      <c r="A101" s="4" t="s">
        <v>121</v>
      </c>
      <c r="B101" s="4" t="s">
        <v>14</v>
      </c>
      <c r="C101" s="4" t="s">
        <v>15</v>
      </c>
      <c r="D101" s="4" t="s">
        <v>16</v>
      </c>
      <c r="E101" s="4" t="s">
        <v>27</v>
      </c>
      <c r="F101" s="5" t="n">
        <v>2.5538</v>
      </c>
      <c r="G101" s="6" t="n">
        <v>0</v>
      </c>
      <c r="H101" s="6" t="n">
        <v>0</v>
      </c>
      <c r="I101" s="6" t="n">
        <v>0</v>
      </c>
      <c r="J101" s="4" t="s">
        <v>18</v>
      </c>
      <c r="K101" s="4" t="s">
        <v>19</v>
      </c>
      <c r="L101" s="4" t="s">
        <v>20</v>
      </c>
    </row>
    <row r="102" customFormat="false" ht="22.35" hidden="false" customHeight="false" outlineLevel="0" collapsed="false">
      <c r="A102" s="7" t="s">
        <v>122</v>
      </c>
      <c r="B102" s="7" t="s">
        <v>14</v>
      </c>
      <c r="C102" s="7" t="s">
        <v>15</v>
      </c>
      <c r="D102" s="7" t="s">
        <v>16</v>
      </c>
      <c r="E102" s="7" t="s">
        <v>27</v>
      </c>
      <c r="F102" s="8" t="n">
        <v>5.7826</v>
      </c>
      <c r="G102" s="9" t="n">
        <v>0</v>
      </c>
      <c r="H102" s="9" t="n">
        <v>0</v>
      </c>
      <c r="I102" s="9" t="n">
        <v>0</v>
      </c>
      <c r="J102" s="7" t="s">
        <v>18</v>
      </c>
      <c r="K102" s="7" t="s">
        <v>19</v>
      </c>
      <c r="L102" s="7" t="s">
        <v>20</v>
      </c>
    </row>
    <row r="103" customFormat="false" ht="22.35" hidden="false" customHeight="false" outlineLevel="0" collapsed="false">
      <c r="A103" s="4" t="s">
        <v>123</v>
      </c>
      <c r="B103" s="4" t="s">
        <v>14</v>
      </c>
      <c r="C103" s="4" t="s">
        <v>15</v>
      </c>
      <c r="D103" s="4" t="s">
        <v>16</v>
      </c>
      <c r="E103" s="4" t="s">
        <v>27</v>
      </c>
      <c r="F103" s="5" t="n">
        <v>3.7927</v>
      </c>
      <c r="G103" s="6" t="n">
        <v>0</v>
      </c>
      <c r="H103" s="6" t="n">
        <v>0</v>
      </c>
      <c r="I103" s="6" t="n">
        <v>0</v>
      </c>
      <c r="J103" s="4" t="s">
        <v>18</v>
      </c>
      <c r="K103" s="4" t="s">
        <v>19</v>
      </c>
      <c r="L103" s="4" t="s">
        <v>20</v>
      </c>
    </row>
    <row r="104" customFormat="false" ht="22.35" hidden="false" customHeight="false" outlineLevel="0" collapsed="false">
      <c r="A104" s="7" t="s">
        <v>124</v>
      </c>
      <c r="B104" s="7" t="s">
        <v>14</v>
      </c>
      <c r="C104" s="7" t="s">
        <v>15</v>
      </c>
      <c r="D104" s="7" t="s">
        <v>16</v>
      </c>
      <c r="E104" s="7" t="s">
        <v>17</v>
      </c>
      <c r="F104" s="8" t="n">
        <v>10.7081</v>
      </c>
      <c r="G104" s="9" t="n">
        <v>0</v>
      </c>
      <c r="H104" s="9" t="n">
        <v>0</v>
      </c>
      <c r="I104" s="9" t="n">
        <v>0</v>
      </c>
      <c r="J104" s="7" t="s">
        <v>18</v>
      </c>
      <c r="K104" s="7" t="s">
        <v>19</v>
      </c>
      <c r="L104" s="7" t="s">
        <v>20</v>
      </c>
    </row>
    <row r="105" customFormat="false" ht="22.35" hidden="false" customHeight="false" outlineLevel="0" collapsed="false">
      <c r="A105" s="4" t="s">
        <v>125</v>
      </c>
      <c r="B105" s="4" t="s">
        <v>14</v>
      </c>
      <c r="C105" s="4" t="s">
        <v>15</v>
      </c>
      <c r="D105" s="4" t="s">
        <v>16</v>
      </c>
      <c r="E105" s="4" t="s">
        <v>27</v>
      </c>
      <c r="F105" s="5" t="n">
        <v>4.356</v>
      </c>
      <c r="G105" s="6" t="n">
        <v>0</v>
      </c>
      <c r="H105" s="6" t="n">
        <v>0</v>
      </c>
      <c r="I105" s="6" t="n">
        <v>0</v>
      </c>
      <c r="J105" s="4" t="s">
        <v>18</v>
      </c>
      <c r="K105" s="4" t="s">
        <v>19</v>
      </c>
      <c r="L105" s="4" t="s">
        <v>20</v>
      </c>
    </row>
    <row r="106" customFormat="false" ht="22.35" hidden="false" customHeight="false" outlineLevel="0" collapsed="false">
      <c r="A106" s="7" t="s">
        <v>126</v>
      </c>
      <c r="B106" s="7" t="s">
        <v>14</v>
      </c>
      <c r="C106" s="7" t="s">
        <v>15</v>
      </c>
      <c r="D106" s="7" t="s">
        <v>16</v>
      </c>
      <c r="E106" s="7" t="s">
        <v>17</v>
      </c>
      <c r="F106" s="8" t="n">
        <v>4.3114</v>
      </c>
      <c r="G106" s="9" t="n">
        <v>0</v>
      </c>
      <c r="H106" s="9" t="n">
        <v>0</v>
      </c>
      <c r="I106" s="9" t="n">
        <v>0</v>
      </c>
      <c r="J106" s="7" t="s">
        <v>18</v>
      </c>
      <c r="K106" s="7" t="s">
        <v>19</v>
      </c>
      <c r="L106" s="7" t="s">
        <v>20</v>
      </c>
    </row>
    <row r="107" customFormat="false" ht="22.35" hidden="false" customHeight="false" outlineLevel="0" collapsed="false">
      <c r="A107" s="4" t="s">
        <v>127</v>
      </c>
      <c r="B107" s="4" t="s">
        <v>14</v>
      </c>
      <c r="C107" s="4" t="s">
        <v>15</v>
      </c>
      <c r="D107" s="4" t="s">
        <v>16</v>
      </c>
      <c r="E107" s="4" t="s">
        <v>27</v>
      </c>
      <c r="F107" s="5" t="n">
        <v>5.2831</v>
      </c>
      <c r="G107" s="6" t="n">
        <v>0</v>
      </c>
      <c r="H107" s="6" t="n">
        <v>0</v>
      </c>
      <c r="I107" s="6" t="n">
        <v>0</v>
      </c>
      <c r="J107" s="4" t="s">
        <v>18</v>
      </c>
      <c r="K107" s="4" t="s">
        <v>19</v>
      </c>
      <c r="L107" s="4" t="s">
        <v>20</v>
      </c>
    </row>
    <row r="108" customFormat="false" ht="22.35" hidden="false" customHeight="false" outlineLevel="0" collapsed="false">
      <c r="A108" s="7" t="s">
        <v>128</v>
      </c>
      <c r="B108" s="7" t="s">
        <v>14</v>
      </c>
      <c r="C108" s="7" t="s">
        <v>15</v>
      </c>
      <c r="D108" s="7" t="s">
        <v>16</v>
      </c>
      <c r="E108" s="7" t="s">
        <v>17</v>
      </c>
      <c r="F108" s="8" t="n">
        <v>4.3229</v>
      </c>
      <c r="G108" s="9" t="n">
        <v>0</v>
      </c>
      <c r="H108" s="9" t="n">
        <v>0</v>
      </c>
      <c r="I108" s="9" t="n">
        <v>0</v>
      </c>
      <c r="J108" s="7" t="s">
        <v>18</v>
      </c>
      <c r="K108" s="7" t="s">
        <v>19</v>
      </c>
      <c r="L108" s="7" t="s">
        <v>20</v>
      </c>
    </row>
    <row r="109" customFormat="false" ht="22.35" hidden="false" customHeight="false" outlineLevel="0" collapsed="false">
      <c r="A109" s="4" t="s">
        <v>129</v>
      </c>
      <c r="B109" s="4" t="s">
        <v>14</v>
      </c>
      <c r="C109" s="4" t="s">
        <v>15</v>
      </c>
      <c r="D109" s="4" t="s">
        <v>16</v>
      </c>
      <c r="E109" s="4" t="s">
        <v>27</v>
      </c>
      <c r="F109" s="5" t="n">
        <v>5.2671</v>
      </c>
      <c r="G109" s="6" t="n">
        <v>0</v>
      </c>
      <c r="H109" s="6" t="n">
        <v>0</v>
      </c>
      <c r="I109" s="6" t="n">
        <v>0</v>
      </c>
      <c r="J109" s="4" t="s">
        <v>18</v>
      </c>
      <c r="K109" s="4" t="s">
        <v>19</v>
      </c>
      <c r="L109" s="4" t="s">
        <v>20</v>
      </c>
    </row>
    <row r="110" customFormat="false" ht="22.35" hidden="false" customHeight="false" outlineLevel="0" collapsed="false">
      <c r="A110" s="7" t="s">
        <v>130</v>
      </c>
      <c r="B110" s="7" t="s">
        <v>14</v>
      </c>
      <c r="C110" s="7" t="s">
        <v>15</v>
      </c>
      <c r="D110" s="7" t="s">
        <v>16</v>
      </c>
      <c r="E110" s="7" t="s">
        <v>27</v>
      </c>
      <c r="F110" s="8" t="n">
        <v>5.205</v>
      </c>
      <c r="G110" s="9" t="n">
        <v>0</v>
      </c>
      <c r="H110" s="9" t="n">
        <v>0</v>
      </c>
      <c r="I110" s="9" t="n">
        <v>0</v>
      </c>
      <c r="J110" s="7" t="s">
        <v>18</v>
      </c>
      <c r="K110" s="7" t="s">
        <v>19</v>
      </c>
      <c r="L110" s="7" t="s">
        <v>20</v>
      </c>
    </row>
    <row r="111" customFormat="false" ht="22.35" hidden="false" customHeight="false" outlineLevel="0" collapsed="false">
      <c r="A111" s="4" t="s">
        <v>131</v>
      </c>
      <c r="B111" s="4" t="s">
        <v>14</v>
      </c>
      <c r="C111" s="4" t="s">
        <v>15</v>
      </c>
      <c r="D111" s="4" t="s">
        <v>16</v>
      </c>
      <c r="E111" s="4" t="s">
        <v>17</v>
      </c>
      <c r="F111" s="5" t="n">
        <v>4.5724</v>
      </c>
      <c r="G111" s="6" t="n">
        <v>0</v>
      </c>
      <c r="H111" s="6" t="n">
        <v>0</v>
      </c>
      <c r="I111" s="6" t="n">
        <v>0</v>
      </c>
      <c r="J111" s="4" t="s">
        <v>18</v>
      </c>
      <c r="K111" s="4" t="s">
        <v>19</v>
      </c>
      <c r="L111" s="4" t="s">
        <v>20</v>
      </c>
    </row>
    <row r="112" customFormat="false" ht="22.35" hidden="false" customHeight="false" outlineLevel="0" collapsed="false">
      <c r="A112" s="7" t="s">
        <v>132</v>
      </c>
      <c r="B112" s="7" t="s">
        <v>14</v>
      </c>
      <c r="C112" s="7" t="s">
        <v>15</v>
      </c>
      <c r="D112" s="7" t="s">
        <v>16</v>
      </c>
      <c r="E112" s="7" t="s">
        <v>17</v>
      </c>
      <c r="F112" s="8" t="n">
        <v>4.3235</v>
      </c>
      <c r="G112" s="9" t="n">
        <v>0</v>
      </c>
      <c r="H112" s="9" t="n">
        <v>0</v>
      </c>
      <c r="I112" s="9" t="n">
        <v>0</v>
      </c>
      <c r="J112" s="7" t="s">
        <v>18</v>
      </c>
      <c r="K112" s="7" t="s">
        <v>19</v>
      </c>
      <c r="L112" s="7" t="s">
        <v>20</v>
      </c>
    </row>
    <row r="113" customFormat="false" ht="22.35" hidden="false" customHeight="false" outlineLevel="0" collapsed="false">
      <c r="A113" s="4" t="s">
        <v>133</v>
      </c>
      <c r="B113" s="4" t="s">
        <v>14</v>
      </c>
      <c r="C113" s="4" t="s">
        <v>15</v>
      </c>
      <c r="D113" s="4" t="s">
        <v>16</v>
      </c>
      <c r="E113" s="4" t="s">
        <v>27</v>
      </c>
      <c r="F113" s="5" t="n">
        <v>5.1996</v>
      </c>
      <c r="G113" s="6" t="n">
        <v>0</v>
      </c>
      <c r="H113" s="6" t="n">
        <v>0</v>
      </c>
      <c r="I113" s="6" t="n">
        <v>0</v>
      </c>
      <c r="J113" s="4" t="s">
        <v>18</v>
      </c>
      <c r="K113" s="4" t="s">
        <v>19</v>
      </c>
      <c r="L113" s="4" t="s">
        <v>20</v>
      </c>
    </row>
    <row r="114" customFormat="false" ht="22.35" hidden="false" customHeight="false" outlineLevel="0" collapsed="false">
      <c r="A114" s="7" t="s">
        <v>134</v>
      </c>
      <c r="B114" s="7" t="s">
        <v>14</v>
      </c>
      <c r="C114" s="7" t="s">
        <v>15</v>
      </c>
      <c r="D114" s="7" t="s">
        <v>16</v>
      </c>
      <c r="E114" s="7" t="s">
        <v>17</v>
      </c>
      <c r="F114" s="8" t="n">
        <v>4.4113</v>
      </c>
      <c r="G114" s="9" t="n">
        <v>0</v>
      </c>
      <c r="H114" s="9" t="n">
        <v>0</v>
      </c>
      <c r="I114" s="9" t="n">
        <v>0</v>
      </c>
      <c r="J114" s="7" t="s">
        <v>18</v>
      </c>
      <c r="K114" s="7" t="s">
        <v>19</v>
      </c>
      <c r="L114" s="7" t="s">
        <v>20</v>
      </c>
    </row>
    <row r="115" customFormat="false" ht="22.35" hidden="false" customHeight="false" outlineLevel="0" collapsed="false">
      <c r="A115" s="4" t="s">
        <v>135</v>
      </c>
      <c r="B115" s="4" t="s">
        <v>14</v>
      </c>
      <c r="C115" s="4" t="s">
        <v>15</v>
      </c>
      <c r="D115" s="4" t="s">
        <v>16</v>
      </c>
      <c r="E115" s="4" t="s">
        <v>27</v>
      </c>
      <c r="F115" s="5" t="n">
        <v>4.3948</v>
      </c>
      <c r="G115" s="6" t="n">
        <v>0</v>
      </c>
      <c r="H115" s="6" t="n">
        <v>0</v>
      </c>
      <c r="I115" s="6" t="n">
        <v>0</v>
      </c>
      <c r="J115" s="4" t="s">
        <v>18</v>
      </c>
      <c r="K115" s="4" t="s">
        <v>19</v>
      </c>
      <c r="L115" s="4" t="s">
        <v>20</v>
      </c>
    </row>
    <row r="116" customFormat="false" ht="22.35" hidden="false" customHeight="false" outlineLevel="0" collapsed="false">
      <c r="A116" s="7" t="s">
        <v>136</v>
      </c>
      <c r="B116" s="7" t="s">
        <v>14</v>
      </c>
      <c r="C116" s="7" t="s">
        <v>15</v>
      </c>
      <c r="D116" s="7" t="s">
        <v>16</v>
      </c>
      <c r="E116" s="7" t="s">
        <v>17</v>
      </c>
      <c r="F116" s="8" t="n">
        <v>5.2196</v>
      </c>
      <c r="G116" s="9" t="n">
        <v>0</v>
      </c>
      <c r="H116" s="9" t="n">
        <v>0</v>
      </c>
      <c r="I116" s="9" t="n">
        <v>0</v>
      </c>
      <c r="J116" s="7" t="s">
        <v>18</v>
      </c>
      <c r="K116" s="7" t="s">
        <v>19</v>
      </c>
      <c r="L116" s="7" t="s">
        <v>20</v>
      </c>
    </row>
    <row r="117" customFormat="false" ht="22.35" hidden="false" customHeight="false" outlineLevel="0" collapsed="false">
      <c r="A117" s="4" t="s">
        <v>137</v>
      </c>
      <c r="B117" s="4" t="s">
        <v>14</v>
      </c>
      <c r="C117" s="4" t="s">
        <v>15</v>
      </c>
      <c r="D117" s="4" t="s">
        <v>16</v>
      </c>
      <c r="E117" s="4" t="s">
        <v>44</v>
      </c>
      <c r="F117" s="5" t="n">
        <v>0.1644</v>
      </c>
      <c r="G117" s="6" t="n">
        <v>0</v>
      </c>
      <c r="H117" s="6" t="n">
        <v>0</v>
      </c>
      <c r="I117" s="6" t="n">
        <v>0</v>
      </c>
      <c r="J117" s="4" t="s">
        <v>18</v>
      </c>
      <c r="K117" s="4" t="s">
        <v>19</v>
      </c>
      <c r="L117" s="4" t="s">
        <v>20</v>
      </c>
    </row>
    <row r="118" customFormat="false" ht="22.35" hidden="false" customHeight="false" outlineLevel="0" collapsed="false">
      <c r="A118" s="7" t="s">
        <v>138</v>
      </c>
      <c r="B118" s="7" t="s">
        <v>14</v>
      </c>
      <c r="C118" s="7" t="s">
        <v>15</v>
      </c>
      <c r="D118" s="7" t="s">
        <v>16</v>
      </c>
      <c r="E118" s="7" t="s">
        <v>27</v>
      </c>
      <c r="F118" s="8" t="n">
        <v>10.8228</v>
      </c>
      <c r="G118" s="9" t="n">
        <v>0</v>
      </c>
      <c r="H118" s="9" t="n">
        <v>0</v>
      </c>
      <c r="I118" s="9" t="n">
        <v>0</v>
      </c>
      <c r="J118" s="7" t="s">
        <v>18</v>
      </c>
      <c r="K118" s="7" t="s">
        <v>19</v>
      </c>
      <c r="L118" s="7" t="s">
        <v>20</v>
      </c>
    </row>
    <row r="119" customFormat="false" ht="22.35" hidden="false" customHeight="false" outlineLevel="0" collapsed="false">
      <c r="A119" s="4" t="s">
        <v>139</v>
      </c>
      <c r="B119" s="4" t="s">
        <v>14</v>
      </c>
      <c r="C119" s="4" t="s">
        <v>15</v>
      </c>
      <c r="D119" s="4" t="s">
        <v>16</v>
      </c>
      <c r="E119" s="4" t="s">
        <v>27</v>
      </c>
      <c r="F119" s="5" t="n">
        <v>7.2666</v>
      </c>
      <c r="G119" s="6" t="n">
        <v>0</v>
      </c>
      <c r="H119" s="6" t="n">
        <v>0</v>
      </c>
      <c r="I119" s="6" t="n">
        <v>0</v>
      </c>
      <c r="J119" s="4" t="s">
        <v>18</v>
      </c>
      <c r="K119" s="4" t="s">
        <v>19</v>
      </c>
      <c r="L119" s="4" t="s">
        <v>20</v>
      </c>
    </row>
    <row r="120" customFormat="false" ht="22.35" hidden="false" customHeight="false" outlineLevel="0" collapsed="false">
      <c r="A120" s="7" t="s">
        <v>140</v>
      </c>
      <c r="B120" s="7" t="s">
        <v>14</v>
      </c>
      <c r="C120" s="7" t="s">
        <v>15</v>
      </c>
      <c r="D120" s="7" t="s">
        <v>16</v>
      </c>
      <c r="E120" s="7" t="s">
        <v>27</v>
      </c>
      <c r="F120" s="8" t="n">
        <v>2.1198</v>
      </c>
      <c r="G120" s="9" t="n">
        <v>0</v>
      </c>
      <c r="H120" s="9" t="n">
        <v>0</v>
      </c>
      <c r="I120" s="9" t="n">
        <v>0</v>
      </c>
      <c r="J120" s="7" t="s">
        <v>18</v>
      </c>
      <c r="K120" s="7" t="s">
        <v>19</v>
      </c>
      <c r="L120" s="7" t="s">
        <v>20</v>
      </c>
    </row>
    <row r="121" customFormat="false" ht="22.35" hidden="false" customHeight="false" outlineLevel="0" collapsed="false">
      <c r="A121" s="4" t="s">
        <v>141</v>
      </c>
      <c r="B121" s="4" t="s">
        <v>14</v>
      </c>
      <c r="C121" s="4" t="s">
        <v>15</v>
      </c>
      <c r="D121" s="4" t="s">
        <v>16</v>
      </c>
      <c r="E121" s="4" t="s">
        <v>27</v>
      </c>
      <c r="F121" s="5" t="n">
        <v>2.8344</v>
      </c>
      <c r="G121" s="6" t="n">
        <v>0</v>
      </c>
      <c r="H121" s="6" t="n">
        <v>0</v>
      </c>
      <c r="I121" s="6" t="n">
        <v>0</v>
      </c>
      <c r="J121" s="4" t="s">
        <v>18</v>
      </c>
      <c r="K121" s="4" t="s">
        <v>19</v>
      </c>
      <c r="L121" s="4" t="s">
        <v>20</v>
      </c>
    </row>
    <row r="122" customFormat="false" ht="22.35" hidden="false" customHeight="false" outlineLevel="0" collapsed="false">
      <c r="A122" s="7" t="s">
        <v>142</v>
      </c>
      <c r="B122" s="7" t="s">
        <v>14</v>
      </c>
      <c r="C122" s="7" t="s">
        <v>15</v>
      </c>
      <c r="D122" s="7" t="s">
        <v>16</v>
      </c>
      <c r="E122" s="7" t="s">
        <v>27</v>
      </c>
      <c r="F122" s="8" t="n">
        <v>2.4128</v>
      </c>
      <c r="G122" s="9" t="n">
        <v>0</v>
      </c>
      <c r="H122" s="9" t="n">
        <v>0</v>
      </c>
      <c r="I122" s="9" t="n">
        <v>0</v>
      </c>
      <c r="J122" s="7" t="s">
        <v>18</v>
      </c>
      <c r="K122" s="7" t="s">
        <v>19</v>
      </c>
      <c r="L122" s="7" t="s">
        <v>20</v>
      </c>
    </row>
    <row r="123" customFormat="false" ht="22.35" hidden="false" customHeight="false" outlineLevel="0" collapsed="false">
      <c r="A123" s="4" t="s">
        <v>143</v>
      </c>
      <c r="B123" s="4" t="s">
        <v>14</v>
      </c>
      <c r="C123" s="4" t="s">
        <v>15</v>
      </c>
      <c r="D123" s="4" t="s">
        <v>16</v>
      </c>
      <c r="E123" s="4" t="s">
        <v>17</v>
      </c>
      <c r="F123" s="5" t="n">
        <v>2.323</v>
      </c>
      <c r="G123" s="6" t="n">
        <v>0</v>
      </c>
      <c r="H123" s="6" t="n">
        <v>0</v>
      </c>
      <c r="I123" s="6" t="n">
        <v>0</v>
      </c>
      <c r="J123" s="4" t="s">
        <v>18</v>
      </c>
      <c r="K123" s="4" t="s">
        <v>19</v>
      </c>
      <c r="L123" s="4" t="s">
        <v>20</v>
      </c>
    </row>
    <row r="124" customFormat="false" ht="22.35" hidden="false" customHeight="false" outlineLevel="0" collapsed="false">
      <c r="A124" s="7" t="s">
        <v>144</v>
      </c>
      <c r="B124" s="7" t="s">
        <v>14</v>
      </c>
      <c r="C124" s="7" t="s">
        <v>15</v>
      </c>
      <c r="D124" s="7" t="s">
        <v>16</v>
      </c>
      <c r="E124" s="7" t="s">
        <v>27</v>
      </c>
      <c r="F124" s="8" t="n">
        <v>2.1776</v>
      </c>
      <c r="G124" s="9" t="n">
        <v>0</v>
      </c>
      <c r="H124" s="9" t="n">
        <v>0</v>
      </c>
      <c r="I124" s="9" t="n">
        <v>0</v>
      </c>
      <c r="J124" s="7" t="s">
        <v>18</v>
      </c>
      <c r="K124" s="7" t="s">
        <v>19</v>
      </c>
      <c r="L124" s="7" t="s">
        <v>20</v>
      </c>
    </row>
    <row r="125" customFormat="false" ht="22.35" hidden="false" customHeight="false" outlineLevel="0" collapsed="false">
      <c r="A125" s="4" t="s">
        <v>145</v>
      </c>
      <c r="B125" s="4" t="s">
        <v>14</v>
      </c>
      <c r="C125" s="4" t="s">
        <v>15</v>
      </c>
      <c r="D125" s="4" t="s">
        <v>16</v>
      </c>
      <c r="E125" s="4" t="s">
        <v>27</v>
      </c>
      <c r="F125" s="5" t="n">
        <v>5.0563</v>
      </c>
      <c r="G125" s="6" t="n">
        <v>0</v>
      </c>
      <c r="H125" s="6" t="n">
        <v>0</v>
      </c>
      <c r="I125" s="6" t="n">
        <v>0</v>
      </c>
      <c r="J125" s="4" t="s">
        <v>18</v>
      </c>
      <c r="K125" s="4" t="s">
        <v>19</v>
      </c>
      <c r="L125" s="4" t="s">
        <v>20</v>
      </c>
    </row>
    <row r="126" customFormat="false" ht="22.35" hidden="false" customHeight="false" outlineLevel="0" collapsed="false">
      <c r="A126" s="7" t="s">
        <v>146</v>
      </c>
      <c r="B126" s="7" t="s">
        <v>14</v>
      </c>
      <c r="C126" s="7" t="s">
        <v>15</v>
      </c>
      <c r="D126" s="7" t="s">
        <v>16</v>
      </c>
      <c r="E126" s="7" t="s">
        <v>27</v>
      </c>
      <c r="F126" s="8" t="n">
        <v>5.055</v>
      </c>
      <c r="G126" s="9" t="n">
        <v>0</v>
      </c>
      <c r="H126" s="9" t="n">
        <v>0</v>
      </c>
      <c r="I126" s="9" t="n">
        <v>0</v>
      </c>
      <c r="J126" s="7" t="s">
        <v>18</v>
      </c>
      <c r="K126" s="7" t="s">
        <v>19</v>
      </c>
      <c r="L126" s="7" t="s">
        <v>20</v>
      </c>
    </row>
    <row r="127" customFormat="false" ht="22.35" hidden="false" customHeight="false" outlineLevel="0" collapsed="false">
      <c r="A127" s="4" t="s">
        <v>147</v>
      </c>
      <c r="B127" s="4" t="s">
        <v>14</v>
      </c>
      <c r="C127" s="4" t="s">
        <v>15</v>
      </c>
      <c r="D127" s="4" t="s">
        <v>16</v>
      </c>
      <c r="E127" s="4" t="s">
        <v>27</v>
      </c>
      <c r="F127" s="5" t="n">
        <v>5.0596</v>
      </c>
      <c r="G127" s="6" t="n">
        <v>0</v>
      </c>
      <c r="H127" s="6" t="n">
        <v>0</v>
      </c>
      <c r="I127" s="6" t="n">
        <v>0</v>
      </c>
      <c r="J127" s="4" t="s">
        <v>18</v>
      </c>
      <c r="K127" s="4" t="s">
        <v>19</v>
      </c>
      <c r="L127" s="4" t="s">
        <v>20</v>
      </c>
    </row>
    <row r="128" customFormat="false" ht="22.35" hidden="false" customHeight="false" outlineLevel="0" collapsed="false">
      <c r="A128" s="7" t="s">
        <v>148</v>
      </c>
      <c r="B128" s="7" t="s">
        <v>14</v>
      </c>
      <c r="C128" s="7" t="s">
        <v>15</v>
      </c>
      <c r="D128" s="7" t="s">
        <v>16</v>
      </c>
      <c r="E128" s="7" t="s">
        <v>17</v>
      </c>
      <c r="F128" s="8" t="n">
        <v>5.1199</v>
      </c>
      <c r="G128" s="9" t="n">
        <v>0</v>
      </c>
      <c r="H128" s="9" t="n">
        <v>0</v>
      </c>
      <c r="I128" s="9" t="n">
        <v>0</v>
      </c>
      <c r="J128" s="7" t="s">
        <v>18</v>
      </c>
      <c r="K128" s="7" t="s">
        <v>19</v>
      </c>
      <c r="L128" s="7" t="s">
        <v>20</v>
      </c>
    </row>
    <row r="129" customFormat="false" ht="22.35" hidden="false" customHeight="false" outlineLevel="0" collapsed="false">
      <c r="A129" s="4" t="s">
        <v>149</v>
      </c>
      <c r="B129" s="4" t="s">
        <v>14</v>
      </c>
      <c r="C129" s="4" t="s">
        <v>15</v>
      </c>
      <c r="D129" s="4" t="s">
        <v>16</v>
      </c>
      <c r="E129" s="4" t="s">
        <v>27</v>
      </c>
      <c r="F129" s="5" t="n">
        <v>4.5562</v>
      </c>
      <c r="G129" s="6" t="n">
        <v>0</v>
      </c>
      <c r="H129" s="6" t="n">
        <v>0</v>
      </c>
      <c r="I129" s="6" t="n">
        <v>0</v>
      </c>
      <c r="J129" s="4" t="s">
        <v>18</v>
      </c>
      <c r="K129" s="4" t="s">
        <v>19</v>
      </c>
      <c r="L129" s="4" t="s">
        <v>20</v>
      </c>
    </row>
    <row r="130" customFormat="false" ht="22.35" hidden="false" customHeight="false" outlineLevel="0" collapsed="false">
      <c r="A130" s="7" t="s">
        <v>150</v>
      </c>
      <c r="B130" s="7" t="s">
        <v>14</v>
      </c>
      <c r="C130" s="7" t="s">
        <v>15</v>
      </c>
      <c r="D130" s="7" t="s">
        <v>16</v>
      </c>
      <c r="E130" s="7" t="s">
        <v>17</v>
      </c>
      <c r="F130" s="8" t="n">
        <v>5.1239</v>
      </c>
      <c r="G130" s="9" t="n">
        <v>0</v>
      </c>
      <c r="H130" s="9" t="n">
        <v>0</v>
      </c>
      <c r="I130" s="9" t="n">
        <v>0</v>
      </c>
      <c r="J130" s="7" t="s">
        <v>18</v>
      </c>
      <c r="K130" s="7" t="s">
        <v>19</v>
      </c>
      <c r="L130" s="7" t="s">
        <v>20</v>
      </c>
    </row>
    <row r="131" customFormat="false" ht="22.35" hidden="false" customHeight="false" outlineLevel="0" collapsed="false">
      <c r="A131" s="4" t="s">
        <v>151</v>
      </c>
      <c r="B131" s="4" t="s">
        <v>14</v>
      </c>
      <c r="C131" s="4" t="s">
        <v>15</v>
      </c>
      <c r="D131" s="4" t="s">
        <v>16</v>
      </c>
      <c r="E131" s="4" t="s">
        <v>17</v>
      </c>
      <c r="F131" s="5" t="n">
        <v>3.2247</v>
      </c>
      <c r="G131" s="6" t="n">
        <v>0</v>
      </c>
      <c r="H131" s="6" t="n">
        <v>0</v>
      </c>
      <c r="I131" s="6" t="n">
        <v>0</v>
      </c>
      <c r="J131" s="4" t="s">
        <v>18</v>
      </c>
      <c r="K131" s="4" t="s">
        <v>19</v>
      </c>
      <c r="L131" s="4" t="s">
        <v>20</v>
      </c>
    </row>
    <row r="132" customFormat="false" ht="22.35" hidden="false" customHeight="false" outlineLevel="0" collapsed="false">
      <c r="A132" s="7" t="s">
        <v>152</v>
      </c>
      <c r="B132" s="7" t="s">
        <v>14</v>
      </c>
      <c r="C132" s="7" t="s">
        <v>15</v>
      </c>
      <c r="D132" s="7" t="s">
        <v>16</v>
      </c>
      <c r="E132" s="7" t="s">
        <v>27</v>
      </c>
      <c r="F132" s="8" t="n">
        <v>3.5055</v>
      </c>
      <c r="G132" s="9" t="n">
        <v>0</v>
      </c>
      <c r="H132" s="9" t="n">
        <v>0</v>
      </c>
      <c r="I132" s="9" t="n">
        <v>0</v>
      </c>
      <c r="J132" s="7" t="s">
        <v>18</v>
      </c>
      <c r="K132" s="7" t="s">
        <v>19</v>
      </c>
      <c r="L132" s="7" t="s">
        <v>20</v>
      </c>
    </row>
    <row r="133" customFormat="false" ht="22.35" hidden="false" customHeight="false" outlineLevel="0" collapsed="false">
      <c r="A133" s="4" t="s">
        <v>153</v>
      </c>
      <c r="B133" s="4" t="s">
        <v>14</v>
      </c>
      <c r="C133" s="4" t="s">
        <v>15</v>
      </c>
      <c r="D133" s="4" t="s">
        <v>16</v>
      </c>
      <c r="E133" s="4" t="s">
        <v>27</v>
      </c>
      <c r="F133" s="5" t="n">
        <v>3.3961</v>
      </c>
      <c r="G133" s="6" t="n">
        <v>0</v>
      </c>
      <c r="H133" s="6" t="n">
        <v>0</v>
      </c>
      <c r="I133" s="6" t="n">
        <v>0</v>
      </c>
      <c r="J133" s="4" t="s">
        <v>18</v>
      </c>
      <c r="K133" s="4" t="s">
        <v>19</v>
      </c>
      <c r="L133" s="4" t="s">
        <v>20</v>
      </c>
    </row>
    <row r="134" customFormat="false" ht="22.35" hidden="false" customHeight="false" outlineLevel="0" collapsed="false">
      <c r="A134" s="7" t="s">
        <v>154</v>
      </c>
      <c r="B134" s="7" t="s">
        <v>14</v>
      </c>
      <c r="C134" s="7" t="s">
        <v>15</v>
      </c>
      <c r="D134" s="7" t="s">
        <v>16</v>
      </c>
      <c r="E134" s="7" t="s">
        <v>27</v>
      </c>
      <c r="F134" s="8" t="n">
        <v>3.1939</v>
      </c>
      <c r="G134" s="9" t="n">
        <v>0</v>
      </c>
      <c r="H134" s="9" t="n">
        <v>0</v>
      </c>
      <c r="I134" s="9" t="n">
        <v>0</v>
      </c>
      <c r="J134" s="7" t="s">
        <v>18</v>
      </c>
      <c r="K134" s="7" t="s">
        <v>19</v>
      </c>
      <c r="L134" s="7" t="s">
        <v>20</v>
      </c>
    </row>
    <row r="135" customFormat="false" ht="22.35" hidden="false" customHeight="false" outlineLevel="0" collapsed="false">
      <c r="A135" s="4" t="s">
        <v>155</v>
      </c>
      <c r="B135" s="4" t="s">
        <v>14</v>
      </c>
      <c r="C135" s="4" t="s">
        <v>15</v>
      </c>
      <c r="D135" s="4" t="s">
        <v>16</v>
      </c>
      <c r="E135" s="4" t="s">
        <v>17</v>
      </c>
      <c r="F135" s="5" t="n">
        <v>4.8488</v>
      </c>
      <c r="G135" s="6" t="n">
        <v>0</v>
      </c>
      <c r="H135" s="6" t="n">
        <v>0</v>
      </c>
      <c r="I135" s="6" t="n">
        <v>0</v>
      </c>
      <c r="J135" s="4" t="s">
        <v>18</v>
      </c>
      <c r="K135" s="4" t="s">
        <v>19</v>
      </c>
      <c r="L135" s="4" t="s">
        <v>20</v>
      </c>
    </row>
    <row r="136" customFormat="false" ht="22.35" hidden="false" customHeight="false" outlineLevel="0" collapsed="false">
      <c r="A136" s="7" t="s">
        <v>156</v>
      </c>
      <c r="B136" s="7" t="s">
        <v>14</v>
      </c>
      <c r="C136" s="7" t="s">
        <v>15</v>
      </c>
      <c r="D136" s="7" t="s">
        <v>16</v>
      </c>
      <c r="E136" s="7" t="s">
        <v>17</v>
      </c>
      <c r="F136" s="8" t="n">
        <v>5.0111</v>
      </c>
      <c r="G136" s="9" t="n">
        <v>0</v>
      </c>
      <c r="H136" s="9" t="n">
        <v>0</v>
      </c>
      <c r="I136" s="9" t="n">
        <v>0</v>
      </c>
      <c r="J136" s="7" t="s">
        <v>18</v>
      </c>
      <c r="K136" s="7" t="s">
        <v>19</v>
      </c>
      <c r="L136" s="7" t="s">
        <v>20</v>
      </c>
    </row>
    <row r="137" customFormat="false" ht="22.35" hidden="false" customHeight="false" outlineLevel="0" collapsed="false">
      <c r="A137" s="4" t="s">
        <v>157</v>
      </c>
      <c r="B137" s="4" t="s">
        <v>14</v>
      </c>
      <c r="C137" s="4" t="s">
        <v>15</v>
      </c>
      <c r="D137" s="4" t="s">
        <v>16</v>
      </c>
      <c r="E137" s="4" t="s">
        <v>17</v>
      </c>
      <c r="F137" s="5" t="n">
        <v>4.9892</v>
      </c>
      <c r="G137" s="6" t="n">
        <v>0</v>
      </c>
      <c r="H137" s="6" t="n">
        <v>0</v>
      </c>
      <c r="I137" s="6" t="n">
        <v>0</v>
      </c>
      <c r="J137" s="4" t="s">
        <v>18</v>
      </c>
      <c r="K137" s="4" t="s">
        <v>19</v>
      </c>
      <c r="L137" s="4" t="s">
        <v>20</v>
      </c>
    </row>
    <row r="138" customFormat="false" ht="22.35" hidden="false" customHeight="false" outlineLevel="0" collapsed="false">
      <c r="A138" s="7" t="s">
        <v>158</v>
      </c>
      <c r="B138" s="7" t="s">
        <v>14</v>
      </c>
      <c r="C138" s="7" t="s">
        <v>15</v>
      </c>
      <c r="D138" s="7" t="s">
        <v>16</v>
      </c>
      <c r="E138" s="7" t="s">
        <v>27</v>
      </c>
      <c r="F138" s="8" t="n">
        <v>5.4216</v>
      </c>
      <c r="G138" s="9" t="n">
        <v>0</v>
      </c>
      <c r="H138" s="9" t="n">
        <v>0</v>
      </c>
      <c r="I138" s="9" t="n">
        <v>0</v>
      </c>
      <c r="J138" s="7" t="s">
        <v>18</v>
      </c>
      <c r="K138" s="7" t="s">
        <v>19</v>
      </c>
      <c r="L138" s="7" t="s">
        <v>20</v>
      </c>
    </row>
    <row r="139" customFormat="false" ht="22.35" hidden="false" customHeight="false" outlineLevel="0" collapsed="false">
      <c r="A139" s="4" t="s">
        <v>159</v>
      </c>
      <c r="B139" s="4" t="s">
        <v>14</v>
      </c>
      <c r="C139" s="4" t="s">
        <v>15</v>
      </c>
      <c r="D139" s="4" t="s">
        <v>16</v>
      </c>
      <c r="E139" s="4" t="s">
        <v>27</v>
      </c>
      <c r="F139" s="5" t="n">
        <v>4.432</v>
      </c>
      <c r="G139" s="6" t="n">
        <v>0</v>
      </c>
      <c r="H139" s="6" t="n">
        <v>0</v>
      </c>
      <c r="I139" s="6" t="n">
        <v>0</v>
      </c>
      <c r="J139" s="4" t="s">
        <v>18</v>
      </c>
      <c r="K139" s="4" t="s">
        <v>19</v>
      </c>
      <c r="L139" s="4" t="s">
        <v>20</v>
      </c>
    </row>
    <row r="140" customFormat="false" ht="22.35" hidden="false" customHeight="false" outlineLevel="0" collapsed="false">
      <c r="A140" s="7" t="s">
        <v>160</v>
      </c>
      <c r="B140" s="7" t="s">
        <v>14</v>
      </c>
      <c r="C140" s="7" t="s">
        <v>15</v>
      </c>
      <c r="D140" s="7" t="s">
        <v>16</v>
      </c>
      <c r="E140" s="7" t="s">
        <v>27</v>
      </c>
      <c r="F140" s="8" t="n">
        <v>5.3224</v>
      </c>
      <c r="G140" s="9" t="n">
        <v>0</v>
      </c>
      <c r="H140" s="9" t="n">
        <v>0</v>
      </c>
      <c r="I140" s="9" t="n">
        <v>0</v>
      </c>
      <c r="J140" s="7" t="s">
        <v>18</v>
      </c>
      <c r="K140" s="7" t="s">
        <v>19</v>
      </c>
      <c r="L140" s="7" t="s">
        <v>20</v>
      </c>
    </row>
    <row r="141" customFormat="false" ht="22.35" hidden="false" customHeight="false" outlineLevel="0" collapsed="false">
      <c r="A141" s="4" t="s">
        <v>161</v>
      </c>
      <c r="B141" s="4" t="s">
        <v>14</v>
      </c>
      <c r="C141" s="4" t="s">
        <v>15</v>
      </c>
      <c r="D141" s="4" t="s">
        <v>16</v>
      </c>
      <c r="E141" s="4" t="s">
        <v>17</v>
      </c>
      <c r="F141" s="5" t="n">
        <v>5.3205</v>
      </c>
      <c r="G141" s="6" t="n">
        <v>0</v>
      </c>
      <c r="H141" s="6" t="n">
        <v>0</v>
      </c>
      <c r="I141" s="6" t="n">
        <v>0</v>
      </c>
      <c r="J141" s="4" t="s">
        <v>18</v>
      </c>
      <c r="K141" s="4" t="s">
        <v>19</v>
      </c>
      <c r="L141" s="4" t="s">
        <v>20</v>
      </c>
    </row>
    <row r="142" customFormat="false" ht="22.35" hidden="false" customHeight="false" outlineLevel="0" collapsed="false">
      <c r="A142" s="7" t="s">
        <v>162</v>
      </c>
      <c r="B142" s="7" t="s">
        <v>14</v>
      </c>
      <c r="C142" s="7" t="s">
        <v>15</v>
      </c>
      <c r="D142" s="7" t="s">
        <v>16</v>
      </c>
      <c r="E142" s="7" t="s">
        <v>27</v>
      </c>
      <c r="F142" s="8" t="n">
        <v>4.0388</v>
      </c>
      <c r="G142" s="9" t="n">
        <v>0</v>
      </c>
      <c r="H142" s="9" t="n">
        <v>0</v>
      </c>
      <c r="I142" s="9" t="n">
        <v>0</v>
      </c>
      <c r="J142" s="7" t="s">
        <v>18</v>
      </c>
      <c r="K142" s="7" t="s">
        <v>19</v>
      </c>
      <c r="L142" s="7" t="s">
        <v>20</v>
      </c>
    </row>
    <row r="143" customFormat="false" ht="22.35" hidden="false" customHeight="false" outlineLevel="0" collapsed="false">
      <c r="A143" s="4" t="s">
        <v>163</v>
      </c>
      <c r="B143" s="4" t="s">
        <v>14</v>
      </c>
      <c r="C143" s="4" t="s">
        <v>15</v>
      </c>
      <c r="D143" s="4" t="s">
        <v>16</v>
      </c>
      <c r="E143" s="4" t="s">
        <v>27</v>
      </c>
      <c r="F143" s="5" t="n">
        <v>4.41</v>
      </c>
      <c r="G143" s="6" t="n">
        <v>0</v>
      </c>
      <c r="H143" s="6" t="n">
        <v>0</v>
      </c>
      <c r="I143" s="6" t="n">
        <v>0</v>
      </c>
      <c r="J143" s="4" t="s">
        <v>18</v>
      </c>
      <c r="K143" s="4" t="s">
        <v>19</v>
      </c>
      <c r="L143" s="4" t="s">
        <v>20</v>
      </c>
    </row>
    <row r="144" customFormat="false" ht="22.35" hidden="false" customHeight="false" outlineLevel="0" collapsed="false">
      <c r="A144" s="7" t="s">
        <v>164</v>
      </c>
      <c r="B144" s="7" t="s">
        <v>14</v>
      </c>
      <c r="C144" s="7" t="s">
        <v>15</v>
      </c>
      <c r="D144" s="7" t="s">
        <v>16</v>
      </c>
      <c r="E144" s="7" t="s">
        <v>27</v>
      </c>
      <c r="F144" s="8" t="n">
        <v>5.2936</v>
      </c>
      <c r="G144" s="9" t="n">
        <v>0</v>
      </c>
      <c r="H144" s="9" t="n">
        <v>0</v>
      </c>
      <c r="I144" s="9" t="n">
        <v>0</v>
      </c>
      <c r="J144" s="7" t="s">
        <v>18</v>
      </c>
      <c r="K144" s="7" t="s">
        <v>19</v>
      </c>
      <c r="L144" s="7" t="s">
        <v>20</v>
      </c>
    </row>
    <row r="145" customFormat="false" ht="22.35" hidden="false" customHeight="false" outlineLevel="0" collapsed="false">
      <c r="A145" s="4" t="s">
        <v>165</v>
      </c>
      <c r="B145" s="4" t="s">
        <v>14</v>
      </c>
      <c r="C145" s="4" t="s">
        <v>15</v>
      </c>
      <c r="D145" s="4" t="s">
        <v>16</v>
      </c>
      <c r="E145" s="4" t="s">
        <v>44</v>
      </c>
      <c r="F145" s="5" t="n">
        <v>0.417</v>
      </c>
      <c r="G145" s="6" t="n">
        <v>0</v>
      </c>
      <c r="H145" s="6" t="n">
        <v>0</v>
      </c>
      <c r="I145" s="6" t="n">
        <v>0</v>
      </c>
      <c r="J145" s="4" t="s">
        <v>18</v>
      </c>
      <c r="K145" s="4" t="s">
        <v>19</v>
      </c>
      <c r="L145" s="4" t="s">
        <v>20</v>
      </c>
    </row>
    <row r="146" customFormat="false" ht="22.35" hidden="false" customHeight="false" outlineLevel="0" collapsed="false">
      <c r="A146" s="7" t="s">
        <v>166</v>
      </c>
      <c r="B146" s="7" t="s">
        <v>14</v>
      </c>
      <c r="C146" s="7" t="s">
        <v>15</v>
      </c>
      <c r="D146" s="7" t="s">
        <v>16</v>
      </c>
      <c r="E146" s="7" t="s">
        <v>17</v>
      </c>
      <c r="F146" s="8" t="n">
        <v>1.29</v>
      </c>
      <c r="G146" s="9" t="n">
        <v>0</v>
      </c>
      <c r="H146" s="9" t="n">
        <v>0</v>
      </c>
      <c r="I146" s="9" t="n">
        <v>0</v>
      </c>
      <c r="J146" s="7" t="s">
        <v>18</v>
      </c>
      <c r="K146" s="7" t="s">
        <v>19</v>
      </c>
      <c r="L146" s="7" t="s">
        <v>20</v>
      </c>
    </row>
    <row r="147" customFormat="false" ht="22.35" hidden="false" customHeight="false" outlineLevel="0" collapsed="false">
      <c r="A147" s="4" t="s">
        <v>167</v>
      </c>
      <c r="B147" s="4" t="s">
        <v>14</v>
      </c>
      <c r="C147" s="4" t="s">
        <v>15</v>
      </c>
      <c r="D147" s="4" t="s">
        <v>16</v>
      </c>
      <c r="E147" s="4" t="s">
        <v>27</v>
      </c>
      <c r="F147" s="5" t="n">
        <v>11.4938</v>
      </c>
      <c r="G147" s="6" t="n">
        <v>0</v>
      </c>
      <c r="H147" s="6" t="n">
        <v>0</v>
      </c>
      <c r="I147" s="6" t="n">
        <v>0</v>
      </c>
      <c r="J147" s="4" t="s">
        <v>18</v>
      </c>
      <c r="K147" s="4" t="s">
        <v>19</v>
      </c>
      <c r="L147" s="4" t="s">
        <v>20</v>
      </c>
    </row>
    <row r="148" customFormat="false" ht="22.35" hidden="false" customHeight="false" outlineLevel="0" collapsed="false">
      <c r="A148" s="7" t="s">
        <v>168</v>
      </c>
      <c r="B148" s="7" t="s">
        <v>14</v>
      </c>
      <c r="C148" s="7" t="s">
        <v>15</v>
      </c>
      <c r="D148" s="7" t="s">
        <v>16</v>
      </c>
      <c r="E148" s="7" t="s">
        <v>27</v>
      </c>
      <c r="F148" s="8" t="n">
        <v>11.5153</v>
      </c>
      <c r="G148" s="9" t="n">
        <v>0</v>
      </c>
      <c r="H148" s="9" t="n">
        <v>0</v>
      </c>
      <c r="I148" s="9" t="n">
        <v>0</v>
      </c>
      <c r="J148" s="7" t="s">
        <v>18</v>
      </c>
      <c r="K148" s="7" t="s">
        <v>19</v>
      </c>
      <c r="L148" s="7" t="s">
        <v>20</v>
      </c>
    </row>
    <row r="149" customFormat="false" ht="22.35" hidden="false" customHeight="false" outlineLevel="0" collapsed="false">
      <c r="A149" s="4" t="s">
        <v>169</v>
      </c>
      <c r="B149" s="4" t="s">
        <v>14</v>
      </c>
      <c r="C149" s="4" t="s">
        <v>15</v>
      </c>
      <c r="D149" s="4" t="s">
        <v>16</v>
      </c>
      <c r="E149" s="4" t="s">
        <v>17</v>
      </c>
      <c r="F149" s="5" t="n">
        <v>13.2772</v>
      </c>
      <c r="G149" s="6" t="n">
        <v>0</v>
      </c>
      <c r="H149" s="6" t="n">
        <v>0</v>
      </c>
      <c r="I149" s="6" t="n">
        <v>0</v>
      </c>
      <c r="J149" s="4" t="s">
        <v>18</v>
      </c>
      <c r="K149" s="4" t="s">
        <v>19</v>
      </c>
      <c r="L149" s="4" t="s">
        <v>20</v>
      </c>
    </row>
    <row r="150" customFormat="false" ht="22.35" hidden="false" customHeight="false" outlineLevel="0" collapsed="false">
      <c r="A150" s="7" t="s">
        <v>170</v>
      </c>
      <c r="B150" s="7" t="s">
        <v>14</v>
      </c>
      <c r="C150" s="7" t="s">
        <v>15</v>
      </c>
      <c r="D150" s="7" t="s">
        <v>16</v>
      </c>
      <c r="E150" s="7" t="s">
        <v>27</v>
      </c>
      <c r="F150" s="8" t="n">
        <v>12.0818</v>
      </c>
      <c r="G150" s="9" t="n">
        <v>0</v>
      </c>
      <c r="H150" s="9" t="n">
        <v>0</v>
      </c>
      <c r="I150" s="9" t="n">
        <v>0</v>
      </c>
      <c r="J150" s="7" t="s">
        <v>18</v>
      </c>
      <c r="K150" s="7" t="s">
        <v>19</v>
      </c>
      <c r="L150" s="7" t="s">
        <v>20</v>
      </c>
    </row>
    <row r="151" customFormat="false" ht="22.35" hidden="false" customHeight="false" outlineLevel="0" collapsed="false">
      <c r="A151" s="4" t="s">
        <v>171</v>
      </c>
      <c r="B151" s="4" t="s">
        <v>14</v>
      </c>
      <c r="C151" s="4" t="s">
        <v>15</v>
      </c>
      <c r="D151" s="4" t="s">
        <v>16</v>
      </c>
      <c r="E151" s="4" t="s">
        <v>27</v>
      </c>
      <c r="F151" s="5" t="n">
        <v>11.9935</v>
      </c>
      <c r="G151" s="6" t="n">
        <v>0</v>
      </c>
      <c r="H151" s="6" t="n">
        <v>0</v>
      </c>
      <c r="I151" s="6" t="n">
        <v>0</v>
      </c>
      <c r="J151" s="4" t="s">
        <v>18</v>
      </c>
      <c r="K151" s="4" t="s">
        <v>19</v>
      </c>
      <c r="L151" s="4" t="s">
        <v>20</v>
      </c>
    </row>
    <row r="152" customFormat="false" ht="22.35" hidden="false" customHeight="false" outlineLevel="0" collapsed="false">
      <c r="A152" s="7" t="s">
        <v>172</v>
      </c>
      <c r="B152" s="7" t="s">
        <v>14</v>
      </c>
      <c r="C152" s="7" t="s">
        <v>15</v>
      </c>
      <c r="D152" s="7" t="s">
        <v>16</v>
      </c>
      <c r="E152" s="7" t="s">
        <v>27</v>
      </c>
      <c r="F152" s="8" t="n">
        <v>10.0718</v>
      </c>
      <c r="G152" s="9" t="n">
        <v>0</v>
      </c>
      <c r="H152" s="9" t="n">
        <v>0</v>
      </c>
      <c r="I152" s="9" t="n">
        <v>0</v>
      </c>
      <c r="J152" s="7" t="s">
        <v>18</v>
      </c>
      <c r="K152" s="7" t="s">
        <v>19</v>
      </c>
      <c r="L152" s="7" t="s">
        <v>20</v>
      </c>
    </row>
    <row r="153" customFormat="false" ht="22.35" hidden="false" customHeight="false" outlineLevel="0" collapsed="false">
      <c r="A153" s="4" t="s">
        <v>173</v>
      </c>
      <c r="B153" s="4" t="s">
        <v>14</v>
      </c>
      <c r="C153" s="4" t="s">
        <v>15</v>
      </c>
      <c r="D153" s="4" t="s">
        <v>16</v>
      </c>
      <c r="E153" s="4" t="s">
        <v>27</v>
      </c>
      <c r="F153" s="5" t="n">
        <v>11.548</v>
      </c>
      <c r="G153" s="6" t="n">
        <v>0</v>
      </c>
      <c r="H153" s="6" t="n">
        <v>0</v>
      </c>
      <c r="I153" s="6" t="n">
        <v>0</v>
      </c>
      <c r="J153" s="4" t="s">
        <v>18</v>
      </c>
      <c r="K153" s="4" t="s">
        <v>19</v>
      </c>
      <c r="L153" s="4" t="s">
        <v>20</v>
      </c>
    </row>
    <row r="154" customFormat="false" ht="22.35" hidden="false" customHeight="false" outlineLevel="0" collapsed="false">
      <c r="A154" s="7" t="s">
        <v>174</v>
      </c>
      <c r="B154" s="7" t="s">
        <v>14</v>
      </c>
      <c r="C154" s="7" t="s">
        <v>15</v>
      </c>
      <c r="D154" s="7" t="s">
        <v>16</v>
      </c>
      <c r="E154" s="7" t="s">
        <v>17</v>
      </c>
      <c r="F154" s="8" t="n">
        <v>11.982</v>
      </c>
      <c r="G154" s="9" t="n">
        <v>0</v>
      </c>
      <c r="H154" s="9" t="n">
        <v>0</v>
      </c>
      <c r="I154" s="9" t="n">
        <v>0</v>
      </c>
      <c r="J154" s="7" t="s">
        <v>18</v>
      </c>
      <c r="K154" s="7" t="s">
        <v>19</v>
      </c>
      <c r="L154" s="7" t="s">
        <v>20</v>
      </c>
    </row>
    <row r="155" customFormat="false" ht="22.35" hidden="false" customHeight="false" outlineLevel="0" collapsed="false">
      <c r="A155" s="4" t="s">
        <v>175</v>
      </c>
      <c r="B155" s="4" t="s">
        <v>14</v>
      </c>
      <c r="C155" s="4" t="s">
        <v>15</v>
      </c>
      <c r="D155" s="4" t="s">
        <v>16</v>
      </c>
      <c r="E155" s="4" t="s">
        <v>27</v>
      </c>
      <c r="F155" s="5" t="n">
        <v>12.0772</v>
      </c>
      <c r="G155" s="6" t="n">
        <v>0</v>
      </c>
      <c r="H155" s="6" t="n">
        <v>0</v>
      </c>
      <c r="I155" s="6" t="n">
        <v>0</v>
      </c>
      <c r="J155" s="4" t="s">
        <v>18</v>
      </c>
      <c r="K155" s="4" t="s">
        <v>19</v>
      </c>
      <c r="L155" s="4" t="s">
        <v>20</v>
      </c>
    </row>
    <row r="156" customFormat="false" ht="22.35" hidden="false" customHeight="false" outlineLevel="0" collapsed="false">
      <c r="A156" s="7" t="s">
        <v>176</v>
      </c>
      <c r="B156" s="7" t="s">
        <v>14</v>
      </c>
      <c r="C156" s="7" t="s">
        <v>15</v>
      </c>
      <c r="D156" s="7" t="s">
        <v>16</v>
      </c>
      <c r="E156" s="7" t="s">
        <v>27</v>
      </c>
      <c r="F156" s="8" t="n">
        <v>10.0838</v>
      </c>
      <c r="G156" s="9" t="n">
        <v>0</v>
      </c>
      <c r="H156" s="9" t="n">
        <v>0</v>
      </c>
      <c r="I156" s="9" t="n">
        <v>0</v>
      </c>
      <c r="J156" s="7" t="s">
        <v>18</v>
      </c>
      <c r="K156" s="7" t="s">
        <v>19</v>
      </c>
      <c r="L156" s="7" t="s">
        <v>20</v>
      </c>
    </row>
    <row r="157" customFormat="false" ht="22.35" hidden="false" customHeight="false" outlineLevel="0" collapsed="false">
      <c r="A157" s="4" t="s">
        <v>177</v>
      </c>
      <c r="B157" s="4" t="s">
        <v>14</v>
      </c>
      <c r="C157" s="4" t="s">
        <v>15</v>
      </c>
      <c r="D157" s="4" t="s">
        <v>16</v>
      </c>
      <c r="E157" s="4" t="s">
        <v>27</v>
      </c>
      <c r="F157" s="5" t="n">
        <v>11.9718</v>
      </c>
      <c r="G157" s="6" t="n">
        <v>0</v>
      </c>
      <c r="H157" s="6" t="n">
        <v>0</v>
      </c>
      <c r="I157" s="6" t="n">
        <v>0</v>
      </c>
      <c r="J157" s="4" t="s">
        <v>18</v>
      </c>
      <c r="K157" s="4" t="s">
        <v>19</v>
      </c>
      <c r="L157" s="4" t="s">
        <v>20</v>
      </c>
    </row>
    <row r="158" customFormat="false" ht="22.35" hidden="false" customHeight="false" outlineLevel="0" collapsed="false">
      <c r="A158" s="7" t="s">
        <v>178</v>
      </c>
      <c r="B158" s="7" t="s">
        <v>14</v>
      </c>
      <c r="C158" s="7" t="s">
        <v>15</v>
      </c>
      <c r="D158" s="7" t="s">
        <v>16</v>
      </c>
      <c r="E158" s="7" t="s">
        <v>27</v>
      </c>
      <c r="F158" s="8" t="n">
        <v>12.9911</v>
      </c>
      <c r="G158" s="9" t="n">
        <v>0</v>
      </c>
      <c r="H158" s="9" t="n">
        <v>0</v>
      </c>
      <c r="I158" s="9" t="n">
        <v>0</v>
      </c>
      <c r="J158" s="7" t="s">
        <v>18</v>
      </c>
      <c r="K158" s="7" t="s">
        <v>19</v>
      </c>
      <c r="L158" s="7" t="s">
        <v>20</v>
      </c>
    </row>
    <row r="159" customFormat="false" ht="22.35" hidden="false" customHeight="false" outlineLevel="0" collapsed="false">
      <c r="A159" s="4" t="s">
        <v>179</v>
      </c>
      <c r="B159" s="4" t="s">
        <v>14</v>
      </c>
      <c r="C159" s="4" t="s">
        <v>15</v>
      </c>
      <c r="D159" s="4" t="s">
        <v>16</v>
      </c>
      <c r="E159" s="4" t="s">
        <v>17</v>
      </c>
      <c r="F159" s="5" t="n">
        <v>11.9884</v>
      </c>
      <c r="G159" s="6" t="n">
        <v>0</v>
      </c>
      <c r="H159" s="6" t="n">
        <v>0</v>
      </c>
      <c r="I159" s="6" t="n">
        <v>0</v>
      </c>
      <c r="J159" s="4" t="s">
        <v>18</v>
      </c>
      <c r="K159" s="4" t="s">
        <v>19</v>
      </c>
      <c r="L159" s="4" t="s">
        <v>20</v>
      </c>
    </row>
    <row r="160" customFormat="false" ht="22.35" hidden="false" customHeight="false" outlineLevel="0" collapsed="false">
      <c r="A160" s="7" t="s">
        <v>180</v>
      </c>
      <c r="B160" s="7" t="s">
        <v>14</v>
      </c>
      <c r="C160" s="7" t="s">
        <v>15</v>
      </c>
      <c r="D160" s="7" t="s">
        <v>16</v>
      </c>
      <c r="E160" s="7" t="s">
        <v>17</v>
      </c>
      <c r="F160" s="8" t="n">
        <v>6.72</v>
      </c>
      <c r="G160" s="9" t="n">
        <v>0</v>
      </c>
      <c r="H160" s="9" t="n">
        <v>0</v>
      </c>
      <c r="I160" s="9" t="n">
        <v>0</v>
      </c>
      <c r="J160" s="7" t="s">
        <v>18</v>
      </c>
      <c r="K160" s="7" t="s">
        <v>19</v>
      </c>
      <c r="L160" s="7" t="s">
        <v>20</v>
      </c>
    </row>
    <row r="161" customFormat="false" ht="22.35" hidden="false" customHeight="false" outlineLevel="0" collapsed="false">
      <c r="A161" s="4" t="s">
        <v>181</v>
      </c>
      <c r="B161" s="4" t="s">
        <v>14</v>
      </c>
      <c r="C161" s="4" t="s">
        <v>15</v>
      </c>
      <c r="D161" s="4" t="s">
        <v>16</v>
      </c>
      <c r="E161" s="4" t="s">
        <v>44</v>
      </c>
      <c r="F161" s="5" t="n">
        <v>13.15</v>
      </c>
      <c r="G161" s="6" t="n">
        <v>0</v>
      </c>
      <c r="H161" s="6" t="n">
        <v>0</v>
      </c>
      <c r="I161" s="6" t="n">
        <v>0</v>
      </c>
      <c r="J161" s="4" t="s">
        <v>18</v>
      </c>
      <c r="K161" s="4" t="s">
        <v>19</v>
      </c>
      <c r="L161" s="4" t="s">
        <v>20</v>
      </c>
    </row>
    <row r="162" customFormat="false" ht="22.35" hidden="false" customHeight="false" outlineLevel="0" collapsed="false">
      <c r="A162" s="7" t="s">
        <v>182</v>
      </c>
      <c r="B162" s="7" t="s">
        <v>14</v>
      </c>
      <c r="C162" s="7" t="s">
        <v>15</v>
      </c>
      <c r="D162" s="7" t="s">
        <v>16</v>
      </c>
      <c r="E162" s="7" t="s">
        <v>27</v>
      </c>
      <c r="F162" s="8" t="n">
        <v>1.8182</v>
      </c>
      <c r="G162" s="9" t="n">
        <v>0</v>
      </c>
      <c r="H162" s="9" t="n">
        <v>0</v>
      </c>
      <c r="I162" s="9" t="n">
        <v>0</v>
      </c>
      <c r="J162" s="7" t="s">
        <v>18</v>
      </c>
      <c r="K162" s="7" t="s">
        <v>19</v>
      </c>
      <c r="L162" s="7" t="s">
        <v>20</v>
      </c>
    </row>
    <row r="163" customFormat="false" ht="22.35" hidden="false" customHeight="false" outlineLevel="0" collapsed="false">
      <c r="A163" s="4" t="s">
        <v>183</v>
      </c>
      <c r="B163" s="4" t="s">
        <v>14</v>
      </c>
      <c r="C163" s="4" t="s">
        <v>15</v>
      </c>
      <c r="D163" s="4" t="s">
        <v>16</v>
      </c>
      <c r="E163" s="4" t="s">
        <v>27</v>
      </c>
      <c r="F163" s="5" t="n">
        <v>7.9182</v>
      </c>
      <c r="G163" s="6" t="n">
        <v>0</v>
      </c>
      <c r="H163" s="6" t="n">
        <v>0</v>
      </c>
      <c r="I163" s="6" t="n">
        <v>0</v>
      </c>
      <c r="J163" s="4" t="s">
        <v>18</v>
      </c>
      <c r="K163" s="4" t="s">
        <v>19</v>
      </c>
      <c r="L163" s="4" t="s">
        <v>20</v>
      </c>
    </row>
    <row r="164" customFormat="false" ht="22.35" hidden="false" customHeight="false" outlineLevel="0" collapsed="false">
      <c r="A164" s="7" t="s">
        <v>184</v>
      </c>
      <c r="B164" s="7" t="s">
        <v>14</v>
      </c>
      <c r="C164" s="7" t="s">
        <v>15</v>
      </c>
      <c r="D164" s="7" t="s">
        <v>16</v>
      </c>
      <c r="E164" s="7" t="s">
        <v>27</v>
      </c>
      <c r="F164" s="8" t="n">
        <v>2.4986</v>
      </c>
      <c r="G164" s="9" t="n">
        <v>0</v>
      </c>
      <c r="H164" s="9" t="n">
        <v>0</v>
      </c>
      <c r="I164" s="9" t="n">
        <v>0</v>
      </c>
      <c r="J164" s="7" t="s">
        <v>18</v>
      </c>
      <c r="K164" s="7" t="s">
        <v>19</v>
      </c>
      <c r="L164" s="7" t="s">
        <v>20</v>
      </c>
    </row>
    <row r="165" customFormat="false" ht="22.35" hidden="false" customHeight="false" outlineLevel="0" collapsed="false">
      <c r="A165" s="4" t="s">
        <v>185</v>
      </c>
      <c r="B165" s="4" t="s">
        <v>14</v>
      </c>
      <c r="C165" s="4" t="s">
        <v>15</v>
      </c>
      <c r="D165" s="4" t="s">
        <v>16</v>
      </c>
      <c r="E165" s="4" t="s">
        <v>17</v>
      </c>
      <c r="F165" s="5" t="n">
        <v>3.1388</v>
      </c>
      <c r="G165" s="6" t="n">
        <v>0</v>
      </c>
      <c r="H165" s="6" t="n">
        <v>0</v>
      </c>
      <c r="I165" s="6" t="n">
        <v>0</v>
      </c>
      <c r="J165" s="4" t="s">
        <v>18</v>
      </c>
      <c r="K165" s="4" t="s">
        <v>19</v>
      </c>
      <c r="L165" s="4" t="s">
        <v>20</v>
      </c>
    </row>
    <row r="166" customFormat="false" ht="22.35" hidden="false" customHeight="false" outlineLevel="0" collapsed="false">
      <c r="A166" s="7" t="s">
        <v>186</v>
      </c>
      <c r="B166" s="7" t="s">
        <v>14</v>
      </c>
      <c r="C166" s="7" t="s">
        <v>15</v>
      </c>
      <c r="D166" s="7" t="s">
        <v>16</v>
      </c>
      <c r="E166" s="7" t="s">
        <v>17</v>
      </c>
      <c r="F166" s="8" t="n">
        <v>2.2164</v>
      </c>
      <c r="G166" s="9" t="n">
        <v>0</v>
      </c>
      <c r="H166" s="9" t="n">
        <v>0</v>
      </c>
      <c r="I166" s="9" t="n">
        <v>0</v>
      </c>
      <c r="J166" s="7" t="s">
        <v>18</v>
      </c>
      <c r="K166" s="7" t="s">
        <v>19</v>
      </c>
      <c r="L166" s="7" t="s">
        <v>20</v>
      </c>
    </row>
    <row r="167" customFormat="false" ht="22.35" hidden="false" customHeight="false" outlineLevel="0" collapsed="false">
      <c r="A167" s="4" t="s">
        <v>187</v>
      </c>
      <c r="B167" s="4" t="s">
        <v>14</v>
      </c>
      <c r="C167" s="4" t="s">
        <v>15</v>
      </c>
      <c r="D167" s="4" t="s">
        <v>16</v>
      </c>
      <c r="E167" s="4" t="s">
        <v>17</v>
      </c>
      <c r="F167" s="5" t="n">
        <v>2.2901</v>
      </c>
      <c r="G167" s="6" t="n">
        <v>0</v>
      </c>
      <c r="H167" s="6" t="n">
        <v>0</v>
      </c>
      <c r="I167" s="6" t="n">
        <v>0</v>
      </c>
      <c r="J167" s="4" t="s">
        <v>18</v>
      </c>
      <c r="K167" s="4" t="s">
        <v>19</v>
      </c>
      <c r="L167" s="4" t="s">
        <v>20</v>
      </c>
    </row>
    <row r="168" customFormat="false" ht="22.35" hidden="false" customHeight="false" outlineLevel="0" collapsed="false">
      <c r="A168" s="7" t="s">
        <v>188</v>
      </c>
      <c r="B168" s="7" t="s">
        <v>14</v>
      </c>
      <c r="C168" s="7" t="s">
        <v>15</v>
      </c>
      <c r="D168" s="7" t="s">
        <v>16</v>
      </c>
      <c r="E168" s="7" t="s">
        <v>27</v>
      </c>
      <c r="F168" s="8" t="n">
        <v>2.1521</v>
      </c>
      <c r="G168" s="9" t="n">
        <v>0</v>
      </c>
      <c r="H168" s="9" t="n">
        <v>0</v>
      </c>
      <c r="I168" s="9" t="n">
        <v>0</v>
      </c>
      <c r="J168" s="7" t="s">
        <v>18</v>
      </c>
      <c r="K168" s="7" t="s">
        <v>19</v>
      </c>
      <c r="L168" s="7" t="s">
        <v>20</v>
      </c>
    </row>
    <row r="169" customFormat="false" ht="22.35" hidden="false" customHeight="false" outlineLevel="0" collapsed="false">
      <c r="A169" s="4" t="s">
        <v>189</v>
      </c>
      <c r="B169" s="4" t="s">
        <v>14</v>
      </c>
      <c r="C169" s="4" t="s">
        <v>15</v>
      </c>
      <c r="D169" s="4" t="s">
        <v>16</v>
      </c>
      <c r="E169" s="4" t="s">
        <v>27</v>
      </c>
      <c r="F169" s="5" t="n">
        <v>2.7926</v>
      </c>
      <c r="G169" s="6" t="n">
        <v>0</v>
      </c>
      <c r="H169" s="6" t="n">
        <v>0</v>
      </c>
      <c r="I169" s="6" t="n">
        <v>0</v>
      </c>
      <c r="J169" s="4" t="s">
        <v>18</v>
      </c>
      <c r="K169" s="4" t="s">
        <v>19</v>
      </c>
      <c r="L169" s="4" t="s">
        <v>20</v>
      </c>
    </row>
    <row r="170" customFormat="false" ht="22.35" hidden="false" customHeight="false" outlineLevel="0" collapsed="false">
      <c r="A170" s="7" t="s">
        <v>190</v>
      </c>
      <c r="B170" s="7" t="s">
        <v>14</v>
      </c>
      <c r="C170" s="7" t="s">
        <v>15</v>
      </c>
      <c r="D170" s="7" t="s">
        <v>16</v>
      </c>
      <c r="E170" s="7" t="s">
        <v>17</v>
      </c>
      <c r="F170" s="8" t="n">
        <v>2.7029</v>
      </c>
      <c r="G170" s="9" t="n">
        <v>0</v>
      </c>
      <c r="H170" s="9" t="n">
        <v>0</v>
      </c>
      <c r="I170" s="9" t="n">
        <v>0</v>
      </c>
      <c r="J170" s="7" t="s">
        <v>18</v>
      </c>
      <c r="K170" s="7" t="s">
        <v>19</v>
      </c>
      <c r="L170" s="7" t="s">
        <v>20</v>
      </c>
    </row>
    <row r="171" customFormat="false" ht="22.35" hidden="false" customHeight="false" outlineLevel="0" collapsed="false">
      <c r="A171" s="4" t="s">
        <v>191</v>
      </c>
      <c r="B171" s="4" t="s">
        <v>14</v>
      </c>
      <c r="C171" s="4" t="s">
        <v>15</v>
      </c>
      <c r="D171" s="4" t="s">
        <v>16</v>
      </c>
      <c r="E171" s="4" t="s">
        <v>17</v>
      </c>
      <c r="F171" s="5" t="n">
        <v>3.306</v>
      </c>
      <c r="G171" s="6" t="n">
        <v>0</v>
      </c>
      <c r="H171" s="6" t="n">
        <v>0</v>
      </c>
      <c r="I171" s="6" t="n">
        <v>0</v>
      </c>
      <c r="J171" s="4" t="s">
        <v>18</v>
      </c>
      <c r="K171" s="4" t="s">
        <v>19</v>
      </c>
      <c r="L171" s="4" t="s">
        <v>20</v>
      </c>
    </row>
    <row r="172" customFormat="false" ht="22.35" hidden="false" customHeight="false" outlineLevel="0" collapsed="false">
      <c r="A172" s="7" t="s">
        <v>192</v>
      </c>
      <c r="B172" s="7" t="s">
        <v>14</v>
      </c>
      <c r="C172" s="7" t="s">
        <v>15</v>
      </c>
      <c r="D172" s="7" t="s">
        <v>16</v>
      </c>
      <c r="E172" s="7" t="s">
        <v>27</v>
      </c>
      <c r="F172" s="8" t="n">
        <v>2.9186</v>
      </c>
      <c r="G172" s="9" t="n">
        <v>0</v>
      </c>
      <c r="H172" s="9" t="n">
        <v>0</v>
      </c>
      <c r="I172" s="9" t="n">
        <v>0</v>
      </c>
      <c r="J172" s="7" t="s">
        <v>18</v>
      </c>
      <c r="K172" s="7" t="s">
        <v>19</v>
      </c>
      <c r="L172" s="7" t="s">
        <v>20</v>
      </c>
    </row>
    <row r="173" customFormat="false" ht="22.35" hidden="false" customHeight="false" outlineLevel="0" collapsed="false">
      <c r="A173" s="4" t="s">
        <v>193</v>
      </c>
      <c r="B173" s="4" t="s">
        <v>14</v>
      </c>
      <c r="C173" s="4" t="s">
        <v>15</v>
      </c>
      <c r="D173" s="4" t="s">
        <v>16</v>
      </c>
      <c r="E173" s="4" t="s">
        <v>44</v>
      </c>
      <c r="F173" s="5" t="n">
        <v>10.92</v>
      </c>
      <c r="G173" s="6" t="n">
        <v>0</v>
      </c>
      <c r="H173" s="6" t="n">
        <v>0</v>
      </c>
      <c r="I173" s="6" t="n">
        <v>0</v>
      </c>
      <c r="J173" s="4" t="s">
        <v>18</v>
      </c>
      <c r="K173" s="4" t="s">
        <v>19</v>
      </c>
      <c r="L173" s="4" t="s">
        <v>20</v>
      </c>
    </row>
    <row r="174" customFormat="false" ht="22.35" hidden="false" customHeight="false" outlineLevel="0" collapsed="false">
      <c r="A174" s="7" t="s">
        <v>194</v>
      </c>
      <c r="B174" s="7" t="s">
        <v>14</v>
      </c>
      <c r="C174" s="7" t="s">
        <v>15</v>
      </c>
      <c r="D174" s="7" t="s">
        <v>16</v>
      </c>
      <c r="E174" s="7" t="s">
        <v>44</v>
      </c>
      <c r="F174" s="8" t="n">
        <v>5.4477</v>
      </c>
      <c r="G174" s="9" t="n">
        <v>0</v>
      </c>
      <c r="H174" s="9" t="n">
        <v>0</v>
      </c>
      <c r="I174" s="9" t="n">
        <v>0</v>
      </c>
      <c r="J174" s="7" t="s">
        <v>18</v>
      </c>
      <c r="K174" s="7" t="s">
        <v>19</v>
      </c>
      <c r="L174" s="7" t="s">
        <v>20</v>
      </c>
    </row>
    <row r="175" customFormat="false" ht="22.35" hidden="false" customHeight="false" outlineLevel="0" collapsed="false">
      <c r="A175" s="4" t="s">
        <v>195</v>
      </c>
      <c r="B175" s="4" t="s">
        <v>14</v>
      </c>
      <c r="C175" s="4" t="s">
        <v>15</v>
      </c>
      <c r="D175" s="4" t="s">
        <v>16</v>
      </c>
      <c r="E175" s="4" t="s">
        <v>44</v>
      </c>
      <c r="F175" s="5" t="n">
        <v>4.5375</v>
      </c>
      <c r="G175" s="6" t="n">
        <v>0</v>
      </c>
      <c r="H175" s="6" t="n">
        <v>0</v>
      </c>
      <c r="I175" s="6" t="n">
        <v>0</v>
      </c>
      <c r="J175" s="4" t="s">
        <v>18</v>
      </c>
      <c r="K175" s="4" t="s">
        <v>19</v>
      </c>
      <c r="L175" s="4" t="s">
        <v>20</v>
      </c>
    </row>
    <row r="176" customFormat="false" ht="22.35" hidden="false" customHeight="false" outlineLevel="0" collapsed="false">
      <c r="A176" s="7" t="s">
        <v>196</v>
      </c>
      <c r="B176" s="7" t="s">
        <v>14</v>
      </c>
      <c r="C176" s="7" t="s">
        <v>15</v>
      </c>
      <c r="D176" s="7" t="s">
        <v>16</v>
      </c>
      <c r="E176" s="7" t="s">
        <v>27</v>
      </c>
      <c r="F176" s="8" t="n">
        <v>4.0489</v>
      </c>
      <c r="G176" s="9" t="n">
        <v>0</v>
      </c>
      <c r="H176" s="9" t="n">
        <v>0</v>
      </c>
      <c r="I176" s="9" t="n">
        <v>0</v>
      </c>
      <c r="J176" s="7" t="s">
        <v>18</v>
      </c>
      <c r="K176" s="7" t="s">
        <v>19</v>
      </c>
      <c r="L176" s="7" t="s">
        <v>20</v>
      </c>
    </row>
    <row r="177" customFormat="false" ht="22.35" hidden="false" customHeight="false" outlineLevel="0" collapsed="false">
      <c r="A177" s="4" t="s">
        <v>197</v>
      </c>
      <c r="B177" s="4" t="s">
        <v>14</v>
      </c>
      <c r="C177" s="4" t="s">
        <v>15</v>
      </c>
      <c r="D177" s="4" t="s">
        <v>16</v>
      </c>
      <c r="E177" s="4" t="s">
        <v>44</v>
      </c>
      <c r="F177" s="5" t="n">
        <v>11.52</v>
      </c>
      <c r="G177" s="6" t="n">
        <v>0</v>
      </c>
      <c r="H177" s="6" t="n">
        <v>0</v>
      </c>
      <c r="I177" s="6" t="n">
        <v>0</v>
      </c>
      <c r="J177" s="4" t="s">
        <v>18</v>
      </c>
      <c r="K177" s="4" t="s">
        <v>19</v>
      </c>
      <c r="L177" s="4" t="s">
        <v>20</v>
      </c>
    </row>
    <row r="178" customFormat="false" ht="22.35" hidden="false" customHeight="false" outlineLevel="0" collapsed="false">
      <c r="A178" s="7" t="s">
        <v>198</v>
      </c>
      <c r="B178" s="7" t="s">
        <v>14</v>
      </c>
      <c r="C178" s="7" t="s">
        <v>15</v>
      </c>
      <c r="D178" s="7" t="s">
        <v>16</v>
      </c>
      <c r="E178" s="7" t="s">
        <v>27</v>
      </c>
      <c r="F178" s="8" t="n">
        <v>25.0536</v>
      </c>
      <c r="G178" s="9" t="n">
        <v>0</v>
      </c>
      <c r="H178" s="9" t="n">
        <v>0</v>
      </c>
      <c r="I178" s="9" t="n">
        <v>0</v>
      </c>
      <c r="J178" s="7" t="s">
        <v>18</v>
      </c>
      <c r="K178" s="7" t="s">
        <v>19</v>
      </c>
      <c r="L178" s="7" t="s">
        <v>20</v>
      </c>
    </row>
    <row r="179" customFormat="false" ht="22.35" hidden="false" customHeight="false" outlineLevel="0" collapsed="false">
      <c r="A179" s="4" t="s">
        <v>199</v>
      </c>
      <c r="B179" s="4" t="s">
        <v>14</v>
      </c>
      <c r="C179" s="4" t="s">
        <v>15</v>
      </c>
      <c r="D179" s="4" t="s">
        <v>16</v>
      </c>
      <c r="E179" s="4" t="s">
        <v>27</v>
      </c>
      <c r="F179" s="5" t="n">
        <v>4.0827</v>
      </c>
      <c r="G179" s="6" t="n">
        <v>0</v>
      </c>
      <c r="H179" s="6" t="n">
        <v>0</v>
      </c>
      <c r="I179" s="6" t="n">
        <v>0</v>
      </c>
      <c r="J179" s="4" t="s">
        <v>18</v>
      </c>
      <c r="K179" s="4" t="s">
        <v>19</v>
      </c>
      <c r="L179" s="4" t="s">
        <v>20</v>
      </c>
    </row>
    <row r="180" customFormat="false" ht="22.35" hidden="false" customHeight="false" outlineLevel="0" collapsed="false">
      <c r="A180" s="7" t="s">
        <v>200</v>
      </c>
      <c r="B180" s="7" t="s">
        <v>14</v>
      </c>
      <c r="C180" s="7" t="s">
        <v>15</v>
      </c>
      <c r="D180" s="7" t="s">
        <v>16</v>
      </c>
      <c r="E180" s="7" t="s">
        <v>17</v>
      </c>
      <c r="F180" s="8" t="n">
        <v>1.9992</v>
      </c>
      <c r="G180" s="9" t="n">
        <v>0</v>
      </c>
      <c r="H180" s="9" t="n">
        <v>0</v>
      </c>
      <c r="I180" s="9" t="n">
        <v>0</v>
      </c>
      <c r="J180" s="7" t="s">
        <v>18</v>
      </c>
      <c r="K180" s="7" t="s">
        <v>19</v>
      </c>
      <c r="L180" s="7" t="s">
        <v>20</v>
      </c>
    </row>
    <row r="181" customFormat="false" ht="22.35" hidden="false" customHeight="false" outlineLevel="0" collapsed="false">
      <c r="A181" s="4" t="s">
        <v>201</v>
      </c>
      <c r="B181" s="4" t="s">
        <v>14</v>
      </c>
      <c r="C181" s="4" t="s">
        <v>15</v>
      </c>
      <c r="D181" s="4" t="s">
        <v>16</v>
      </c>
      <c r="E181" s="4" t="s">
        <v>17</v>
      </c>
      <c r="F181" s="5" t="n">
        <v>4.3233</v>
      </c>
      <c r="G181" s="6" t="n">
        <v>0</v>
      </c>
      <c r="H181" s="6" t="n">
        <v>0</v>
      </c>
      <c r="I181" s="6" t="n">
        <v>0</v>
      </c>
      <c r="J181" s="4" t="s">
        <v>18</v>
      </c>
      <c r="K181" s="4" t="s">
        <v>19</v>
      </c>
      <c r="L181" s="4" t="s">
        <v>20</v>
      </c>
    </row>
    <row r="182" customFormat="false" ht="22.35" hidden="false" customHeight="false" outlineLevel="0" collapsed="false">
      <c r="A182" s="7" t="s">
        <v>202</v>
      </c>
      <c r="B182" s="7" t="s">
        <v>14</v>
      </c>
      <c r="C182" s="7" t="s">
        <v>15</v>
      </c>
      <c r="D182" s="7" t="s">
        <v>16</v>
      </c>
      <c r="E182" s="7" t="s">
        <v>27</v>
      </c>
      <c r="F182" s="8" t="n">
        <v>5.254</v>
      </c>
      <c r="G182" s="9" t="n">
        <v>0</v>
      </c>
      <c r="H182" s="9" t="n">
        <v>0</v>
      </c>
      <c r="I182" s="9" t="n">
        <v>0</v>
      </c>
      <c r="J182" s="7" t="s">
        <v>18</v>
      </c>
      <c r="K182" s="7" t="s">
        <v>19</v>
      </c>
      <c r="L182" s="7" t="s">
        <v>20</v>
      </c>
    </row>
    <row r="183" customFormat="false" ht="22.35" hidden="false" customHeight="false" outlineLevel="0" collapsed="false">
      <c r="A183" s="4" t="s">
        <v>203</v>
      </c>
      <c r="B183" s="4" t="s">
        <v>14</v>
      </c>
      <c r="C183" s="4" t="s">
        <v>15</v>
      </c>
      <c r="D183" s="4" t="s">
        <v>16</v>
      </c>
      <c r="E183" s="4" t="s">
        <v>27</v>
      </c>
      <c r="F183" s="5" t="n">
        <v>5.3392</v>
      </c>
      <c r="G183" s="6" t="n">
        <v>0</v>
      </c>
      <c r="H183" s="6" t="n">
        <v>0</v>
      </c>
      <c r="I183" s="6" t="n">
        <v>0</v>
      </c>
      <c r="J183" s="4" t="s">
        <v>18</v>
      </c>
      <c r="K183" s="4" t="s">
        <v>19</v>
      </c>
      <c r="L183" s="4" t="s">
        <v>20</v>
      </c>
    </row>
    <row r="184" customFormat="false" ht="22.35" hidden="false" customHeight="false" outlineLevel="0" collapsed="false">
      <c r="A184" s="7" t="s">
        <v>204</v>
      </c>
      <c r="B184" s="7" t="s">
        <v>14</v>
      </c>
      <c r="C184" s="7" t="s">
        <v>15</v>
      </c>
      <c r="D184" s="7" t="s">
        <v>16</v>
      </c>
      <c r="E184" s="7" t="s">
        <v>27</v>
      </c>
      <c r="F184" s="8" t="n">
        <v>5.3493</v>
      </c>
      <c r="G184" s="9" t="n">
        <v>0</v>
      </c>
      <c r="H184" s="9" t="n">
        <v>0</v>
      </c>
      <c r="I184" s="9" t="n">
        <v>0</v>
      </c>
      <c r="J184" s="7" t="s">
        <v>18</v>
      </c>
      <c r="K184" s="7" t="s">
        <v>19</v>
      </c>
      <c r="L184" s="7" t="s">
        <v>20</v>
      </c>
    </row>
    <row r="185" customFormat="false" ht="22.35" hidden="false" customHeight="false" outlineLevel="0" collapsed="false">
      <c r="A185" s="4" t="s">
        <v>205</v>
      </c>
      <c r="B185" s="4" t="s">
        <v>14</v>
      </c>
      <c r="C185" s="4" t="s">
        <v>15</v>
      </c>
      <c r="D185" s="4" t="s">
        <v>16</v>
      </c>
      <c r="E185" s="4" t="s">
        <v>44</v>
      </c>
      <c r="F185" s="5" t="n">
        <v>2.81</v>
      </c>
      <c r="G185" s="6" t="n">
        <v>0</v>
      </c>
      <c r="H185" s="6" t="n">
        <v>0</v>
      </c>
      <c r="I185" s="6" t="n">
        <v>0</v>
      </c>
      <c r="J185" s="4" t="s">
        <v>18</v>
      </c>
      <c r="K185" s="4" t="s">
        <v>19</v>
      </c>
      <c r="L185" s="4" t="s">
        <v>20</v>
      </c>
    </row>
    <row r="186" customFormat="false" ht="22.35" hidden="false" customHeight="false" outlineLevel="0" collapsed="false">
      <c r="A186" s="7" t="s">
        <v>206</v>
      </c>
      <c r="B186" s="7" t="s">
        <v>14</v>
      </c>
      <c r="C186" s="7" t="s">
        <v>15</v>
      </c>
      <c r="D186" s="7" t="s">
        <v>16</v>
      </c>
      <c r="E186" s="7" t="s">
        <v>27</v>
      </c>
      <c r="F186" s="8" t="n">
        <v>4.4116</v>
      </c>
      <c r="G186" s="9" t="n">
        <v>0</v>
      </c>
      <c r="H186" s="9" t="n">
        <v>0</v>
      </c>
      <c r="I186" s="9" t="n">
        <v>0</v>
      </c>
      <c r="J186" s="7" t="s">
        <v>18</v>
      </c>
      <c r="K186" s="7" t="s">
        <v>19</v>
      </c>
      <c r="L186" s="7" t="s">
        <v>20</v>
      </c>
    </row>
    <row r="187" customFormat="false" ht="22.35" hidden="false" customHeight="false" outlineLevel="0" collapsed="false">
      <c r="A187" s="4" t="s">
        <v>207</v>
      </c>
      <c r="B187" s="4" t="s">
        <v>14</v>
      </c>
      <c r="C187" s="4" t="s">
        <v>15</v>
      </c>
      <c r="D187" s="4" t="s">
        <v>16</v>
      </c>
      <c r="E187" s="4" t="s">
        <v>17</v>
      </c>
      <c r="F187" s="5" t="n">
        <v>4.9024</v>
      </c>
      <c r="G187" s="6" t="n">
        <v>0</v>
      </c>
      <c r="H187" s="6" t="n">
        <v>0</v>
      </c>
      <c r="I187" s="6" t="n">
        <v>0</v>
      </c>
      <c r="J187" s="4" t="s">
        <v>18</v>
      </c>
      <c r="K187" s="4" t="s">
        <v>19</v>
      </c>
      <c r="L187" s="4" t="s">
        <v>20</v>
      </c>
    </row>
    <row r="188" customFormat="false" ht="22.35" hidden="false" customHeight="false" outlineLevel="0" collapsed="false">
      <c r="A188" s="7" t="s">
        <v>208</v>
      </c>
      <c r="B188" s="7" t="s">
        <v>14</v>
      </c>
      <c r="C188" s="7" t="s">
        <v>15</v>
      </c>
      <c r="D188" s="7" t="s">
        <v>16</v>
      </c>
      <c r="E188" s="7" t="s">
        <v>27</v>
      </c>
      <c r="F188" s="8" t="n">
        <v>3.362</v>
      </c>
      <c r="G188" s="9" t="n">
        <v>0</v>
      </c>
      <c r="H188" s="9" t="n">
        <v>0</v>
      </c>
      <c r="I188" s="9" t="n">
        <v>0</v>
      </c>
      <c r="J188" s="7" t="s">
        <v>18</v>
      </c>
      <c r="K188" s="7" t="s">
        <v>19</v>
      </c>
      <c r="L188" s="7" t="s">
        <v>20</v>
      </c>
    </row>
    <row r="189" customFormat="false" ht="22.35" hidden="false" customHeight="false" outlineLevel="0" collapsed="false">
      <c r="A189" s="4" t="s">
        <v>209</v>
      </c>
      <c r="B189" s="4" t="s">
        <v>14</v>
      </c>
      <c r="C189" s="4" t="s">
        <v>15</v>
      </c>
      <c r="D189" s="4" t="s">
        <v>16</v>
      </c>
      <c r="E189" s="4" t="s">
        <v>17</v>
      </c>
      <c r="F189" s="5" t="n">
        <v>3.4671</v>
      </c>
      <c r="G189" s="6" t="n">
        <v>0</v>
      </c>
      <c r="H189" s="6" t="n">
        <v>0</v>
      </c>
      <c r="I189" s="6" t="n">
        <v>0</v>
      </c>
      <c r="J189" s="4" t="s">
        <v>18</v>
      </c>
      <c r="K189" s="4" t="s">
        <v>19</v>
      </c>
      <c r="L189" s="4" t="s">
        <v>20</v>
      </c>
    </row>
    <row r="190" customFormat="false" ht="22.35" hidden="false" customHeight="false" outlineLevel="0" collapsed="false">
      <c r="A190" s="7" t="s">
        <v>210</v>
      </c>
      <c r="B190" s="7" t="s">
        <v>14</v>
      </c>
      <c r="C190" s="7" t="s">
        <v>15</v>
      </c>
      <c r="D190" s="7" t="s">
        <v>16</v>
      </c>
      <c r="E190" s="7" t="s">
        <v>27</v>
      </c>
      <c r="F190" s="8" t="n">
        <v>2.1991</v>
      </c>
      <c r="G190" s="9" t="n">
        <v>0</v>
      </c>
      <c r="H190" s="9" t="n">
        <v>0</v>
      </c>
      <c r="I190" s="9" t="n">
        <v>0</v>
      </c>
      <c r="J190" s="7" t="s">
        <v>18</v>
      </c>
      <c r="K190" s="7" t="s">
        <v>19</v>
      </c>
      <c r="L190" s="7" t="s">
        <v>20</v>
      </c>
    </row>
    <row r="191" customFormat="false" ht="22.35" hidden="false" customHeight="false" outlineLevel="0" collapsed="false">
      <c r="A191" s="4" t="s">
        <v>211</v>
      </c>
      <c r="B191" s="4" t="s">
        <v>14</v>
      </c>
      <c r="C191" s="4" t="s">
        <v>15</v>
      </c>
      <c r="D191" s="4" t="s">
        <v>16</v>
      </c>
      <c r="E191" s="4" t="s">
        <v>17</v>
      </c>
      <c r="F191" s="5" t="n">
        <v>3.7092</v>
      </c>
      <c r="G191" s="6" t="n">
        <v>0</v>
      </c>
      <c r="H191" s="6" t="n">
        <v>0</v>
      </c>
      <c r="I191" s="6" t="n">
        <v>0</v>
      </c>
      <c r="J191" s="4" t="s">
        <v>18</v>
      </c>
      <c r="K191" s="4" t="s">
        <v>19</v>
      </c>
      <c r="L191" s="4" t="s">
        <v>20</v>
      </c>
    </row>
    <row r="192" customFormat="false" ht="22.35" hidden="false" customHeight="false" outlineLevel="0" collapsed="false">
      <c r="A192" s="7" t="s">
        <v>212</v>
      </c>
      <c r="B192" s="7" t="s">
        <v>14</v>
      </c>
      <c r="C192" s="7" t="s">
        <v>15</v>
      </c>
      <c r="D192" s="7" t="s">
        <v>16</v>
      </c>
      <c r="E192" s="7" t="s">
        <v>27</v>
      </c>
      <c r="F192" s="8" t="n">
        <v>2.241</v>
      </c>
      <c r="G192" s="9" t="n">
        <v>0</v>
      </c>
      <c r="H192" s="9" t="n">
        <v>0</v>
      </c>
      <c r="I192" s="9" t="n">
        <v>0</v>
      </c>
      <c r="J192" s="7" t="s">
        <v>18</v>
      </c>
      <c r="K192" s="7" t="s">
        <v>19</v>
      </c>
      <c r="L192" s="7" t="s">
        <v>20</v>
      </c>
    </row>
    <row r="193" customFormat="false" ht="22.35" hidden="false" customHeight="false" outlineLevel="0" collapsed="false">
      <c r="A193" s="4" t="s">
        <v>213</v>
      </c>
      <c r="B193" s="4" t="s">
        <v>14</v>
      </c>
      <c r="C193" s="4" t="s">
        <v>15</v>
      </c>
      <c r="D193" s="4" t="s">
        <v>16</v>
      </c>
      <c r="E193" s="4" t="s">
        <v>17</v>
      </c>
      <c r="F193" s="5" t="n">
        <v>2.3308</v>
      </c>
      <c r="G193" s="6" t="n">
        <v>0</v>
      </c>
      <c r="H193" s="6" t="n">
        <v>0</v>
      </c>
      <c r="I193" s="6" t="n">
        <v>0</v>
      </c>
      <c r="J193" s="4" t="s">
        <v>18</v>
      </c>
      <c r="K193" s="4" t="s">
        <v>19</v>
      </c>
      <c r="L193" s="4" t="s">
        <v>20</v>
      </c>
    </row>
    <row r="194" customFormat="false" ht="22.35" hidden="false" customHeight="false" outlineLevel="0" collapsed="false">
      <c r="A194" s="7" t="s">
        <v>214</v>
      </c>
      <c r="B194" s="7" t="s">
        <v>14</v>
      </c>
      <c r="C194" s="7" t="s">
        <v>15</v>
      </c>
      <c r="D194" s="7" t="s">
        <v>16</v>
      </c>
      <c r="E194" s="7" t="s">
        <v>27</v>
      </c>
      <c r="F194" s="8" t="n">
        <v>2.3328</v>
      </c>
      <c r="G194" s="9" t="n">
        <v>0</v>
      </c>
      <c r="H194" s="9" t="n">
        <v>0</v>
      </c>
      <c r="I194" s="9" t="n">
        <v>0</v>
      </c>
      <c r="J194" s="7" t="s">
        <v>18</v>
      </c>
      <c r="K194" s="7" t="s">
        <v>19</v>
      </c>
      <c r="L194" s="7" t="s">
        <v>20</v>
      </c>
    </row>
    <row r="195" customFormat="false" ht="22.35" hidden="false" customHeight="false" outlineLevel="0" collapsed="false">
      <c r="A195" s="4" t="s">
        <v>215</v>
      </c>
      <c r="B195" s="4" t="s">
        <v>14</v>
      </c>
      <c r="C195" s="4" t="s">
        <v>15</v>
      </c>
      <c r="D195" s="4" t="s">
        <v>16</v>
      </c>
      <c r="E195" s="4" t="s">
        <v>27</v>
      </c>
      <c r="F195" s="5" t="n">
        <v>1.9552</v>
      </c>
      <c r="G195" s="6" t="n">
        <v>0</v>
      </c>
      <c r="H195" s="6" t="n">
        <v>0</v>
      </c>
      <c r="I195" s="6" t="n">
        <v>0</v>
      </c>
      <c r="J195" s="4" t="s">
        <v>18</v>
      </c>
      <c r="K195" s="4" t="s">
        <v>19</v>
      </c>
      <c r="L195" s="4" t="s">
        <v>20</v>
      </c>
    </row>
    <row r="196" customFormat="false" ht="22.35" hidden="false" customHeight="false" outlineLevel="0" collapsed="false">
      <c r="A196" s="7" t="s">
        <v>216</v>
      </c>
      <c r="B196" s="7" t="s">
        <v>14</v>
      </c>
      <c r="C196" s="7" t="s">
        <v>15</v>
      </c>
      <c r="D196" s="7" t="s">
        <v>16</v>
      </c>
      <c r="E196" s="7" t="s">
        <v>27</v>
      </c>
      <c r="F196" s="8" t="n">
        <v>4.4406</v>
      </c>
      <c r="G196" s="9" t="n">
        <v>0</v>
      </c>
      <c r="H196" s="9" t="n">
        <v>0</v>
      </c>
      <c r="I196" s="9" t="n">
        <v>0</v>
      </c>
      <c r="J196" s="7" t="s">
        <v>18</v>
      </c>
      <c r="K196" s="7" t="s">
        <v>19</v>
      </c>
      <c r="L196" s="7" t="s">
        <v>20</v>
      </c>
    </row>
    <row r="197" customFormat="false" ht="22.35" hidden="false" customHeight="false" outlineLevel="0" collapsed="false">
      <c r="A197" s="4" t="s">
        <v>217</v>
      </c>
      <c r="B197" s="4" t="s">
        <v>14</v>
      </c>
      <c r="C197" s="4" t="s">
        <v>15</v>
      </c>
      <c r="D197" s="4" t="s">
        <v>16</v>
      </c>
      <c r="E197" s="4" t="s">
        <v>27</v>
      </c>
      <c r="F197" s="5" t="n">
        <v>2.1459</v>
      </c>
      <c r="G197" s="6" t="n">
        <v>0</v>
      </c>
      <c r="H197" s="6" t="n">
        <v>0</v>
      </c>
      <c r="I197" s="6" t="n">
        <v>0</v>
      </c>
      <c r="J197" s="4" t="s">
        <v>18</v>
      </c>
      <c r="K197" s="4" t="s">
        <v>19</v>
      </c>
      <c r="L197" s="4" t="s">
        <v>20</v>
      </c>
    </row>
    <row r="198" customFormat="false" ht="22.35" hidden="false" customHeight="false" outlineLevel="0" collapsed="false">
      <c r="A198" s="7" t="s">
        <v>218</v>
      </c>
      <c r="B198" s="7" t="s">
        <v>14</v>
      </c>
      <c r="C198" s="7" t="s">
        <v>15</v>
      </c>
      <c r="D198" s="7" t="s">
        <v>16</v>
      </c>
      <c r="E198" s="7" t="s">
        <v>27</v>
      </c>
      <c r="F198" s="8" t="n">
        <v>2.1515</v>
      </c>
      <c r="G198" s="9" t="n">
        <v>0</v>
      </c>
      <c r="H198" s="9" t="n">
        <v>0</v>
      </c>
      <c r="I198" s="9" t="n">
        <v>0</v>
      </c>
      <c r="J198" s="7" t="s">
        <v>18</v>
      </c>
      <c r="K198" s="7" t="s">
        <v>19</v>
      </c>
      <c r="L198" s="7" t="s">
        <v>20</v>
      </c>
    </row>
    <row r="199" customFormat="false" ht="22.35" hidden="false" customHeight="false" outlineLevel="0" collapsed="false">
      <c r="A199" s="4" t="s">
        <v>219</v>
      </c>
      <c r="B199" s="4" t="s">
        <v>14</v>
      </c>
      <c r="C199" s="4" t="s">
        <v>15</v>
      </c>
      <c r="D199" s="4" t="s">
        <v>16</v>
      </c>
      <c r="E199" s="4" t="s">
        <v>27</v>
      </c>
      <c r="F199" s="5" t="n">
        <v>4.278</v>
      </c>
      <c r="G199" s="6" t="n">
        <v>0</v>
      </c>
      <c r="H199" s="6" t="n">
        <v>0</v>
      </c>
      <c r="I199" s="6" t="n">
        <v>0</v>
      </c>
      <c r="J199" s="4" t="s">
        <v>18</v>
      </c>
      <c r="K199" s="4" t="s">
        <v>19</v>
      </c>
      <c r="L199" s="4" t="s">
        <v>20</v>
      </c>
    </row>
    <row r="200" customFormat="false" ht="22.35" hidden="false" customHeight="false" outlineLevel="0" collapsed="false">
      <c r="A200" s="7" t="s">
        <v>220</v>
      </c>
      <c r="B200" s="7" t="s">
        <v>14</v>
      </c>
      <c r="C200" s="7" t="s">
        <v>15</v>
      </c>
      <c r="D200" s="7" t="s">
        <v>16</v>
      </c>
      <c r="E200" s="7" t="s">
        <v>27</v>
      </c>
      <c r="F200" s="8" t="n">
        <v>2.5284</v>
      </c>
      <c r="G200" s="9" t="n">
        <v>0</v>
      </c>
      <c r="H200" s="9" t="n">
        <v>0</v>
      </c>
      <c r="I200" s="9" t="n">
        <v>0</v>
      </c>
      <c r="J200" s="7" t="s">
        <v>18</v>
      </c>
      <c r="K200" s="7" t="s">
        <v>19</v>
      </c>
      <c r="L200" s="7" t="s">
        <v>20</v>
      </c>
    </row>
    <row r="201" customFormat="false" ht="22.35" hidden="false" customHeight="false" outlineLevel="0" collapsed="false">
      <c r="A201" s="4" t="s">
        <v>221</v>
      </c>
      <c r="B201" s="4" t="s">
        <v>14</v>
      </c>
      <c r="C201" s="4" t="s">
        <v>15</v>
      </c>
      <c r="D201" s="4" t="s">
        <v>16</v>
      </c>
      <c r="E201" s="4" t="s">
        <v>27</v>
      </c>
      <c r="F201" s="5" t="n">
        <v>3.2964</v>
      </c>
      <c r="G201" s="6" t="n">
        <v>0</v>
      </c>
      <c r="H201" s="6" t="n">
        <v>0</v>
      </c>
      <c r="I201" s="6" t="n">
        <v>0</v>
      </c>
      <c r="J201" s="4" t="s">
        <v>18</v>
      </c>
      <c r="K201" s="4" t="s">
        <v>19</v>
      </c>
      <c r="L201" s="4" t="s">
        <v>20</v>
      </c>
    </row>
    <row r="202" customFormat="false" ht="22.35" hidden="false" customHeight="false" outlineLevel="0" collapsed="false">
      <c r="A202" s="7" t="s">
        <v>222</v>
      </c>
      <c r="B202" s="7" t="s">
        <v>14</v>
      </c>
      <c r="C202" s="7" t="s">
        <v>15</v>
      </c>
      <c r="D202" s="7" t="s">
        <v>16</v>
      </c>
      <c r="E202" s="7" t="s">
        <v>27</v>
      </c>
      <c r="F202" s="8" t="n">
        <v>4.3213</v>
      </c>
      <c r="G202" s="9" t="n">
        <v>0</v>
      </c>
      <c r="H202" s="9" t="n">
        <v>0</v>
      </c>
      <c r="I202" s="9" t="n">
        <v>0</v>
      </c>
      <c r="J202" s="7" t="s">
        <v>18</v>
      </c>
      <c r="K202" s="7" t="s">
        <v>19</v>
      </c>
      <c r="L202" s="7" t="s">
        <v>20</v>
      </c>
    </row>
    <row r="203" customFormat="false" ht="22.35" hidden="false" customHeight="false" outlineLevel="0" collapsed="false">
      <c r="A203" s="4" t="s">
        <v>223</v>
      </c>
      <c r="B203" s="4" t="s">
        <v>14</v>
      </c>
      <c r="C203" s="4" t="s">
        <v>15</v>
      </c>
      <c r="D203" s="4" t="s">
        <v>16</v>
      </c>
      <c r="E203" s="4" t="s">
        <v>27</v>
      </c>
      <c r="F203" s="5" t="n">
        <v>5.8651</v>
      </c>
      <c r="G203" s="6" t="n">
        <v>0</v>
      </c>
      <c r="H203" s="6" t="n">
        <v>0</v>
      </c>
      <c r="I203" s="6" t="n">
        <v>0</v>
      </c>
      <c r="J203" s="4" t="s">
        <v>18</v>
      </c>
      <c r="K203" s="4" t="s">
        <v>19</v>
      </c>
      <c r="L203" s="4" t="s">
        <v>20</v>
      </c>
    </row>
    <row r="204" customFormat="false" ht="22.35" hidden="false" customHeight="false" outlineLevel="0" collapsed="false">
      <c r="A204" s="7" t="s">
        <v>224</v>
      </c>
      <c r="B204" s="7" t="s">
        <v>14</v>
      </c>
      <c r="C204" s="7" t="s">
        <v>15</v>
      </c>
      <c r="D204" s="7" t="s">
        <v>16</v>
      </c>
      <c r="E204" s="7" t="s">
        <v>27</v>
      </c>
      <c r="F204" s="8" t="n">
        <v>5.1321</v>
      </c>
      <c r="G204" s="9" t="n">
        <v>0</v>
      </c>
      <c r="H204" s="9" t="n">
        <v>0</v>
      </c>
      <c r="I204" s="9" t="n">
        <v>0</v>
      </c>
      <c r="J204" s="7" t="s">
        <v>18</v>
      </c>
      <c r="K204" s="7" t="s">
        <v>19</v>
      </c>
      <c r="L204" s="7" t="s">
        <v>20</v>
      </c>
    </row>
    <row r="205" customFormat="false" ht="22.35" hidden="false" customHeight="false" outlineLevel="0" collapsed="false">
      <c r="A205" s="4" t="s">
        <v>225</v>
      </c>
      <c r="B205" s="4" t="s">
        <v>14</v>
      </c>
      <c r="C205" s="4" t="s">
        <v>15</v>
      </c>
      <c r="D205" s="4" t="s">
        <v>16</v>
      </c>
      <c r="E205" s="4" t="s">
        <v>27</v>
      </c>
      <c r="F205" s="5" t="n">
        <v>4.3625</v>
      </c>
      <c r="G205" s="6" t="n">
        <v>0</v>
      </c>
      <c r="H205" s="6" t="n">
        <v>0</v>
      </c>
      <c r="I205" s="6" t="n">
        <v>0</v>
      </c>
      <c r="J205" s="4" t="s">
        <v>18</v>
      </c>
      <c r="K205" s="4" t="s">
        <v>19</v>
      </c>
      <c r="L205" s="4" t="s">
        <v>20</v>
      </c>
    </row>
    <row r="206" customFormat="false" ht="22.35" hidden="false" customHeight="false" outlineLevel="0" collapsed="false">
      <c r="A206" s="7" t="s">
        <v>226</v>
      </c>
      <c r="B206" s="7" t="s">
        <v>14</v>
      </c>
      <c r="C206" s="7" t="s">
        <v>15</v>
      </c>
      <c r="D206" s="7" t="s">
        <v>16</v>
      </c>
      <c r="E206" s="7" t="s">
        <v>17</v>
      </c>
      <c r="F206" s="8" t="n">
        <v>5.8369</v>
      </c>
      <c r="G206" s="9" t="n">
        <v>0</v>
      </c>
      <c r="H206" s="9" t="n">
        <v>0</v>
      </c>
      <c r="I206" s="9" t="n">
        <v>0</v>
      </c>
      <c r="J206" s="7" t="s">
        <v>18</v>
      </c>
      <c r="K206" s="7" t="s">
        <v>19</v>
      </c>
      <c r="L206" s="7" t="s">
        <v>20</v>
      </c>
    </row>
    <row r="207" customFormat="false" ht="22.35" hidden="false" customHeight="false" outlineLevel="0" collapsed="false">
      <c r="A207" s="4" t="s">
        <v>227</v>
      </c>
      <c r="B207" s="4" t="s">
        <v>14</v>
      </c>
      <c r="C207" s="4" t="s">
        <v>15</v>
      </c>
      <c r="D207" s="4" t="s">
        <v>16</v>
      </c>
      <c r="E207" s="4" t="s">
        <v>17</v>
      </c>
      <c r="F207" s="5" t="n">
        <v>5.4939</v>
      </c>
      <c r="G207" s="6" t="n">
        <v>0</v>
      </c>
      <c r="H207" s="6" t="n">
        <v>0</v>
      </c>
      <c r="I207" s="6" t="n">
        <v>0</v>
      </c>
      <c r="J207" s="4" t="s">
        <v>18</v>
      </c>
      <c r="K207" s="4" t="s">
        <v>19</v>
      </c>
      <c r="L207" s="4" t="s">
        <v>20</v>
      </c>
    </row>
    <row r="208" customFormat="false" ht="22.35" hidden="false" customHeight="false" outlineLevel="0" collapsed="false">
      <c r="A208" s="7" t="s">
        <v>228</v>
      </c>
      <c r="B208" s="7" t="s">
        <v>14</v>
      </c>
      <c r="C208" s="7" t="s">
        <v>15</v>
      </c>
      <c r="D208" s="7" t="s">
        <v>16</v>
      </c>
      <c r="E208" s="7" t="s">
        <v>17</v>
      </c>
      <c r="F208" s="8" t="n">
        <v>2.024</v>
      </c>
      <c r="G208" s="9" t="n">
        <v>0</v>
      </c>
      <c r="H208" s="9" t="n">
        <v>0</v>
      </c>
      <c r="I208" s="9" t="n">
        <v>0</v>
      </c>
      <c r="J208" s="7" t="s">
        <v>18</v>
      </c>
      <c r="K208" s="7" t="s">
        <v>19</v>
      </c>
      <c r="L208" s="7" t="s">
        <v>20</v>
      </c>
    </row>
    <row r="209" customFormat="false" ht="22.35" hidden="false" customHeight="false" outlineLevel="0" collapsed="false">
      <c r="A209" s="4" t="s">
        <v>229</v>
      </c>
      <c r="B209" s="4" t="s">
        <v>14</v>
      </c>
      <c r="C209" s="4" t="s">
        <v>15</v>
      </c>
      <c r="D209" s="4" t="s">
        <v>16</v>
      </c>
      <c r="E209" s="4" t="s">
        <v>27</v>
      </c>
      <c r="F209" s="5" t="n">
        <v>5.1466</v>
      </c>
      <c r="G209" s="6" t="n">
        <v>0</v>
      </c>
      <c r="H209" s="6" t="n">
        <v>0</v>
      </c>
      <c r="I209" s="6" t="n">
        <v>0</v>
      </c>
      <c r="J209" s="4" t="s">
        <v>18</v>
      </c>
      <c r="K209" s="4" t="s">
        <v>19</v>
      </c>
      <c r="L209" s="4" t="s">
        <v>20</v>
      </c>
    </row>
    <row r="210" customFormat="false" ht="22.35" hidden="false" customHeight="false" outlineLevel="0" collapsed="false">
      <c r="A210" s="7" t="s">
        <v>230</v>
      </c>
      <c r="B210" s="7" t="s">
        <v>14</v>
      </c>
      <c r="C210" s="7" t="s">
        <v>15</v>
      </c>
      <c r="D210" s="7" t="s">
        <v>16</v>
      </c>
      <c r="E210" s="7" t="s">
        <v>27</v>
      </c>
      <c r="F210" s="8" t="n">
        <v>4.9825</v>
      </c>
      <c r="G210" s="9" t="n">
        <v>0</v>
      </c>
      <c r="H210" s="9" t="n">
        <v>0</v>
      </c>
      <c r="I210" s="9" t="n">
        <v>0</v>
      </c>
      <c r="J210" s="7" t="s">
        <v>18</v>
      </c>
      <c r="K210" s="7" t="s">
        <v>19</v>
      </c>
      <c r="L210" s="7" t="s">
        <v>20</v>
      </c>
    </row>
    <row r="211" customFormat="false" ht="22.35" hidden="false" customHeight="false" outlineLevel="0" collapsed="false">
      <c r="A211" s="4" t="s">
        <v>231</v>
      </c>
      <c r="B211" s="4" t="s">
        <v>14</v>
      </c>
      <c r="C211" s="4" t="s">
        <v>15</v>
      </c>
      <c r="D211" s="4" t="s">
        <v>16</v>
      </c>
      <c r="E211" s="4" t="s">
        <v>27</v>
      </c>
      <c r="F211" s="5" t="n">
        <v>4.8104</v>
      </c>
      <c r="G211" s="6" t="n">
        <v>0</v>
      </c>
      <c r="H211" s="6" t="n">
        <v>0</v>
      </c>
      <c r="I211" s="6" t="n">
        <v>0</v>
      </c>
      <c r="J211" s="4" t="s">
        <v>18</v>
      </c>
      <c r="K211" s="4" t="s">
        <v>19</v>
      </c>
      <c r="L211" s="4" t="s">
        <v>20</v>
      </c>
    </row>
    <row r="212" customFormat="false" ht="22.35" hidden="false" customHeight="false" outlineLevel="0" collapsed="false">
      <c r="A212" s="7" t="s">
        <v>232</v>
      </c>
      <c r="B212" s="7" t="s">
        <v>14</v>
      </c>
      <c r="C212" s="7" t="s">
        <v>15</v>
      </c>
      <c r="D212" s="7" t="s">
        <v>16</v>
      </c>
      <c r="E212" s="7" t="s">
        <v>27</v>
      </c>
      <c r="F212" s="8" t="n">
        <v>7.7823</v>
      </c>
      <c r="G212" s="9" t="n">
        <v>0</v>
      </c>
      <c r="H212" s="9" t="n">
        <v>0</v>
      </c>
      <c r="I212" s="9" t="n">
        <v>0</v>
      </c>
      <c r="J212" s="7" t="s">
        <v>18</v>
      </c>
      <c r="K212" s="7" t="s">
        <v>19</v>
      </c>
      <c r="L212" s="7" t="s">
        <v>20</v>
      </c>
    </row>
    <row r="213" customFormat="false" ht="22.35" hidden="false" customHeight="false" outlineLevel="0" collapsed="false">
      <c r="A213" s="4" t="s">
        <v>233</v>
      </c>
      <c r="B213" s="4" t="s">
        <v>14</v>
      </c>
      <c r="C213" s="4" t="s">
        <v>15</v>
      </c>
      <c r="D213" s="4" t="s">
        <v>16</v>
      </c>
      <c r="E213" s="4" t="s">
        <v>27</v>
      </c>
      <c r="F213" s="5" t="n">
        <v>6.4618</v>
      </c>
      <c r="G213" s="6" t="n">
        <v>0</v>
      </c>
      <c r="H213" s="6" t="n">
        <v>0</v>
      </c>
      <c r="I213" s="6" t="n">
        <v>0</v>
      </c>
      <c r="J213" s="4" t="s">
        <v>18</v>
      </c>
      <c r="K213" s="4" t="s">
        <v>19</v>
      </c>
      <c r="L213" s="4" t="s">
        <v>20</v>
      </c>
    </row>
    <row r="214" customFormat="false" ht="22.35" hidden="false" customHeight="false" outlineLevel="0" collapsed="false">
      <c r="A214" s="7" t="s">
        <v>234</v>
      </c>
      <c r="B214" s="7" t="s">
        <v>14</v>
      </c>
      <c r="C214" s="7" t="s">
        <v>15</v>
      </c>
      <c r="D214" s="7" t="s">
        <v>16</v>
      </c>
      <c r="E214" s="7" t="s">
        <v>27</v>
      </c>
      <c r="F214" s="8" t="n">
        <v>8.2529</v>
      </c>
      <c r="G214" s="9" t="n">
        <v>0</v>
      </c>
      <c r="H214" s="9" t="n">
        <v>0</v>
      </c>
      <c r="I214" s="9" t="n">
        <v>0</v>
      </c>
      <c r="J214" s="7" t="s">
        <v>18</v>
      </c>
      <c r="K214" s="7" t="s">
        <v>19</v>
      </c>
      <c r="L214" s="7" t="s">
        <v>20</v>
      </c>
    </row>
    <row r="215" customFormat="false" ht="22.35" hidden="false" customHeight="false" outlineLevel="0" collapsed="false">
      <c r="A215" s="4" t="s">
        <v>235</v>
      </c>
      <c r="B215" s="4" t="s">
        <v>14</v>
      </c>
      <c r="C215" s="4" t="s">
        <v>15</v>
      </c>
      <c r="D215" s="4" t="s">
        <v>16</v>
      </c>
      <c r="E215" s="4" t="s">
        <v>27</v>
      </c>
      <c r="F215" s="5" t="n">
        <v>8.2055</v>
      </c>
      <c r="G215" s="6" t="n">
        <v>0</v>
      </c>
      <c r="H215" s="6" t="n">
        <v>0</v>
      </c>
      <c r="I215" s="6" t="n">
        <v>0</v>
      </c>
      <c r="J215" s="4" t="s">
        <v>18</v>
      </c>
      <c r="K215" s="4" t="s">
        <v>19</v>
      </c>
      <c r="L215" s="4" t="s">
        <v>20</v>
      </c>
    </row>
    <row r="216" customFormat="false" ht="22.35" hidden="false" customHeight="false" outlineLevel="0" collapsed="false">
      <c r="A216" s="7" t="s">
        <v>236</v>
      </c>
      <c r="B216" s="7" t="s">
        <v>14</v>
      </c>
      <c r="C216" s="7" t="s">
        <v>15</v>
      </c>
      <c r="D216" s="7" t="s">
        <v>16</v>
      </c>
      <c r="E216" s="7" t="s">
        <v>27</v>
      </c>
      <c r="F216" s="8" t="n">
        <v>7.6901</v>
      </c>
      <c r="G216" s="9" t="n">
        <v>0</v>
      </c>
      <c r="H216" s="9" t="n">
        <v>0</v>
      </c>
      <c r="I216" s="9" t="n">
        <v>0</v>
      </c>
      <c r="J216" s="7" t="s">
        <v>18</v>
      </c>
      <c r="K216" s="7" t="s">
        <v>19</v>
      </c>
      <c r="L216" s="7" t="s">
        <v>20</v>
      </c>
    </row>
    <row r="217" customFormat="false" ht="22.35" hidden="false" customHeight="false" outlineLevel="0" collapsed="false">
      <c r="A217" s="4" t="s">
        <v>237</v>
      </c>
      <c r="B217" s="4" t="s">
        <v>14</v>
      </c>
      <c r="C217" s="4" t="s">
        <v>15</v>
      </c>
      <c r="D217" s="4" t="s">
        <v>16</v>
      </c>
      <c r="E217" s="4" t="s">
        <v>27</v>
      </c>
      <c r="F217" s="5" t="n">
        <v>2.2006</v>
      </c>
      <c r="G217" s="6" t="n">
        <v>0</v>
      </c>
      <c r="H217" s="6" t="n">
        <v>0</v>
      </c>
      <c r="I217" s="6" t="n">
        <v>0</v>
      </c>
      <c r="J217" s="4" t="s">
        <v>18</v>
      </c>
      <c r="K217" s="4" t="s">
        <v>19</v>
      </c>
      <c r="L217" s="4" t="s">
        <v>20</v>
      </c>
    </row>
    <row r="218" customFormat="false" ht="22.35" hidden="false" customHeight="false" outlineLevel="0" collapsed="false">
      <c r="A218" s="7" t="s">
        <v>238</v>
      </c>
      <c r="B218" s="7" t="s">
        <v>14</v>
      </c>
      <c r="C218" s="7" t="s">
        <v>15</v>
      </c>
      <c r="D218" s="7" t="s">
        <v>16</v>
      </c>
      <c r="E218" s="7" t="s">
        <v>27</v>
      </c>
      <c r="F218" s="8" t="n">
        <v>9.0322</v>
      </c>
      <c r="G218" s="9" t="n">
        <v>0</v>
      </c>
      <c r="H218" s="9" t="n">
        <v>0</v>
      </c>
      <c r="I218" s="9" t="n">
        <v>0</v>
      </c>
      <c r="J218" s="7" t="s">
        <v>18</v>
      </c>
      <c r="K218" s="7" t="s">
        <v>19</v>
      </c>
      <c r="L218" s="7" t="s">
        <v>20</v>
      </c>
    </row>
    <row r="219" customFormat="false" ht="22.35" hidden="false" customHeight="false" outlineLevel="0" collapsed="false">
      <c r="A219" s="4" t="s">
        <v>239</v>
      </c>
      <c r="B219" s="4" t="s">
        <v>14</v>
      </c>
      <c r="C219" s="4" t="s">
        <v>15</v>
      </c>
      <c r="D219" s="4" t="s">
        <v>16</v>
      </c>
      <c r="E219" s="4" t="s">
        <v>27</v>
      </c>
      <c r="F219" s="5" t="n">
        <v>9.0091</v>
      </c>
      <c r="G219" s="6" t="n">
        <v>0</v>
      </c>
      <c r="H219" s="6" t="n">
        <v>0</v>
      </c>
      <c r="I219" s="6" t="n">
        <v>0</v>
      </c>
      <c r="J219" s="4" t="s">
        <v>18</v>
      </c>
      <c r="K219" s="4" t="s">
        <v>19</v>
      </c>
      <c r="L219" s="4" t="s">
        <v>20</v>
      </c>
    </row>
    <row r="220" customFormat="false" ht="22.35" hidden="false" customHeight="false" outlineLevel="0" collapsed="false">
      <c r="A220" s="7" t="s">
        <v>240</v>
      </c>
      <c r="B220" s="7" t="s">
        <v>14</v>
      </c>
      <c r="C220" s="7" t="s">
        <v>15</v>
      </c>
      <c r="D220" s="7" t="s">
        <v>16</v>
      </c>
      <c r="E220" s="7" t="s">
        <v>27</v>
      </c>
      <c r="F220" s="8" t="n">
        <v>18.1845</v>
      </c>
      <c r="G220" s="9" t="n">
        <v>0</v>
      </c>
      <c r="H220" s="9" t="n">
        <v>0</v>
      </c>
      <c r="I220" s="9" t="n">
        <v>0</v>
      </c>
      <c r="J220" s="7" t="s">
        <v>18</v>
      </c>
      <c r="K220" s="7" t="s">
        <v>19</v>
      </c>
      <c r="L220" s="7" t="s">
        <v>20</v>
      </c>
    </row>
    <row r="221" customFormat="false" ht="22.35" hidden="false" customHeight="false" outlineLevel="0" collapsed="false">
      <c r="A221" s="4" t="s">
        <v>241</v>
      </c>
      <c r="B221" s="4" t="s">
        <v>14</v>
      </c>
      <c r="C221" s="4" t="s">
        <v>15</v>
      </c>
      <c r="D221" s="4" t="s">
        <v>16</v>
      </c>
      <c r="E221" s="4" t="s">
        <v>17</v>
      </c>
      <c r="F221" s="5" t="n">
        <v>5.0861</v>
      </c>
      <c r="G221" s="6" t="n">
        <v>0</v>
      </c>
      <c r="H221" s="6" t="n">
        <v>0</v>
      </c>
      <c r="I221" s="6" t="n">
        <v>0</v>
      </c>
      <c r="J221" s="4" t="s">
        <v>18</v>
      </c>
      <c r="K221" s="4" t="s">
        <v>19</v>
      </c>
      <c r="L221" s="4" t="s">
        <v>20</v>
      </c>
    </row>
    <row r="222" customFormat="false" ht="22.35" hidden="false" customHeight="false" outlineLevel="0" collapsed="false">
      <c r="A222" s="7" t="s">
        <v>242</v>
      </c>
      <c r="B222" s="7" t="s">
        <v>14</v>
      </c>
      <c r="C222" s="7" t="s">
        <v>15</v>
      </c>
      <c r="D222" s="7" t="s">
        <v>16</v>
      </c>
      <c r="E222" s="7" t="s">
        <v>27</v>
      </c>
      <c r="F222" s="8" t="n">
        <v>5.0768</v>
      </c>
      <c r="G222" s="9" t="n">
        <v>0</v>
      </c>
      <c r="H222" s="9" t="n">
        <v>0</v>
      </c>
      <c r="I222" s="9" t="n">
        <v>0</v>
      </c>
      <c r="J222" s="7" t="s">
        <v>18</v>
      </c>
      <c r="K222" s="7" t="s">
        <v>19</v>
      </c>
      <c r="L222" s="7" t="s">
        <v>20</v>
      </c>
    </row>
    <row r="223" customFormat="false" ht="22.35" hidden="false" customHeight="false" outlineLevel="0" collapsed="false">
      <c r="A223" s="4" t="s">
        <v>243</v>
      </c>
      <c r="B223" s="4" t="s">
        <v>14</v>
      </c>
      <c r="C223" s="4" t="s">
        <v>15</v>
      </c>
      <c r="D223" s="4" t="s">
        <v>16</v>
      </c>
      <c r="E223" s="4" t="s">
        <v>27</v>
      </c>
      <c r="F223" s="5" t="n">
        <v>4.8378</v>
      </c>
      <c r="G223" s="6" t="n">
        <v>0</v>
      </c>
      <c r="H223" s="6" t="n">
        <v>0</v>
      </c>
      <c r="I223" s="6" t="n">
        <v>0</v>
      </c>
      <c r="J223" s="4" t="s">
        <v>18</v>
      </c>
      <c r="K223" s="4" t="s">
        <v>19</v>
      </c>
      <c r="L223" s="4" t="s">
        <v>20</v>
      </c>
    </row>
    <row r="224" customFormat="false" ht="22.35" hidden="false" customHeight="false" outlineLevel="0" collapsed="false">
      <c r="A224" s="7" t="s">
        <v>244</v>
      </c>
      <c r="B224" s="7" t="s">
        <v>14</v>
      </c>
      <c r="C224" s="7" t="s">
        <v>15</v>
      </c>
      <c r="D224" s="7" t="s">
        <v>16</v>
      </c>
      <c r="E224" s="7" t="s">
        <v>27</v>
      </c>
      <c r="F224" s="8" t="n">
        <v>4.5985</v>
      </c>
      <c r="G224" s="9" t="n">
        <v>0</v>
      </c>
      <c r="H224" s="9" t="n">
        <v>0</v>
      </c>
      <c r="I224" s="9" t="n">
        <v>0</v>
      </c>
      <c r="J224" s="7" t="s">
        <v>18</v>
      </c>
      <c r="K224" s="7" t="s">
        <v>19</v>
      </c>
      <c r="L224" s="7" t="s">
        <v>20</v>
      </c>
    </row>
    <row r="225" customFormat="false" ht="22.35" hidden="false" customHeight="false" outlineLevel="0" collapsed="false">
      <c r="A225" s="4" t="s">
        <v>245</v>
      </c>
      <c r="B225" s="4" t="s">
        <v>14</v>
      </c>
      <c r="C225" s="4" t="s">
        <v>15</v>
      </c>
      <c r="D225" s="4" t="s">
        <v>16</v>
      </c>
      <c r="E225" s="4" t="s">
        <v>27</v>
      </c>
      <c r="F225" s="5" t="n">
        <v>1.9671</v>
      </c>
      <c r="G225" s="6" t="n">
        <v>0</v>
      </c>
      <c r="H225" s="6" t="n">
        <v>0</v>
      </c>
      <c r="I225" s="6" t="n">
        <v>0</v>
      </c>
      <c r="J225" s="4" t="s">
        <v>18</v>
      </c>
      <c r="K225" s="4" t="s">
        <v>19</v>
      </c>
      <c r="L225" s="4" t="s">
        <v>20</v>
      </c>
    </row>
    <row r="226" customFormat="false" ht="22.35" hidden="false" customHeight="false" outlineLevel="0" collapsed="false">
      <c r="A226" s="7" t="s">
        <v>246</v>
      </c>
      <c r="B226" s="7" t="s">
        <v>14</v>
      </c>
      <c r="C226" s="7" t="s">
        <v>15</v>
      </c>
      <c r="D226" s="7" t="s">
        <v>16</v>
      </c>
      <c r="E226" s="7" t="s">
        <v>17</v>
      </c>
      <c r="F226" s="8" t="n">
        <v>1.7855</v>
      </c>
      <c r="G226" s="9" t="n">
        <v>0</v>
      </c>
      <c r="H226" s="9" t="n">
        <v>0</v>
      </c>
      <c r="I226" s="9" t="n">
        <v>0</v>
      </c>
      <c r="J226" s="7" t="s">
        <v>18</v>
      </c>
      <c r="K226" s="7" t="s">
        <v>19</v>
      </c>
      <c r="L226" s="7" t="s">
        <v>20</v>
      </c>
    </row>
    <row r="227" customFormat="false" ht="22.35" hidden="false" customHeight="false" outlineLevel="0" collapsed="false">
      <c r="A227" s="4" t="s">
        <v>247</v>
      </c>
      <c r="B227" s="4" t="s">
        <v>14</v>
      </c>
      <c r="C227" s="4" t="s">
        <v>15</v>
      </c>
      <c r="D227" s="4" t="s">
        <v>16</v>
      </c>
      <c r="E227" s="4" t="s">
        <v>27</v>
      </c>
      <c r="F227" s="5" t="n">
        <v>3.5217</v>
      </c>
      <c r="G227" s="6" t="n">
        <v>0</v>
      </c>
      <c r="H227" s="6" t="n">
        <v>0</v>
      </c>
      <c r="I227" s="6" t="n">
        <v>0</v>
      </c>
      <c r="J227" s="4" t="s">
        <v>18</v>
      </c>
      <c r="K227" s="4" t="s">
        <v>19</v>
      </c>
      <c r="L227" s="4" t="s">
        <v>20</v>
      </c>
    </row>
    <row r="228" customFormat="false" ht="22.35" hidden="false" customHeight="false" outlineLevel="0" collapsed="false">
      <c r="A228" s="7" t="s">
        <v>248</v>
      </c>
      <c r="B228" s="7" t="s">
        <v>14</v>
      </c>
      <c r="C228" s="7" t="s">
        <v>15</v>
      </c>
      <c r="D228" s="7" t="s">
        <v>16</v>
      </c>
      <c r="E228" s="7" t="s">
        <v>44</v>
      </c>
      <c r="F228" s="8" t="n">
        <v>1.97</v>
      </c>
      <c r="G228" s="9" t="n">
        <v>0</v>
      </c>
      <c r="H228" s="9" t="n">
        <v>0</v>
      </c>
      <c r="I228" s="9" t="n">
        <v>0</v>
      </c>
      <c r="J228" s="7" t="s">
        <v>18</v>
      </c>
      <c r="K228" s="7" t="s">
        <v>19</v>
      </c>
      <c r="L228" s="7" t="s">
        <v>20</v>
      </c>
    </row>
    <row r="229" customFormat="false" ht="22.35" hidden="false" customHeight="false" outlineLevel="0" collapsed="false">
      <c r="A229" s="4" t="s">
        <v>249</v>
      </c>
      <c r="B229" s="4" t="s">
        <v>14</v>
      </c>
      <c r="C229" s="4" t="s">
        <v>15</v>
      </c>
      <c r="D229" s="4" t="s">
        <v>16</v>
      </c>
      <c r="E229" s="4" t="s">
        <v>27</v>
      </c>
      <c r="F229" s="5" t="n">
        <v>3.3645</v>
      </c>
      <c r="G229" s="6" t="n">
        <v>0</v>
      </c>
      <c r="H229" s="6" t="n">
        <v>0</v>
      </c>
      <c r="I229" s="6" t="n">
        <v>0</v>
      </c>
      <c r="J229" s="4" t="s">
        <v>18</v>
      </c>
      <c r="K229" s="4" t="s">
        <v>19</v>
      </c>
      <c r="L229" s="4" t="s">
        <v>20</v>
      </c>
    </row>
    <row r="230" customFormat="false" ht="22.35" hidden="false" customHeight="false" outlineLevel="0" collapsed="false">
      <c r="A230" s="7" t="s">
        <v>250</v>
      </c>
      <c r="B230" s="7" t="s">
        <v>14</v>
      </c>
      <c r="C230" s="7" t="s">
        <v>15</v>
      </c>
      <c r="D230" s="7" t="s">
        <v>16</v>
      </c>
      <c r="E230" s="7" t="s">
        <v>27</v>
      </c>
      <c r="F230" s="8" t="n">
        <v>4.554</v>
      </c>
      <c r="G230" s="9" t="n">
        <v>0</v>
      </c>
      <c r="H230" s="9" t="n">
        <v>0</v>
      </c>
      <c r="I230" s="9" t="n">
        <v>0</v>
      </c>
      <c r="J230" s="7" t="s">
        <v>18</v>
      </c>
      <c r="K230" s="7" t="s">
        <v>19</v>
      </c>
      <c r="L230" s="7" t="s">
        <v>20</v>
      </c>
    </row>
    <row r="231" customFormat="false" ht="22.35" hidden="false" customHeight="false" outlineLevel="0" collapsed="false">
      <c r="A231" s="4" t="s">
        <v>251</v>
      </c>
      <c r="B231" s="4" t="s">
        <v>14</v>
      </c>
      <c r="C231" s="4" t="s">
        <v>15</v>
      </c>
      <c r="D231" s="4" t="s">
        <v>16</v>
      </c>
      <c r="E231" s="4" t="s">
        <v>27</v>
      </c>
      <c r="F231" s="5" t="n">
        <v>3.8111</v>
      </c>
      <c r="G231" s="6" t="n">
        <v>0</v>
      </c>
      <c r="H231" s="6" t="n">
        <v>0</v>
      </c>
      <c r="I231" s="6" t="n">
        <v>0</v>
      </c>
      <c r="J231" s="4" t="s">
        <v>18</v>
      </c>
      <c r="K231" s="4" t="s">
        <v>19</v>
      </c>
      <c r="L231" s="4" t="s">
        <v>20</v>
      </c>
    </row>
    <row r="232" customFormat="false" ht="22.35" hidden="false" customHeight="false" outlineLevel="0" collapsed="false">
      <c r="A232" s="7" t="s">
        <v>252</v>
      </c>
      <c r="B232" s="7" t="s">
        <v>14</v>
      </c>
      <c r="C232" s="7" t="s">
        <v>15</v>
      </c>
      <c r="D232" s="7" t="s">
        <v>16</v>
      </c>
      <c r="E232" s="7" t="s">
        <v>17</v>
      </c>
      <c r="F232" s="8" t="n">
        <v>5.4802</v>
      </c>
      <c r="G232" s="9" t="n">
        <v>0</v>
      </c>
      <c r="H232" s="9" t="n">
        <v>0</v>
      </c>
      <c r="I232" s="9" t="n">
        <v>0</v>
      </c>
      <c r="J232" s="7" t="s">
        <v>18</v>
      </c>
      <c r="K232" s="7" t="s">
        <v>19</v>
      </c>
      <c r="L232" s="7" t="s">
        <v>20</v>
      </c>
    </row>
    <row r="233" customFormat="false" ht="22.35" hidden="false" customHeight="false" outlineLevel="0" collapsed="false">
      <c r="A233" s="4" t="s">
        <v>253</v>
      </c>
      <c r="B233" s="4" t="s">
        <v>14</v>
      </c>
      <c r="C233" s="4" t="s">
        <v>15</v>
      </c>
      <c r="D233" s="4" t="s">
        <v>16</v>
      </c>
      <c r="E233" s="4" t="s">
        <v>27</v>
      </c>
      <c r="F233" s="5" t="n">
        <v>4.6011</v>
      </c>
      <c r="G233" s="6" t="n">
        <v>0</v>
      </c>
      <c r="H233" s="6" t="n">
        <v>0</v>
      </c>
      <c r="I233" s="6" t="n">
        <v>0</v>
      </c>
      <c r="J233" s="4" t="s">
        <v>18</v>
      </c>
      <c r="K233" s="4" t="s">
        <v>19</v>
      </c>
      <c r="L233" s="4" t="s">
        <v>20</v>
      </c>
    </row>
    <row r="234" customFormat="false" ht="22.35" hidden="false" customHeight="false" outlineLevel="0" collapsed="false">
      <c r="A234" s="7" t="s">
        <v>254</v>
      </c>
      <c r="B234" s="7" t="s">
        <v>14</v>
      </c>
      <c r="C234" s="7" t="s">
        <v>15</v>
      </c>
      <c r="D234" s="7" t="s">
        <v>16</v>
      </c>
      <c r="E234" s="7" t="s">
        <v>27</v>
      </c>
      <c r="F234" s="8" t="n">
        <v>4.6032</v>
      </c>
      <c r="G234" s="9" t="n">
        <v>0</v>
      </c>
      <c r="H234" s="9" t="n">
        <v>0</v>
      </c>
      <c r="I234" s="9" t="n">
        <v>0</v>
      </c>
      <c r="J234" s="7" t="s">
        <v>18</v>
      </c>
      <c r="K234" s="7" t="s">
        <v>19</v>
      </c>
      <c r="L234" s="7" t="s">
        <v>20</v>
      </c>
    </row>
    <row r="235" customFormat="false" ht="22.35" hidden="false" customHeight="false" outlineLevel="0" collapsed="false">
      <c r="A235" s="4" t="s">
        <v>255</v>
      </c>
      <c r="B235" s="4" t="s">
        <v>14</v>
      </c>
      <c r="C235" s="4" t="s">
        <v>15</v>
      </c>
      <c r="D235" s="4" t="s">
        <v>16</v>
      </c>
      <c r="E235" s="4" t="s">
        <v>27</v>
      </c>
      <c r="F235" s="5" t="n">
        <v>4.5373</v>
      </c>
      <c r="G235" s="6" t="n">
        <v>0</v>
      </c>
      <c r="H235" s="6" t="n">
        <v>0</v>
      </c>
      <c r="I235" s="6" t="n">
        <v>0</v>
      </c>
      <c r="J235" s="4" t="s">
        <v>18</v>
      </c>
      <c r="K235" s="4" t="s">
        <v>19</v>
      </c>
      <c r="L235" s="4" t="s">
        <v>20</v>
      </c>
    </row>
    <row r="236" customFormat="false" ht="22.35" hidden="false" customHeight="false" outlineLevel="0" collapsed="false">
      <c r="A236" s="7" t="s">
        <v>256</v>
      </c>
      <c r="B236" s="7" t="s">
        <v>14</v>
      </c>
      <c r="C236" s="7" t="s">
        <v>15</v>
      </c>
      <c r="D236" s="7" t="s">
        <v>16</v>
      </c>
      <c r="E236" s="7" t="s">
        <v>17</v>
      </c>
      <c r="F236" s="8" t="n">
        <v>5.1695</v>
      </c>
      <c r="G236" s="9" t="n">
        <v>0</v>
      </c>
      <c r="H236" s="9" t="n">
        <v>0</v>
      </c>
      <c r="I236" s="9" t="n">
        <v>0</v>
      </c>
      <c r="J236" s="7" t="s">
        <v>18</v>
      </c>
      <c r="K236" s="7" t="s">
        <v>19</v>
      </c>
      <c r="L236" s="7" t="s">
        <v>20</v>
      </c>
    </row>
    <row r="237" customFormat="false" ht="22.35" hidden="false" customHeight="false" outlineLevel="0" collapsed="false">
      <c r="A237" s="4" t="s">
        <v>257</v>
      </c>
      <c r="B237" s="4" t="s">
        <v>14</v>
      </c>
      <c r="C237" s="4" t="s">
        <v>15</v>
      </c>
      <c r="D237" s="4" t="s">
        <v>16</v>
      </c>
      <c r="E237" s="4" t="s">
        <v>17</v>
      </c>
      <c r="F237" s="5" t="n">
        <v>4.7058</v>
      </c>
      <c r="G237" s="6" t="n">
        <v>0</v>
      </c>
      <c r="H237" s="6" t="n">
        <v>0</v>
      </c>
      <c r="I237" s="6" t="n">
        <v>0</v>
      </c>
      <c r="J237" s="4" t="s">
        <v>18</v>
      </c>
      <c r="K237" s="4" t="s">
        <v>19</v>
      </c>
      <c r="L237" s="4" t="s">
        <v>20</v>
      </c>
    </row>
    <row r="238" customFormat="false" ht="22.35" hidden="false" customHeight="false" outlineLevel="0" collapsed="false">
      <c r="A238" s="7" t="s">
        <v>258</v>
      </c>
      <c r="B238" s="7" t="s">
        <v>14</v>
      </c>
      <c r="C238" s="7" t="s">
        <v>15</v>
      </c>
      <c r="D238" s="7" t="s">
        <v>16</v>
      </c>
      <c r="E238" s="7" t="s">
        <v>27</v>
      </c>
      <c r="F238" s="8" t="n">
        <v>5.2146</v>
      </c>
      <c r="G238" s="9" t="n">
        <v>0</v>
      </c>
      <c r="H238" s="9" t="n">
        <v>0</v>
      </c>
      <c r="I238" s="9" t="n">
        <v>0</v>
      </c>
      <c r="J238" s="7" t="s">
        <v>18</v>
      </c>
      <c r="K238" s="7" t="s">
        <v>19</v>
      </c>
      <c r="L238" s="7" t="s">
        <v>20</v>
      </c>
    </row>
    <row r="239" customFormat="false" ht="22.35" hidden="false" customHeight="false" outlineLevel="0" collapsed="false">
      <c r="A239" s="4" t="s">
        <v>259</v>
      </c>
      <c r="B239" s="4" t="s">
        <v>14</v>
      </c>
      <c r="C239" s="4" t="s">
        <v>15</v>
      </c>
      <c r="D239" s="4" t="s">
        <v>16</v>
      </c>
      <c r="E239" s="4" t="s">
        <v>27</v>
      </c>
      <c r="F239" s="5" t="n">
        <v>4.0819</v>
      </c>
      <c r="G239" s="6" t="n">
        <v>0</v>
      </c>
      <c r="H239" s="6" t="n">
        <v>0</v>
      </c>
      <c r="I239" s="6" t="n">
        <v>0</v>
      </c>
      <c r="J239" s="4" t="s">
        <v>18</v>
      </c>
      <c r="K239" s="4" t="s">
        <v>19</v>
      </c>
      <c r="L239" s="4" t="s">
        <v>20</v>
      </c>
    </row>
    <row r="240" customFormat="false" ht="22.35" hidden="false" customHeight="false" outlineLevel="0" collapsed="false">
      <c r="A240" s="7" t="s">
        <v>260</v>
      </c>
      <c r="B240" s="7" t="s">
        <v>14</v>
      </c>
      <c r="C240" s="7" t="s">
        <v>15</v>
      </c>
      <c r="D240" s="7" t="s">
        <v>16</v>
      </c>
      <c r="E240" s="7" t="s">
        <v>17</v>
      </c>
      <c r="F240" s="8" t="n">
        <v>3.0488</v>
      </c>
      <c r="G240" s="9" t="n">
        <v>0</v>
      </c>
      <c r="H240" s="9" t="n">
        <v>0</v>
      </c>
      <c r="I240" s="9" t="n">
        <v>0</v>
      </c>
      <c r="J240" s="7" t="s">
        <v>18</v>
      </c>
      <c r="K240" s="7" t="s">
        <v>19</v>
      </c>
      <c r="L240" s="7" t="s">
        <v>20</v>
      </c>
    </row>
    <row r="241" customFormat="false" ht="22.35" hidden="false" customHeight="false" outlineLevel="0" collapsed="false">
      <c r="A241" s="4" t="s">
        <v>261</v>
      </c>
      <c r="B241" s="4" t="s">
        <v>14</v>
      </c>
      <c r="C241" s="4" t="s">
        <v>15</v>
      </c>
      <c r="D241" s="4" t="s">
        <v>16</v>
      </c>
      <c r="E241" s="4" t="s">
        <v>27</v>
      </c>
      <c r="F241" s="5" t="n">
        <v>3.0088</v>
      </c>
      <c r="G241" s="6" t="n">
        <v>0</v>
      </c>
      <c r="H241" s="6" t="n">
        <v>0</v>
      </c>
      <c r="I241" s="6" t="n">
        <v>0</v>
      </c>
      <c r="J241" s="4" t="s">
        <v>18</v>
      </c>
      <c r="K241" s="4" t="s">
        <v>19</v>
      </c>
      <c r="L241" s="4" t="s">
        <v>20</v>
      </c>
    </row>
    <row r="242" customFormat="false" ht="22.35" hidden="false" customHeight="false" outlineLevel="0" collapsed="false">
      <c r="A242" s="7" t="s">
        <v>262</v>
      </c>
      <c r="B242" s="7" t="s">
        <v>14</v>
      </c>
      <c r="C242" s="7" t="s">
        <v>15</v>
      </c>
      <c r="D242" s="7" t="s">
        <v>16</v>
      </c>
      <c r="E242" s="7" t="s">
        <v>27</v>
      </c>
      <c r="F242" s="8" t="n">
        <v>2.1174</v>
      </c>
      <c r="G242" s="9" t="n">
        <v>0</v>
      </c>
      <c r="H242" s="9" t="n">
        <v>0</v>
      </c>
      <c r="I242" s="9" t="n">
        <v>0</v>
      </c>
      <c r="J242" s="7" t="s">
        <v>18</v>
      </c>
      <c r="K242" s="7" t="s">
        <v>19</v>
      </c>
      <c r="L242" s="7" t="s">
        <v>20</v>
      </c>
    </row>
    <row r="243" customFormat="false" ht="22.35" hidden="false" customHeight="false" outlineLevel="0" collapsed="false">
      <c r="A243" s="4" t="s">
        <v>263</v>
      </c>
      <c r="B243" s="4" t="s">
        <v>14</v>
      </c>
      <c r="C243" s="4" t="s">
        <v>15</v>
      </c>
      <c r="D243" s="4" t="s">
        <v>16</v>
      </c>
      <c r="E243" s="4" t="s">
        <v>27</v>
      </c>
      <c r="F243" s="5" t="n">
        <v>2.0988</v>
      </c>
      <c r="G243" s="6" t="n">
        <v>0</v>
      </c>
      <c r="H243" s="6" t="n">
        <v>0</v>
      </c>
      <c r="I243" s="6" t="n">
        <v>0</v>
      </c>
      <c r="J243" s="4" t="s">
        <v>18</v>
      </c>
      <c r="K243" s="4" t="s">
        <v>19</v>
      </c>
      <c r="L243" s="4" t="s">
        <v>20</v>
      </c>
    </row>
    <row r="244" customFormat="false" ht="22.35" hidden="false" customHeight="false" outlineLevel="0" collapsed="false">
      <c r="A244" s="7" t="s">
        <v>264</v>
      </c>
      <c r="B244" s="7" t="s">
        <v>14</v>
      </c>
      <c r="C244" s="7" t="s">
        <v>15</v>
      </c>
      <c r="D244" s="7" t="s">
        <v>16</v>
      </c>
      <c r="E244" s="7" t="s">
        <v>17</v>
      </c>
      <c r="F244" s="8" t="n">
        <v>2.9078</v>
      </c>
      <c r="G244" s="9" t="n">
        <v>0</v>
      </c>
      <c r="H244" s="9" t="n">
        <v>0</v>
      </c>
      <c r="I244" s="9" t="n">
        <v>0</v>
      </c>
      <c r="J244" s="7" t="s">
        <v>18</v>
      </c>
      <c r="K244" s="7" t="s">
        <v>19</v>
      </c>
      <c r="L244" s="7" t="s">
        <v>20</v>
      </c>
    </row>
    <row r="245" customFormat="false" ht="22.35" hidden="false" customHeight="false" outlineLevel="0" collapsed="false">
      <c r="A245" s="4" t="s">
        <v>265</v>
      </c>
      <c r="B245" s="4" t="s">
        <v>14</v>
      </c>
      <c r="C245" s="4" t="s">
        <v>15</v>
      </c>
      <c r="D245" s="4" t="s">
        <v>16</v>
      </c>
      <c r="E245" s="4" t="s">
        <v>27</v>
      </c>
      <c r="F245" s="5" t="n">
        <v>3.0314</v>
      </c>
      <c r="G245" s="6" t="n">
        <v>0</v>
      </c>
      <c r="H245" s="6" t="n">
        <v>0</v>
      </c>
      <c r="I245" s="6" t="n">
        <v>0</v>
      </c>
      <c r="J245" s="4" t="s">
        <v>18</v>
      </c>
      <c r="K245" s="4" t="s">
        <v>19</v>
      </c>
      <c r="L245" s="4" t="s">
        <v>20</v>
      </c>
    </row>
    <row r="246" customFormat="false" ht="22.35" hidden="false" customHeight="false" outlineLevel="0" collapsed="false">
      <c r="A246" s="7" t="s">
        <v>266</v>
      </c>
      <c r="B246" s="7" t="s">
        <v>14</v>
      </c>
      <c r="C246" s="7" t="s">
        <v>15</v>
      </c>
      <c r="D246" s="7" t="s">
        <v>16</v>
      </c>
      <c r="E246" s="7" t="s">
        <v>17</v>
      </c>
      <c r="F246" s="8" t="n">
        <v>5.2521</v>
      </c>
      <c r="G246" s="9" t="n">
        <v>0</v>
      </c>
      <c r="H246" s="9" t="n">
        <v>0</v>
      </c>
      <c r="I246" s="9" t="n">
        <v>0</v>
      </c>
      <c r="J246" s="7" t="s">
        <v>18</v>
      </c>
      <c r="K246" s="7" t="s">
        <v>19</v>
      </c>
      <c r="L246" s="7" t="s">
        <v>20</v>
      </c>
    </row>
    <row r="247" customFormat="false" ht="22.35" hidden="false" customHeight="false" outlineLevel="0" collapsed="false">
      <c r="A247" s="4" t="s">
        <v>267</v>
      </c>
      <c r="B247" s="4" t="s">
        <v>14</v>
      </c>
      <c r="C247" s="4" t="s">
        <v>15</v>
      </c>
      <c r="D247" s="4" t="s">
        <v>16</v>
      </c>
      <c r="E247" s="4" t="s">
        <v>27</v>
      </c>
      <c r="F247" s="5" t="n">
        <v>4.8118</v>
      </c>
      <c r="G247" s="6" t="n">
        <v>0</v>
      </c>
      <c r="H247" s="6" t="n">
        <v>0</v>
      </c>
      <c r="I247" s="6" t="n">
        <v>0</v>
      </c>
      <c r="J247" s="4" t="s">
        <v>18</v>
      </c>
      <c r="K247" s="4" t="s">
        <v>19</v>
      </c>
      <c r="L247" s="4" t="s">
        <v>20</v>
      </c>
    </row>
    <row r="248" customFormat="false" ht="22.35" hidden="false" customHeight="false" outlineLevel="0" collapsed="false">
      <c r="A248" s="7" t="s">
        <v>268</v>
      </c>
      <c r="B248" s="7" t="s">
        <v>14</v>
      </c>
      <c r="C248" s="7" t="s">
        <v>15</v>
      </c>
      <c r="D248" s="7" t="s">
        <v>16</v>
      </c>
      <c r="E248" s="7" t="s">
        <v>27</v>
      </c>
      <c r="F248" s="8" t="n">
        <v>5.086</v>
      </c>
      <c r="G248" s="9" t="n">
        <v>0</v>
      </c>
      <c r="H248" s="9" t="n">
        <v>0</v>
      </c>
      <c r="I248" s="9" t="n">
        <v>0</v>
      </c>
      <c r="J248" s="7" t="s">
        <v>18</v>
      </c>
      <c r="K248" s="7" t="s">
        <v>19</v>
      </c>
      <c r="L248" s="7" t="s">
        <v>20</v>
      </c>
    </row>
    <row r="249" customFormat="false" ht="22.35" hidden="false" customHeight="false" outlineLevel="0" collapsed="false">
      <c r="A249" s="4" t="s">
        <v>269</v>
      </c>
      <c r="B249" s="4" t="s">
        <v>14</v>
      </c>
      <c r="C249" s="4" t="s">
        <v>15</v>
      </c>
      <c r="D249" s="4" t="s">
        <v>16</v>
      </c>
      <c r="E249" s="4" t="s">
        <v>17</v>
      </c>
      <c r="F249" s="5" t="n">
        <v>0.1923</v>
      </c>
      <c r="G249" s="6" t="n">
        <v>0</v>
      </c>
      <c r="H249" s="6" t="n">
        <v>0</v>
      </c>
      <c r="I249" s="6" t="n">
        <v>0</v>
      </c>
      <c r="J249" s="4" t="s">
        <v>18</v>
      </c>
      <c r="K249" s="4" t="s">
        <v>19</v>
      </c>
      <c r="L249" s="4" t="s">
        <v>20</v>
      </c>
    </row>
    <row r="250" customFormat="false" ht="22.35" hidden="false" customHeight="false" outlineLevel="0" collapsed="false">
      <c r="A250" s="7" t="s">
        <v>270</v>
      </c>
      <c r="B250" s="7" t="s">
        <v>14</v>
      </c>
      <c r="C250" s="7" t="s">
        <v>15</v>
      </c>
      <c r="D250" s="7" t="s">
        <v>16</v>
      </c>
      <c r="E250" s="7" t="s">
        <v>17</v>
      </c>
      <c r="F250" s="8" t="n">
        <v>0.2599</v>
      </c>
      <c r="G250" s="9" t="n">
        <v>0</v>
      </c>
      <c r="H250" s="9" t="n">
        <v>0</v>
      </c>
      <c r="I250" s="9" t="n">
        <v>0</v>
      </c>
      <c r="J250" s="7" t="s">
        <v>18</v>
      </c>
      <c r="K250" s="7" t="s">
        <v>19</v>
      </c>
      <c r="L250" s="7" t="s">
        <v>20</v>
      </c>
    </row>
    <row r="251" customFormat="false" ht="22.35" hidden="false" customHeight="false" outlineLevel="0" collapsed="false">
      <c r="A251" s="4" t="s">
        <v>271</v>
      </c>
      <c r="B251" s="4" t="s">
        <v>14</v>
      </c>
      <c r="C251" s="4" t="s">
        <v>15</v>
      </c>
      <c r="D251" s="4" t="s">
        <v>16</v>
      </c>
      <c r="E251" s="4" t="s">
        <v>17</v>
      </c>
      <c r="F251" s="5" t="n">
        <v>3.037</v>
      </c>
      <c r="G251" s="6" t="n">
        <v>0</v>
      </c>
      <c r="H251" s="6" t="n">
        <v>0</v>
      </c>
      <c r="I251" s="6" t="n">
        <v>0</v>
      </c>
      <c r="J251" s="4" t="s">
        <v>18</v>
      </c>
      <c r="K251" s="4" t="s">
        <v>19</v>
      </c>
      <c r="L251" s="4" t="s">
        <v>20</v>
      </c>
    </row>
    <row r="252" customFormat="false" ht="22.35" hidden="false" customHeight="false" outlineLevel="0" collapsed="false">
      <c r="A252" s="7" t="s">
        <v>272</v>
      </c>
      <c r="B252" s="7" t="s">
        <v>14</v>
      </c>
      <c r="C252" s="7" t="s">
        <v>15</v>
      </c>
      <c r="D252" s="7" t="s">
        <v>16</v>
      </c>
      <c r="E252" s="7" t="s">
        <v>17</v>
      </c>
      <c r="F252" s="8" t="n">
        <v>3.5504</v>
      </c>
      <c r="G252" s="9" t="n">
        <v>0</v>
      </c>
      <c r="H252" s="9" t="n">
        <v>0</v>
      </c>
      <c r="I252" s="9" t="n">
        <v>0</v>
      </c>
      <c r="J252" s="7" t="s">
        <v>18</v>
      </c>
      <c r="K252" s="7" t="s">
        <v>19</v>
      </c>
      <c r="L252" s="7" t="s">
        <v>20</v>
      </c>
    </row>
    <row r="253" customFormat="false" ht="22.35" hidden="false" customHeight="false" outlineLevel="0" collapsed="false">
      <c r="A253" s="4" t="s">
        <v>273</v>
      </c>
      <c r="B253" s="4" t="s">
        <v>14</v>
      </c>
      <c r="C253" s="4" t="s">
        <v>15</v>
      </c>
      <c r="D253" s="4" t="s">
        <v>16</v>
      </c>
      <c r="E253" s="4" t="s">
        <v>27</v>
      </c>
      <c r="F253" s="5" t="n">
        <v>3.3568</v>
      </c>
      <c r="G253" s="6" t="n">
        <v>0</v>
      </c>
      <c r="H253" s="6" t="n">
        <v>0</v>
      </c>
      <c r="I253" s="6" t="n">
        <v>0</v>
      </c>
      <c r="J253" s="4" t="s">
        <v>18</v>
      </c>
      <c r="K253" s="4" t="s">
        <v>19</v>
      </c>
      <c r="L253" s="4" t="s">
        <v>20</v>
      </c>
    </row>
    <row r="254" customFormat="false" ht="22.35" hidden="false" customHeight="false" outlineLevel="0" collapsed="false">
      <c r="A254" s="7" t="s">
        <v>274</v>
      </c>
      <c r="B254" s="7" t="s">
        <v>14</v>
      </c>
      <c r="C254" s="7" t="s">
        <v>15</v>
      </c>
      <c r="D254" s="7" t="s">
        <v>16</v>
      </c>
      <c r="E254" s="7" t="s">
        <v>27</v>
      </c>
      <c r="F254" s="8" t="n">
        <v>3.7331</v>
      </c>
      <c r="G254" s="9" t="n">
        <v>0</v>
      </c>
      <c r="H254" s="9" t="n">
        <v>0</v>
      </c>
      <c r="I254" s="9" t="n">
        <v>0</v>
      </c>
      <c r="J254" s="7" t="s">
        <v>18</v>
      </c>
      <c r="K254" s="7" t="s">
        <v>19</v>
      </c>
      <c r="L254" s="7" t="s">
        <v>20</v>
      </c>
    </row>
    <row r="255" customFormat="false" ht="22.35" hidden="false" customHeight="false" outlineLevel="0" collapsed="false">
      <c r="A255" s="4" t="s">
        <v>275</v>
      </c>
      <c r="B255" s="4" t="s">
        <v>14</v>
      </c>
      <c r="C255" s="4" t="s">
        <v>15</v>
      </c>
      <c r="D255" s="4" t="s">
        <v>16</v>
      </c>
      <c r="E255" s="4" t="s">
        <v>27</v>
      </c>
      <c r="F255" s="5" t="n">
        <v>5.271</v>
      </c>
      <c r="G255" s="6" t="n">
        <v>0</v>
      </c>
      <c r="H255" s="6" t="n">
        <v>0</v>
      </c>
      <c r="I255" s="6" t="n">
        <v>0</v>
      </c>
      <c r="J255" s="4" t="s">
        <v>18</v>
      </c>
      <c r="K255" s="4" t="s">
        <v>19</v>
      </c>
      <c r="L255" s="4" t="s">
        <v>20</v>
      </c>
    </row>
    <row r="256" customFormat="false" ht="22.35" hidden="false" customHeight="false" outlineLevel="0" collapsed="false">
      <c r="A256" s="7" t="s">
        <v>276</v>
      </c>
      <c r="B256" s="7" t="s">
        <v>14</v>
      </c>
      <c r="C256" s="7" t="s">
        <v>15</v>
      </c>
      <c r="D256" s="7" t="s">
        <v>16</v>
      </c>
      <c r="E256" s="7" t="s">
        <v>17</v>
      </c>
      <c r="F256" s="8" t="n">
        <v>3.433</v>
      </c>
      <c r="G256" s="9" t="n">
        <v>0</v>
      </c>
      <c r="H256" s="9" t="n">
        <v>0</v>
      </c>
      <c r="I256" s="9" t="n">
        <v>0</v>
      </c>
      <c r="J256" s="7" t="s">
        <v>18</v>
      </c>
      <c r="K256" s="7" t="s">
        <v>19</v>
      </c>
      <c r="L256" s="7" t="s">
        <v>20</v>
      </c>
    </row>
    <row r="257" customFormat="false" ht="22.35" hidden="false" customHeight="false" outlineLevel="0" collapsed="false">
      <c r="A257" s="4" t="s">
        <v>277</v>
      </c>
      <c r="B257" s="4" t="s">
        <v>14</v>
      </c>
      <c r="C257" s="4" t="s">
        <v>15</v>
      </c>
      <c r="D257" s="4" t="s">
        <v>16</v>
      </c>
      <c r="E257" s="4" t="s">
        <v>17</v>
      </c>
      <c r="F257" s="5" t="n">
        <v>5.4179</v>
      </c>
      <c r="G257" s="6" t="n">
        <v>0</v>
      </c>
      <c r="H257" s="6" t="n">
        <v>0</v>
      </c>
      <c r="I257" s="6" t="n">
        <v>0</v>
      </c>
      <c r="J257" s="4" t="s">
        <v>18</v>
      </c>
      <c r="K257" s="4" t="s">
        <v>19</v>
      </c>
      <c r="L257" s="4" t="s">
        <v>20</v>
      </c>
    </row>
    <row r="258" customFormat="false" ht="22.35" hidden="false" customHeight="false" outlineLevel="0" collapsed="false">
      <c r="A258" s="7" t="s">
        <v>278</v>
      </c>
      <c r="B258" s="7" t="s">
        <v>14</v>
      </c>
      <c r="C258" s="7" t="s">
        <v>15</v>
      </c>
      <c r="D258" s="7" t="s">
        <v>16</v>
      </c>
      <c r="E258" s="7" t="s">
        <v>44</v>
      </c>
      <c r="F258" s="8" t="n">
        <v>3.05</v>
      </c>
      <c r="G258" s="9" t="n">
        <v>0</v>
      </c>
      <c r="H258" s="9" t="n">
        <v>0</v>
      </c>
      <c r="I258" s="9" t="n">
        <v>0</v>
      </c>
      <c r="J258" s="7" t="s">
        <v>18</v>
      </c>
      <c r="K258" s="7" t="s">
        <v>19</v>
      </c>
      <c r="L258" s="7" t="s">
        <v>20</v>
      </c>
    </row>
    <row r="259" customFormat="false" ht="22.35" hidden="false" customHeight="false" outlineLevel="0" collapsed="false">
      <c r="A259" s="4" t="s">
        <v>279</v>
      </c>
      <c r="B259" s="4" t="s">
        <v>14</v>
      </c>
      <c r="C259" s="4" t="s">
        <v>15</v>
      </c>
      <c r="D259" s="4" t="s">
        <v>16</v>
      </c>
      <c r="E259" s="4" t="s">
        <v>44</v>
      </c>
      <c r="F259" s="5" t="n">
        <v>3.5984</v>
      </c>
      <c r="G259" s="6" t="n">
        <v>0</v>
      </c>
      <c r="H259" s="6" t="n">
        <v>0</v>
      </c>
      <c r="I259" s="6" t="n">
        <v>0</v>
      </c>
      <c r="J259" s="4" t="s">
        <v>18</v>
      </c>
      <c r="K259" s="4" t="s">
        <v>19</v>
      </c>
      <c r="L259" s="4" t="s">
        <v>20</v>
      </c>
    </row>
    <row r="260" customFormat="false" ht="22.35" hidden="false" customHeight="false" outlineLevel="0" collapsed="false">
      <c r="A260" s="7" t="s">
        <v>280</v>
      </c>
      <c r="B260" s="7" t="s">
        <v>14</v>
      </c>
      <c r="C260" s="7" t="s">
        <v>15</v>
      </c>
      <c r="D260" s="7" t="s">
        <v>16</v>
      </c>
      <c r="E260" s="7" t="s">
        <v>44</v>
      </c>
      <c r="F260" s="8" t="n">
        <v>0</v>
      </c>
      <c r="G260" s="9" t="n">
        <v>0</v>
      </c>
      <c r="H260" s="9" t="n">
        <v>0</v>
      </c>
      <c r="I260" s="9" t="n">
        <v>0</v>
      </c>
      <c r="J260" s="7" t="s">
        <v>18</v>
      </c>
      <c r="K260" s="7" t="s">
        <v>19</v>
      </c>
      <c r="L260" s="7" t="s">
        <v>20</v>
      </c>
    </row>
    <row r="261" customFormat="false" ht="22.35" hidden="false" customHeight="false" outlineLevel="0" collapsed="false">
      <c r="A261" s="4" t="s">
        <v>281</v>
      </c>
      <c r="B261" s="4" t="s">
        <v>14</v>
      </c>
      <c r="C261" s="4" t="s">
        <v>15</v>
      </c>
      <c r="D261" s="4" t="s">
        <v>16</v>
      </c>
      <c r="E261" s="4" t="s">
        <v>44</v>
      </c>
      <c r="F261" s="5" t="n">
        <v>0.33</v>
      </c>
      <c r="G261" s="6" t="n">
        <v>0</v>
      </c>
      <c r="H261" s="6" t="n">
        <v>0</v>
      </c>
      <c r="I261" s="6" t="n">
        <v>0</v>
      </c>
      <c r="J261" s="4" t="s">
        <v>18</v>
      </c>
      <c r="K261" s="4" t="s">
        <v>19</v>
      </c>
      <c r="L261" s="4" t="s">
        <v>20</v>
      </c>
    </row>
    <row r="262" customFormat="false" ht="22.35" hidden="false" customHeight="false" outlineLevel="0" collapsed="false">
      <c r="A262" s="7" t="s">
        <v>282</v>
      </c>
      <c r="B262" s="7" t="s">
        <v>14</v>
      </c>
      <c r="C262" s="7" t="s">
        <v>15</v>
      </c>
      <c r="D262" s="7" t="s">
        <v>16</v>
      </c>
      <c r="E262" s="7" t="s">
        <v>44</v>
      </c>
      <c r="F262" s="8" t="n">
        <v>2.07</v>
      </c>
      <c r="G262" s="9" t="n">
        <v>0</v>
      </c>
      <c r="H262" s="9" t="n">
        <v>0</v>
      </c>
      <c r="I262" s="9" t="n">
        <v>0</v>
      </c>
      <c r="J262" s="7" t="s">
        <v>18</v>
      </c>
      <c r="K262" s="7" t="s">
        <v>19</v>
      </c>
      <c r="L262" s="7" t="s">
        <v>20</v>
      </c>
    </row>
    <row r="263" customFormat="false" ht="22.35" hidden="false" customHeight="false" outlineLevel="0" collapsed="false">
      <c r="A263" s="4" t="s">
        <v>283</v>
      </c>
      <c r="B263" s="4" t="s">
        <v>14</v>
      </c>
      <c r="C263" s="4" t="s">
        <v>15</v>
      </c>
      <c r="D263" s="4" t="s">
        <v>16</v>
      </c>
      <c r="E263" s="4" t="s">
        <v>44</v>
      </c>
      <c r="F263" s="5" t="n">
        <v>2.02</v>
      </c>
      <c r="G263" s="6" t="n">
        <v>0</v>
      </c>
      <c r="H263" s="6" t="n">
        <v>0</v>
      </c>
      <c r="I263" s="6" t="n">
        <v>0</v>
      </c>
      <c r="J263" s="4" t="s">
        <v>18</v>
      </c>
      <c r="K263" s="4" t="s">
        <v>19</v>
      </c>
      <c r="L263" s="4" t="s">
        <v>20</v>
      </c>
    </row>
    <row r="264" customFormat="false" ht="22.35" hidden="false" customHeight="false" outlineLevel="0" collapsed="false">
      <c r="A264" s="7" t="s">
        <v>284</v>
      </c>
      <c r="B264" s="7" t="s">
        <v>14</v>
      </c>
      <c r="C264" s="7" t="s">
        <v>15</v>
      </c>
      <c r="D264" s="7" t="s">
        <v>16</v>
      </c>
      <c r="E264" s="7" t="s">
        <v>17</v>
      </c>
      <c r="F264" s="8" t="n">
        <v>0.5</v>
      </c>
      <c r="G264" s="9" t="n">
        <v>0</v>
      </c>
      <c r="H264" s="9" t="n">
        <v>0</v>
      </c>
      <c r="I264" s="9" t="n">
        <v>0</v>
      </c>
      <c r="J264" s="7" t="s">
        <v>18</v>
      </c>
      <c r="K264" s="7" t="s">
        <v>19</v>
      </c>
      <c r="L264" s="7" t="s">
        <v>20</v>
      </c>
    </row>
    <row r="265" customFormat="false" ht="22.35" hidden="false" customHeight="false" outlineLevel="0" collapsed="false">
      <c r="A265" s="4" t="s">
        <v>285</v>
      </c>
      <c r="B265" s="4" t="s">
        <v>14</v>
      </c>
      <c r="C265" s="4" t="s">
        <v>15</v>
      </c>
      <c r="D265" s="4" t="s">
        <v>16</v>
      </c>
      <c r="E265" s="4" t="s">
        <v>286</v>
      </c>
      <c r="F265" s="5" t="n">
        <v>0.96</v>
      </c>
      <c r="G265" s="6" t="n">
        <v>0</v>
      </c>
      <c r="H265" s="6" t="n">
        <v>0</v>
      </c>
      <c r="I265" s="6" t="n">
        <v>0</v>
      </c>
      <c r="J265" s="4" t="s">
        <v>18</v>
      </c>
      <c r="K265" s="4" t="s">
        <v>19</v>
      </c>
      <c r="L265" s="4" t="s">
        <v>20</v>
      </c>
    </row>
    <row r="266" customFormat="false" ht="22.35" hidden="false" customHeight="false" outlineLevel="0" collapsed="false">
      <c r="A266" s="7" t="s">
        <v>287</v>
      </c>
      <c r="B266" s="7" t="s">
        <v>14</v>
      </c>
      <c r="C266" s="7" t="s">
        <v>15</v>
      </c>
      <c r="D266" s="7" t="s">
        <v>16</v>
      </c>
      <c r="E266" s="7" t="s">
        <v>17</v>
      </c>
      <c r="F266" s="8" t="n">
        <v>0.22</v>
      </c>
      <c r="G266" s="9" t="n">
        <v>0</v>
      </c>
      <c r="H266" s="9" t="n">
        <v>0</v>
      </c>
      <c r="I266" s="9" t="n">
        <v>0</v>
      </c>
      <c r="J266" s="7" t="s">
        <v>18</v>
      </c>
      <c r="K266" s="7" t="s">
        <v>19</v>
      </c>
      <c r="L266" s="7" t="s">
        <v>20</v>
      </c>
    </row>
    <row r="267" customFormat="false" ht="22.35" hidden="false" customHeight="false" outlineLevel="0" collapsed="false">
      <c r="A267" s="4" t="s">
        <v>288</v>
      </c>
      <c r="B267" s="4" t="s">
        <v>14</v>
      </c>
      <c r="C267" s="4" t="s">
        <v>15</v>
      </c>
      <c r="D267" s="4" t="s">
        <v>16</v>
      </c>
      <c r="E267" s="4" t="s">
        <v>17</v>
      </c>
      <c r="F267" s="5" t="n">
        <v>0.77</v>
      </c>
      <c r="G267" s="6" t="n">
        <v>0</v>
      </c>
      <c r="H267" s="6" t="n">
        <v>0</v>
      </c>
      <c r="I267" s="6" t="n">
        <v>0</v>
      </c>
      <c r="J267" s="4" t="s">
        <v>18</v>
      </c>
      <c r="K267" s="4" t="s">
        <v>19</v>
      </c>
      <c r="L267" s="4" t="s">
        <v>20</v>
      </c>
    </row>
    <row r="268" customFormat="false" ht="22.35" hidden="false" customHeight="false" outlineLevel="0" collapsed="false">
      <c r="A268" s="7" t="s">
        <v>289</v>
      </c>
      <c r="B268" s="7" t="s">
        <v>14</v>
      </c>
      <c r="C268" s="7" t="s">
        <v>15</v>
      </c>
      <c r="D268" s="7" t="s">
        <v>16</v>
      </c>
      <c r="E268" s="7" t="s">
        <v>17</v>
      </c>
      <c r="F268" s="8" t="n">
        <v>1.7</v>
      </c>
      <c r="G268" s="9" t="n">
        <v>0</v>
      </c>
      <c r="H268" s="9" t="n">
        <v>0</v>
      </c>
      <c r="I268" s="9" t="n">
        <v>0</v>
      </c>
      <c r="J268" s="7" t="s">
        <v>18</v>
      </c>
      <c r="K268" s="7" t="s">
        <v>19</v>
      </c>
      <c r="L268" s="7" t="s">
        <v>20</v>
      </c>
    </row>
    <row r="269" customFormat="false" ht="22.35" hidden="false" customHeight="false" outlineLevel="0" collapsed="false">
      <c r="A269" s="4" t="s">
        <v>290</v>
      </c>
      <c r="B269" s="4" t="s">
        <v>14</v>
      </c>
      <c r="C269" s="4" t="s">
        <v>15</v>
      </c>
      <c r="D269" s="4" t="s">
        <v>16</v>
      </c>
      <c r="E269" s="4" t="s">
        <v>17</v>
      </c>
      <c r="F269" s="5" t="n">
        <v>18.1</v>
      </c>
      <c r="G269" s="6" t="n">
        <v>0</v>
      </c>
      <c r="H269" s="6" t="n">
        <v>0</v>
      </c>
      <c r="I269" s="6" t="n">
        <v>0</v>
      </c>
      <c r="J269" s="4" t="s">
        <v>18</v>
      </c>
      <c r="K269" s="4" t="s">
        <v>19</v>
      </c>
      <c r="L269" s="4" t="s">
        <v>20</v>
      </c>
    </row>
    <row r="270" customFormat="false" ht="22.35" hidden="false" customHeight="false" outlineLevel="0" collapsed="false">
      <c r="A270" s="7" t="s">
        <v>291</v>
      </c>
      <c r="B270" s="7" t="s">
        <v>14</v>
      </c>
      <c r="C270" s="7" t="s">
        <v>15</v>
      </c>
      <c r="D270" s="7" t="s">
        <v>16</v>
      </c>
      <c r="E270" s="7" t="s">
        <v>17</v>
      </c>
      <c r="F270" s="8" t="n">
        <v>1.11</v>
      </c>
      <c r="G270" s="9" t="n">
        <v>0</v>
      </c>
      <c r="H270" s="9" t="n">
        <v>0</v>
      </c>
      <c r="I270" s="9" t="n">
        <v>0</v>
      </c>
      <c r="J270" s="7" t="s">
        <v>18</v>
      </c>
      <c r="K270" s="7" t="s">
        <v>19</v>
      </c>
      <c r="L270" s="7" t="s">
        <v>20</v>
      </c>
    </row>
    <row r="271" customFormat="false" ht="22.35" hidden="false" customHeight="false" outlineLevel="0" collapsed="false">
      <c r="A271" s="4" t="s">
        <v>292</v>
      </c>
      <c r="B271" s="4" t="s">
        <v>14</v>
      </c>
      <c r="C271" s="4" t="s">
        <v>15</v>
      </c>
      <c r="D271" s="4" t="s">
        <v>16</v>
      </c>
      <c r="E271" s="4" t="s">
        <v>17</v>
      </c>
      <c r="F271" s="5" t="n">
        <v>0.87</v>
      </c>
      <c r="G271" s="6" t="n">
        <v>0</v>
      </c>
      <c r="H271" s="6" t="n">
        <v>0</v>
      </c>
      <c r="I271" s="6" t="n">
        <v>0</v>
      </c>
      <c r="J271" s="4" t="s">
        <v>18</v>
      </c>
      <c r="K271" s="4" t="s">
        <v>19</v>
      </c>
      <c r="L271" s="4" t="s">
        <v>20</v>
      </c>
    </row>
    <row r="272" customFormat="false" ht="22.35" hidden="false" customHeight="false" outlineLevel="0" collapsed="false">
      <c r="A272" s="7" t="s">
        <v>293</v>
      </c>
      <c r="B272" s="7" t="s">
        <v>14</v>
      </c>
      <c r="C272" s="7" t="s">
        <v>15</v>
      </c>
      <c r="D272" s="7" t="s">
        <v>16</v>
      </c>
      <c r="E272" s="7" t="s">
        <v>17</v>
      </c>
      <c r="F272" s="8" t="n">
        <v>2.57</v>
      </c>
      <c r="G272" s="9" t="n">
        <v>0</v>
      </c>
      <c r="H272" s="9" t="n">
        <v>0</v>
      </c>
      <c r="I272" s="9" t="n">
        <v>0</v>
      </c>
      <c r="J272" s="7" t="s">
        <v>18</v>
      </c>
      <c r="K272" s="7" t="s">
        <v>19</v>
      </c>
      <c r="L272" s="7" t="s">
        <v>20</v>
      </c>
    </row>
    <row r="273" customFormat="false" ht="22.35" hidden="false" customHeight="false" outlineLevel="0" collapsed="false">
      <c r="A273" s="4" t="s">
        <v>294</v>
      </c>
      <c r="B273" s="4" t="s">
        <v>14</v>
      </c>
      <c r="C273" s="4" t="s">
        <v>15</v>
      </c>
      <c r="D273" s="4" t="s">
        <v>16</v>
      </c>
      <c r="E273" s="4" t="s">
        <v>17</v>
      </c>
      <c r="F273" s="5" t="n">
        <v>3.62</v>
      </c>
      <c r="G273" s="6" t="n">
        <v>0</v>
      </c>
      <c r="H273" s="6" t="n">
        <v>0</v>
      </c>
      <c r="I273" s="6" t="n">
        <v>0</v>
      </c>
      <c r="J273" s="4" t="s">
        <v>18</v>
      </c>
      <c r="K273" s="4" t="s">
        <v>19</v>
      </c>
      <c r="L273" s="4" t="s">
        <v>20</v>
      </c>
    </row>
    <row r="274" customFormat="false" ht="22.35" hidden="false" customHeight="false" outlineLevel="0" collapsed="false">
      <c r="A274" s="7" t="s">
        <v>295</v>
      </c>
      <c r="B274" s="7" t="s">
        <v>14</v>
      </c>
      <c r="C274" s="7" t="s">
        <v>15</v>
      </c>
      <c r="D274" s="7" t="s">
        <v>16</v>
      </c>
      <c r="E274" s="7" t="s">
        <v>17</v>
      </c>
      <c r="F274" s="8" t="n">
        <v>2.03</v>
      </c>
      <c r="G274" s="9" t="n">
        <v>0</v>
      </c>
      <c r="H274" s="9" t="n">
        <v>0</v>
      </c>
      <c r="I274" s="9" t="n">
        <v>0</v>
      </c>
      <c r="J274" s="7" t="s">
        <v>18</v>
      </c>
      <c r="K274" s="7" t="s">
        <v>19</v>
      </c>
      <c r="L274" s="7" t="s">
        <v>20</v>
      </c>
    </row>
    <row r="275" customFormat="false" ht="22.35" hidden="false" customHeight="false" outlineLevel="0" collapsed="false">
      <c r="A275" s="4" t="s">
        <v>296</v>
      </c>
      <c r="B275" s="4" t="s">
        <v>14</v>
      </c>
      <c r="C275" s="4" t="s">
        <v>15</v>
      </c>
      <c r="D275" s="4" t="s">
        <v>16</v>
      </c>
      <c r="E275" s="4" t="s">
        <v>17</v>
      </c>
      <c r="F275" s="5" t="n">
        <v>5.87</v>
      </c>
      <c r="G275" s="6" t="n">
        <v>0</v>
      </c>
      <c r="H275" s="6" t="n">
        <v>0</v>
      </c>
      <c r="I275" s="6" t="n">
        <v>0</v>
      </c>
      <c r="J275" s="4" t="s">
        <v>18</v>
      </c>
      <c r="K275" s="4" t="s">
        <v>19</v>
      </c>
      <c r="L275" s="4" t="s">
        <v>20</v>
      </c>
    </row>
    <row r="276" customFormat="false" ht="22.35" hidden="false" customHeight="false" outlineLevel="0" collapsed="false">
      <c r="A276" s="7" t="s">
        <v>297</v>
      </c>
      <c r="B276" s="7" t="s">
        <v>14</v>
      </c>
      <c r="C276" s="7" t="s">
        <v>15</v>
      </c>
      <c r="D276" s="7" t="s">
        <v>16</v>
      </c>
      <c r="E276" s="7" t="s">
        <v>17</v>
      </c>
      <c r="F276" s="8" t="n">
        <v>5.44</v>
      </c>
      <c r="G276" s="9" t="n">
        <v>0</v>
      </c>
      <c r="H276" s="9" t="n">
        <v>0</v>
      </c>
      <c r="I276" s="9" t="n">
        <v>0</v>
      </c>
      <c r="J276" s="7" t="s">
        <v>18</v>
      </c>
      <c r="K276" s="7" t="s">
        <v>19</v>
      </c>
      <c r="L276" s="7" t="s">
        <v>20</v>
      </c>
    </row>
    <row r="277" customFormat="false" ht="22.35" hidden="false" customHeight="false" outlineLevel="0" collapsed="false">
      <c r="A277" s="4" t="s">
        <v>298</v>
      </c>
      <c r="B277" s="4" t="s">
        <v>14</v>
      </c>
      <c r="C277" s="4" t="s">
        <v>15</v>
      </c>
      <c r="D277" s="4" t="s">
        <v>16</v>
      </c>
      <c r="E277" s="4" t="s">
        <v>17</v>
      </c>
      <c r="F277" s="5" t="n">
        <v>1.14</v>
      </c>
      <c r="G277" s="6" t="n">
        <v>0</v>
      </c>
      <c r="H277" s="6" t="n">
        <v>0</v>
      </c>
      <c r="I277" s="6" t="n">
        <v>0</v>
      </c>
      <c r="J277" s="4" t="s">
        <v>18</v>
      </c>
      <c r="K277" s="4" t="s">
        <v>19</v>
      </c>
      <c r="L277" s="4" t="s">
        <v>20</v>
      </c>
    </row>
    <row r="278" customFormat="false" ht="22.35" hidden="false" customHeight="false" outlineLevel="0" collapsed="false">
      <c r="A278" s="7" t="s">
        <v>299</v>
      </c>
      <c r="B278" s="7" t="s">
        <v>14</v>
      </c>
      <c r="C278" s="7" t="s">
        <v>15</v>
      </c>
      <c r="D278" s="7" t="s">
        <v>16</v>
      </c>
      <c r="E278" s="7" t="s">
        <v>17</v>
      </c>
      <c r="F278" s="8" t="n">
        <v>1.03</v>
      </c>
      <c r="G278" s="9" t="n">
        <v>0</v>
      </c>
      <c r="H278" s="9" t="n">
        <v>0</v>
      </c>
      <c r="I278" s="9" t="n">
        <v>0</v>
      </c>
      <c r="J278" s="7" t="s">
        <v>18</v>
      </c>
      <c r="K278" s="7" t="s">
        <v>19</v>
      </c>
      <c r="L278" s="7" t="s">
        <v>20</v>
      </c>
    </row>
    <row r="279" customFormat="false" ht="22.35" hidden="false" customHeight="false" outlineLevel="0" collapsed="false">
      <c r="A279" s="4" t="s">
        <v>300</v>
      </c>
      <c r="B279" s="4" t="s">
        <v>14</v>
      </c>
      <c r="C279" s="4" t="s">
        <v>15</v>
      </c>
      <c r="D279" s="4" t="s">
        <v>16</v>
      </c>
      <c r="E279" s="4" t="s">
        <v>17</v>
      </c>
      <c r="F279" s="5" t="n">
        <v>2.22</v>
      </c>
      <c r="G279" s="6" t="n">
        <v>0</v>
      </c>
      <c r="H279" s="6" t="n">
        <v>0</v>
      </c>
      <c r="I279" s="6" t="n">
        <v>0</v>
      </c>
      <c r="J279" s="4" t="s">
        <v>18</v>
      </c>
      <c r="K279" s="4" t="s">
        <v>19</v>
      </c>
      <c r="L279" s="4" t="s">
        <v>20</v>
      </c>
    </row>
    <row r="280" customFormat="false" ht="22.35" hidden="false" customHeight="false" outlineLevel="0" collapsed="false">
      <c r="A280" s="7" t="s">
        <v>301</v>
      </c>
      <c r="B280" s="7" t="s">
        <v>14</v>
      </c>
      <c r="C280" s="7" t="s">
        <v>15</v>
      </c>
      <c r="D280" s="7" t="s">
        <v>16</v>
      </c>
      <c r="E280" s="7" t="s">
        <v>17</v>
      </c>
      <c r="F280" s="8" t="n">
        <v>0.92</v>
      </c>
      <c r="G280" s="9" t="n">
        <v>0</v>
      </c>
      <c r="H280" s="9" t="n">
        <v>0</v>
      </c>
      <c r="I280" s="9" t="n">
        <v>0</v>
      </c>
      <c r="J280" s="7" t="s">
        <v>18</v>
      </c>
      <c r="K280" s="7" t="s">
        <v>19</v>
      </c>
      <c r="L280" s="7" t="s">
        <v>20</v>
      </c>
    </row>
    <row r="281" customFormat="false" ht="22.35" hidden="false" customHeight="false" outlineLevel="0" collapsed="false">
      <c r="A281" s="4" t="s">
        <v>302</v>
      </c>
      <c r="B281" s="4" t="s">
        <v>14</v>
      </c>
      <c r="C281" s="4" t="s">
        <v>15</v>
      </c>
      <c r="D281" s="4" t="s">
        <v>16</v>
      </c>
      <c r="E281" s="4" t="s">
        <v>17</v>
      </c>
      <c r="F281" s="5" t="n">
        <v>1.1</v>
      </c>
      <c r="G281" s="6" t="n">
        <v>0</v>
      </c>
      <c r="H281" s="6" t="n">
        <v>0</v>
      </c>
      <c r="I281" s="6" t="n">
        <v>0</v>
      </c>
      <c r="J281" s="4" t="s">
        <v>18</v>
      </c>
      <c r="K281" s="4" t="s">
        <v>19</v>
      </c>
      <c r="L281" s="4" t="s">
        <v>20</v>
      </c>
    </row>
    <row r="282" customFormat="false" ht="22.35" hidden="false" customHeight="false" outlineLevel="0" collapsed="false">
      <c r="A282" s="7" t="s">
        <v>303</v>
      </c>
      <c r="B282" s="7" t="s">
        <v>14</v>
      </c>
      <c r="C282" s="7" t="s">
        <v>15</v>
      </c>
      <c r="D282" s="7" t="s">
        <v>16</v>
      </c>
      <c r="E282" s="7" t="s">
        <v>27</v>
      </c>
      <c r="F282" s="8" t="n">
        <v>1.89</v>
      </c>
      <c r="G282" s="9" t="n">
        <v>0</v>
      </c>
      <c r="H282" s="9" t="n">
        <v>0</v>
      </c>
      <c r="I282" s="9" t="n">
        <v>0</v>
      </c>
      <c r="J282" s="7" t="s">
        <v>18</v>
      </c>
      <c r="K282" s="7" t="s">
        <v>19</v>
      </c>
      <c r="L282" s="7" t="s">
        <v>20</v>
      </c>
    </row>
    <row r="283" customFormat="false" ht="22.35" hidden="false" customHeight="false" outlineLevel="0" collapsed="false">
      <c r="A283" s="4" t="s">
        <v>304</v>
      </c>
      <c r="B283" s="4" t="s">
        <v>14</v>
      </c>
      <c r="C283" s="4" t="s">
        <v>15</v>
      </c>
      <c r="D283" s="4" t="s">
        <v>16</v>
      </c>
      <c r="E283" s="4" t="s">
        <v>17</v>
      </c>
      <c r="F283" s="5" t="n">
        <v>15.72</v>
      </c>
      <c r="G283" s="6" t="n">
        <v>0</v>
      </c>
      <c r="H283" s="6" t="n">
        <v>0</v>
      </c>
      <c r="I283" s="6" t="n">
        <v>0</v>
      </c>
      <c r="J283" s="4" t="s">
        <v>18</v>
      </c>
      <c r="K283" s="4" t="s">
        <v>19</v>
      </c>
      <c r="L283" s="4" t="s">
        <v>20</v>
      </c>
    </row>
    <row r="284" customFormat="false" ht="22.35" hidden="false" customHeight="false" outlineLevel="0" collapsed="false">
      <c r="A284" s="7" t="s">
        <v>305</v>
      </c>
      <c r="B284" s="7" t="s">
        <v>14</v>
      </c>
      <c r="C284" s="7" t="s">
        <v>15</v>
      </c>
      <c r="D284" s="7" t="s">
        <v>16</v>
      </c>
      <c r="E284" s="7" t="s">
        <v>17</v>
      </c>
      <c r="F284" s="8" t="n">
        <v>1.84</v>
      </c>
      <c r="G284" s="9" t="n">
        <v>0</v>
      </c>
      <c r="H284" s="9" t="n">
        <v>0</v>
      </c>
      <c r="I284" s="9" t="n">
        <v>0</v>
      </c>
      <c r="J284" s="7" t="s">
        <v>18</v>
      </c>
      <c r="K284" s="7" t="s">
        <v>19</v>
      </c>
      <c r="L284" s="7" t="s">
        <v>20</v>
      </c>
    </row>
    <row r="285" customFormat="false" ht="22.35" hidden="false" customHeight="false" outlineLevel="0" collapsed="false">
      <c r="A285" s="4" t="s">
        <v>306</v>
      </c>
      <c r="B285" s="4" t="s">
        <v>14</v>
      </c>
      <c r="C285" s="4" t="s">
        <v>15</v>
      </c>
      <c r="D285" s="4" t="s">
        <v>16</v>
      </c>
      <c r="E285" s="4" t="s">
        <v>17</v>
      </c>
      <c r="F285" s="5" t="n">
        <v>2.22</v>
      </c>
      <c r="G285" s="6" t="n">
        <v>0</v>
      </c>
      <c r="H285" s="6" t="n">
        <v>0</v>
      </c>
      <c r="I285" s="6" t="n">
        <v>0</v>
      </c>
      <c r="J285" s="4" t="s">
        <v>18</v>
      </c>
      <c r="K285" s="4" t="s">
        <v>19</v>
      </c>
      <c r="L285" s="4" t="s">
        <v>20</v>
      </c>
    </row>
    <row r="286" customFormat="false" ht="22.35" hidden="false" customHeight="false" outlineLevel="0" collapsed="false">
      <c r="A286" s="7" t="s">
        <v>307</v>
      </c>
      <c r="B286" s="7" t="s">
        <v>14</v>
      </c>
      <c r="C286" s="7" t="s">
        <v>15</v>
      </c>
      <c r="D286" s="7" t="s">
        <v>16</v>
      </c>
      <c r="E286" s="7" t="s">
        <v>17</v>
      </c>
      <c r="F286" s="8" t="n">
        <v>1.16</v>
      </c>
      <c r="G286" s="9" t="n">
        <v>0</v>
      </c>
      <c r="H286" s="9" t="n">
        <v>0</v>
      </c>
      <c r="I286" s="9" t="n">
        <v>0</v>
      </c>
      <c r="J286" s="7" t="s">
        <v>18</v>
      </c>
      <c r="K286" s="7" t="s">
        <v>19</v>
      </c>
      <c r="L286" s="7" t="s">
        <v>20</v>
      </c>
    </row>
    <row r="287" customFormat="false" ht="22.35" hidden="false" customHeight="false" outlineLevel="0" collapsed="false">
      <c r="A287" s="4" t="s">
        <v>308</v>
      </c>
      <c r="B287" s="4" t="s">
        <v>14</v>
      </c>
      <c r="C287" s="4" t="s">
        <v>15</v>
      </c>
      <c r="D287" s="4" t="s">
        <v>16</v>
      </c>
      <c r="E287" s="4" t="s">
        <v>17</v>
      </c>
      <c r="F287" s="5" t="n">
        <v>2.06</v>
      </c>
      <c r="G287" s="6" t="n">
        <v>0</v>
      </c>
      <c r="H287" s="6" t="n">
        <v>0</v>
      </c>
      <c r="I287" s="6" t="n">
        <v>0</v>
      </c>
      <c r="J287" s="4" t="s">
        <v>18</v>
      </c>
      <c r="K287" s="4" t="s">
        <v>19</v>
      </c>
      <c r="L287" s="4" t="s">
        <v>20</v>
      </c>
    </row>
    <row r="288" customFormat="false" ht="22.35" hidden="false" customHeight="false" outlineLevel="0" collapsed="false">
      <c r="A288" s="7" t="s">
        <v>309</v>
      </c>
      <c r="B288" s="7" t="s">
        <v>14</v>
      </c>
      <c r="C288" s="7" t="s">
        <v>15</v>
      </c>
      <c r="D288" s="7" t="s">
        <v>16</v>
      </c>
      <c r="E288" s="7" t="s">
        <v>17</v>
      </c>
      <c r="F288" s="8" t="n">
        <v>4.9</v>
      </c>
      <c r="G288" s="9" t="n">
        <v>0</v>
      </c>
      <c r="H288" s="9" t="n">
        <v>0</v>
      </c>
      <c r="I288" s="9" t="n">
        <v>0</v>
      </c>
      <c r="J288" s="7" t="s">
        <v>18</v>
      </c>
      <c r="K288" s="7" t="s">
        <v>19</v>
      </c>
      <c r="L288" s="7" t="s">
        <v>20</v>
      </c>
    </row>
    <row r="289" customFormat="false" ht="22.35" hidden="false" customHeight="false" outlineLevel="0" collapsed="false">
      <c r="A289" s="4" t="s">
        <v>310</v>
      </c>
      <c r="B289" s="4" t="s">
        <v>14</v>
      </c>
      <c r="C289" s="4" t="s">
        <v>15</v>
      </c>
      <c r="D289" s="4" t="s">
        <v>16</v>
      </c>
      <c r="E289" s="4" t="s">
        <v>17</v>
      </c>
      <c r="F289" s="5" t="n">
        <v>23.55</v>
      </c>
      <c r="G289" s="6" t="n">
        <v>0</v>
      </c>
      <c r="H289" s="6" t="n">
        <v>0</v>
      </c>
      <c r="I289" s="6" t="n">
        <v>0</v>
      </c>
      <c r="J289" s="4" t="s">
        <v>18</v>
      </c>
      <c r="K289" s="4" t="s">
        <v>19</v>
      </c>
      <c r="L289" s="4" t="s">
        <v>20</v>
      </c>
    </row>
    <row r="290" customFormat="false" ht="22.35" hidden="false" customHeight="false" outlineLevel="0" collapsed="false">
      <c r="A290" s="7" t="s">
        <v>311</v>
      </c>
      <c r="B290" s="7" t="s">
        <v>14</v>
      </c>
      <c r="C290" s="7" t="s">
        <v>15</v>
      </c>
      <c r="D290" s="7" t="s">
        <v>16</v>
      </c>
      <c r="E290" s="7" t="s">
        <v>17</v>
      </c>
      <c r="F290" s="8" t="n">
        <v>1.0818</v>
      </c>
      <c r="G290" s="9" t="n">
        <v>0</v>
      </c>
      <c r="H290" s="9" t="n">
        <v>0</v>
      </c>
      <c r="I290" s="9" t="n">
        <v>0</v>
      </c>
      <c r="J290" s="7" t="s">
        <v>18</v>
      </c>
      <c r="K290" s="7" t="s">
        <v>19</v>
      </c>
      <c r="L290" s="7" t="s">
        <v>20</v>
      </c>
    </row>
    <row r="291" customFormat="false" ht="22.35" hidden="false" customHeight="false" outlineLevel="0" collapsed="false">
      <c r="A291" s="4" t="s">
        <v>312</v>
      </c>
      <c r="B291" s="4" t="s">
        <v>14</v>
      </c>
      <c r="C291" s="4" t="s">
        <v>15</v>
      </c>
      <c r="D291" s="4" t="s">
        <v>16</v>
      </c>
      <c r="E291" s="4" t="s">
        <v>17</v>
      </c>
      <c r="F291" s="5" t="n">
        <v>4.95</v>
      </c>
      <c r="G291" s="6" t="n">
        <v>0</v>
      </c>
      <c r="H291" s="6" t="n">
        <v>0</v>
      </c>
      <c r="I291" s="6" t="n">
        <v>0</v>
      </c>
      <c r="J291" s="4" t="s">
        <v>18</v>
      </c>
      <c r="K291" s="4" t="s">
        <v>19</v>
      </c>
      <c r="L291" s="4" t="s">
        <v>20</v>
      </c>
    </row>
    <row r="292" customFormat="false" ht="22.35" hidden="false" customHeight="false" outlineLevel="0" collapsed="false">
      <c r="A292" s="7" t="s">
        <v>313</v>
      </c>
      <c r="B292" s="7" t="s">
        <v>14</v>
      </c>
      <c r="C292" s="7" t="s">
        <v>15</v>
      </c>
      <c r="D292" s="7" t="s">
        <v>16</v>
      </c>
      <c r="E292" s="7" t="s">
        <v>17</v>
      </c>
      <c r="F292" s="8" t="n">
        <v>1.15</v>
      </c>
      <c r="G292" s="9" t="n">
        <v>0</v>
      </c>
      <c r="H292" s="9" t="n">
        <v>0</v>
      </c>
      <c r="I292" s="9" t="n">
        <v>0</v>
      </c>
      <c r="J292" s="7" t="s">
        <v>18</v>
      </c>
      <c r="K292" s="7" t="s">
        <v>19</v>
      </c>
      <c r="L292" s="7" t="s">
        <v>20</v>
      </c>
    </row>
    <row r="293" customFormat="false" ht="22.35" hidden="false" customHeight="false" outlineLevel="0" collapsed="false">
      <c r="A293" s="4" t="s">
        <v>314</v>
      </c>
      <c r="B293" s="4" t="s">
        <v>14</v>
      </c>
      <c r="C293" s="4" t="s">
        <v>15</v>
      </c>
      <c r="D293" s="4" t="s">
        <v>16</v>
      </c>
      <c r="E293" s="4" t="s">
        <v>17</v>
      </c>
      <c r="F293" s="5" t="n">
        <v>6.41</v>
      </c>
      <c r="G293" s="6" t="n">
        <v>0</v>
      </c>
      <c r="H293" s="6" t="n">
        <v>0</v>
      </c>
      <c r="I293" s="6" t="n">
        <v>0</v>
      </c>
      <c r="J293" s="4" t="s">
        <v>18</v>
      </c>
      <c r="K293" s="4" t="s">
        <v>19</v>
      </c>
      <c r="L293" s="4" t="s">
        <v>20</v>
      </c>
    </row>
    <row r="294" customFormat="false" ht="22.35" hidden="false" customHeight="false" outlineLevel="0" collapsed="false">
      <c r="A294" s="7" t="s">
        <v>315</v>
      </c>
      <c r="B294" s="7" t="s">
        <v>14</v>
      </c>
      <c r="C294" s="7" t="s">
        <v>15</v>
      </c>
      <c r="D294" s="7" t="s">
        <v>16</v>
      </c>
      <c r="E294" s="7" t="s">
        <v>17</v>
      </c>
      <c r="F294" s="8" t="n">
        <v>11.96</v>
      </c>
      <c r="G294" s="9" t="n">
        <v>0</v>
      </c>
      <c r="H294" s="9" t="n">
        <v>0</v>
      </c>
      <c r="I294" s="9" t="n">
        <v>0</v>
      </c>
      <c r="J294" s="7" t="s">
        <v>18</v>
      </c>
      <c r="K294" s="7" t="s">
        <v>19</v>
      </c>
      <c r="L294" s="7" t="s">
        <v>20</v>
      </c>
    </row>
    <row r="295" customFormat="false" ht="22.35" hidden="false" customHeight="false" outlineLevel="0" collapsed="false">
      <c r="A295" s="4" t="s">
        <v>316</v>
      </c>
      <c r="B295" s="4" t="s">
        <v>14</v>
      </c>
      <c r="C295" s="4" t="s">
        <v>15</v>
      </c>
      <c r="D295" s="4" t="s">
        <v>16</v>
      </c>
      <c r="E295" s="4" t="s">
        <v>17</v>
      </c>
      <c r="F295" s="5" t="n">
        <v>5.75</v>
      </c>
      <c r="G295" s="6" t="n">
        <v>0</v>
      </c>
      <c r="H295" s="6" t="n">
        <v>0</v>
      </c>
      <c r="I295" s="6" t="n">
        <v>0</v>
      </c>
      <c r="J295" s="4" t="s">
        <v>18</v>
      </c>
      <c r="K295" s="4" t="s">
        <v>19</v>
      </c>
      <c r="L295" s="4" t="s">
        <v>20</v>
      </c>
    </row>
    <row r="296" customFormat="false" ht="22.35" hidden="false" customHeight="false" outlineLevel="0" collapsed="false">
      <c r="A296" s="7" t="s">
        <v>317</v>
      </c>
      <c r="B296" s="7" t="s">
        <v>14</v>
      </c>
      <c r="C296" s="7" t="s">
        <v>15</v>
      </c>
      <c r="D296" s="7" t="s">
        <v>16</v>
      </c>
      <c r="E296" s="7" t="s">
        <v>17</v>
      </c>
      <c r="F296" s="8" t="n">
        <v>6.8</v>
      </c>
      <c r="G296" s="9" t="n">
        <v>0</v>
      </c>
      <c r="H296" s="9" t="n">
        <v>0</v>
      </c>
      <c r="I296" s="9" t="n">
        <v>0</v>
      </c>
      <c r="J296" s="7" t="s">
        <v>18</v>
      </c>
      <c r="K296" s="7" t="s">
        <v>19</v>
      </c>
      <c r="L296" s="7" t="s">
        <v>20</v>
      </c>
    </row>
    <row r="297" customFormat="false" ht="22.35" hidden="false" customHeight="false" outlineLevel="0" collapsed="false">
      <c r="A297" s="4" t="s">
        <v>318</v>
      </c>
      <c r="B297" s="4" t="s">
        <v>14</v>
      </c>
      <c r="C297" s="4" t="s">
        <v>15</v>
      </c>
      <c r="D297" s="4" t="s">
        <v>16</v>
      </c>
      <c r="E297" s="4" t="s">
        <v>17</v>
      </c>
      <c r="F297" s="5" t="n">
        <v>2.23</v>
      </c>
      <c r="G297" s="6" t="n">
        <v>0</v>
      </c>
      <c r="H297" s="6" t="n">
        <v>0</v>
      </c>
      <c r="I297" s="6" t="n">
        <v>0</v>
      </c>
      <c r="J297" s="4" t="s">
        <v>18</v>
      </c>
      <c r="K297" s="4" t="s">
        <v>19</v>
      </c>
      <c r="L297" s="4" t="s">
        <v>20</v>
      </c>
    </row>
    <row r="298" customFormat="false" ht="22.35" hidden="false" customHeight="false" outlineLevel="0" collapsed="false">
      <c r="A298" s="7" t="s">
        <v>319</v>
      </c>
      <c r="B298" s="7" t="s">
        <v>14</v>
      </c>
      <c r="C298" s="7" t="s">
        <v>15</v>
      </c>
      <c r="D298" s="7" t="s">
        <v>16</v>
      </c>
      <c r="E298" s="7" t="s">
        <v>17</v>
      </c>
      <c r="F298" s="8" t="n">
        <v>4.81</v>
      </c>
      <c r="G298" s="9" t="n">
        <v>0</v>
      </c>
      <c r="H298" s="9" t="n">
        <v>0</v>
      </c>
      <c r="I298" s="9" t="n">
        <v>0</v>
      </c>
      <c r="J298" s="7" t="s">
        <v>18</v>
      </c>
      <c r="K298" s="7" t="s">
        <v>19</v>
      </c>
      <c r="L298" s="7" t="s">
        <v>20</v>
      </c>
    </row>
    <row r="299" customFormat="false" ht="22.35" hidden="false" customHeight="false" outlineLevel="0" collapsed="false">
      <c r="A299" s="4" t="s">
        <v>320</v>
      </c>
      <c r="B299" s="4" t="s">
        <v>14</v>
      </c>
      <c r="C299" s="4" t="s">
        <v>15</v>
      </c>
      <c r="D299" s="4" t="s">
        <v>16</v>
      </c>
      <c r="E299" s="4" t="s">
        <v>17</v>
      </c>
      <c r="F299" s="5" t="n">
        <v>2.57</v>
      </c>
      <c r="G299" s="6" t="n">
        <v>0</v>
      </c>
      <c r="H299" s="6" t="n">
        <v>0</v>
      </c>
      <c r="I299" s="6" t="n">
        <v>0</v>
      </c>
      <c r="J299" s="4" t="s">
        <v>18</v>
      </c>
      <c r="K299" s="4" t="s">
        <v>19</v>
      </c>
      <c r="L299" s="4" t="s">
        <v>20</v>
      </c>
    </row>
    <row r="300" customFormat="false" ht="22.35" hidden="false" customHeight="false" outlineLevel="0" collapsed="false">
      <c r="A300" s="7" t="s">
        <v>321</v>
      </c>
      <c r="B300" s="7" t="s">
        <v>14</v>
      </c>
      <c r="C300" s="7" t="s">
        <v>15</v>
      </c>
      <c r="D300" s="7" t="s">
        <v>16</v>
      </c>
      <c r="E300" s="7" t="s">
        <v>17</v>
      </c>
      <c r="F300" s="8" t="n">
        <v>1.4</v>
      </c>
      <c r="G300" s="9" t="n">
        <v>0</v>
      </c>
      <c r="H300" s="9" t="n">
        <v>0</v>
      </c>
      <c r="I300" s="9" t="n">
        <v>0</v>
      </c>
      <c r="J300" s="7" t="s">
        <v>18</v>
      </c>
      <c r="K300" s="7" t="s">
        <v>19</v>
      </c>
      <c r="L300" s="7" t="s">
        <v>20</v>
      </c>
    </row>
    <row r="301" customFormat="false" ht="22.35" hidden="false" customHeight="false" outlineLevel="0" collapsed="false">
      <c r="A301" s="4" t="s">
        <v>322</v>
      </c>
      <c r="B301" s="4" t="s">
        <v>14</v>
      </c>
      <c r="C301" s="4" t="s">
        <v>15</v>
      </c>
      <c r="D301" s="4" t="s">
        <v>16</v>
      </c>
      <c r="E301" s="4" t="s">
        <v>17</v>
      </c>
      <c r="F301" s="5" t="n">
        <v>2.71</v>
      </c>
      <c r="G301" s="6" t="n">
        <v>0</v>
      </c>
      <c r="H301" s="6" t="n">
        <v>0</v>
      </c>
      <c r="I301" s="6" t="n">
        <v>0</v>
      </c>
      <c r="J301" s="4" t="s">
        <v>18</v>
      </c>
      <c r="K301" s="4" t="s">
        <v>19</v>
      </c>
      <c r="L301" s="4" t="s">
        <v>20</v>
      </c>
    </row>
    <row r="302" customFormat="false" ht="22.35" hidden="false" customHeight="false" outlineLevel="0" collapsed="false">
      <c r="A302" s="7" t="s">
        <v>323</v>
      </c>
      <c r="B302" s="7" t="s">
        <v>14</v>
      </c>
      <c r="C302" s="7" t="s">
        <v>15</v>
      </c>
      <c r="D302" s="7" t="s">
        <v>16</v>
      </c>
      <c r="E302" s="7" t="s">
        <v>17</v>
      </c>
      <c r="F302" s="8" t="n">
        <v>2.8</v>
      </c>
      <c r="G302" s="9" t="n">
        <v>0</v>
      </c>
      <c r="H302" s="9" t="n">
        <v>0</v>
      </c>
      <c r="I302" s="9" t="n">
        <v>0</v>
      </c>
      <c r="J302" s="7" t="s">
        <v>18</v>
      </c>
      <c r="K302" s="7" t="s">
        <v>19</v>
      </c>
      <c r="L302" s="7" t="s">
        <v>20</v>
      </c>
    </row>
    <row r="303" customFormat="false" ht="22.35" hidden="false" customHeight="false" outlineLevel="0" collapsed="false">
      <c r="A303" s="4" t="s">
        <v>324</v>
      </c>
      <c r="B303" s="4" t="s">
        <v>14</v>
      </c>
      <c r="C303" s="4" t="s">
        <v>15</v>
      </c>
      <c r="D303" s="4" t="s">
        <v>16</v>
      </c>
      <c r="E303" s="4" t="s">
        <v>17</v>
      </c>
      <c r="F303" s="5" t="n">
        <v>3.42</v>
      </c>
      <c r="G303" s="6" t="n">
        <v>0</v>
      </c>
      <c r="H303" s="6" t="n">
        <v>0</v>
      </c>
      <c r="I303" s="6" t="n">
        <v>0</v>
      </c>
      <c r="J303" s="4" t="s">
        <v>18</v>
      </c>
      <c r="K303" s="4" t="s">
        <v>19</v>
      </c>
      <c r="L303" s="4" t="s">
        <v>20</v>
      </c>
    </row>
    <row r="304" customFormat="false" ht="22.35" hidden="false" customHeight="false" outlineLevel="0" collapsed="false">
      <c r="A304" s="7" t="s">
        <v>325</v>
      </c>
      <c r="B304" s="7" t="s">
        <v>14</v>
      </c>
      <c r="C304" s="7" t="s">
        <v>15</v>
      </c>
      <c r="D304" s="7" t="s">
        <v>16</v>
      </c>
      <c r="E304" s="7" t="s">
        <v>17</v>
      </c>
      <c r="F304" s="8" t="n">
        <v>7.2</v>
      </c>
      <c r="G304" s="9" t="n">
        <v>0</v>
      </c>
      <c r="H304" s="9" t="n">
        <v>0</v>
      </c>
      <c r="I304" s="9" t="n">
        <v>0</v>
      </c>
      <c r="J304" s="7" t="s">
        <v>18</v>
      </c>
      <c r="K304" s="7" t="s">
        <v>19</v>
      </c>
      <c r="L304" s="7" t="s">
        <v>20</v>
      </c>
    </row>
    <row r="305" customFormat="false" ht="22.35" hidden="false" customHeight="false" outlineLevel="0" collapsed="false">
      <c r="A305" s="4" t="s">
        <v>326</v>
      </c>
      <c r="B305" s="4" t="s">
        <v>14</v>
      </c>
      <c r="C305" s="4" t="s">
        <v>15</v>
      </c>
      <c r="D305" s="4" t="s">
        <v>16</v>
      </c>
      <c r="E305" s="4" t="s">
        <v>17</v>
      </c>
      <c r="F305" s="5" t="n">
        <v>33.51</v>
      </c>
      <c r="G305" s="6" t="n">
        <v>0</v>
      </c>
      <c r="H305" s="6" t="n">
        <v>0</v>
      </c>
      <c r="I305" s="6" t="n">
        <v>0</v>
      </c>
      <c r="J305" s="4" t="s">
        <v>18</v>
      </c>
      <c r="K305" s="4" t="s">
        <v>19</v>
      </c>
      <c r="L305" s="4" t="s">
        <v>20</v>
      </c>
    </row>
    <row r="306" customFormat="false" ht="22.35" hidden="false" customHeight="false" outlineLevel="0" collapsed="false">
      <c r="A306" s="7" t="s">
        <v>327</v>
      </c>
      <c r="B306" s="7" t="s">
        <v>14</v>
      </c>
      <c r="C306" s="7" t="s">
        <v>15</v>
      </c>
      <c r="D306" s="7" t="s">
        <v>16</v>
      </c>
      <c r="E306" s="7" t="s">
        <v>17</v>
      </c>
      <c r="F306" s="8" t="n">
        <v>4.05</v>
      </c>
      <c r="G306" s="9" t="n">
        <v>0</v>
      </c>
      <c r="H306" s="9" t="n">
        <v>0</v>
      </c>
      <c r="I306" s="9" t="n">
        <v>0</v>
      </c>
      <c r="J306" s="7" t="s">
        <v>18</v>
      </c>
      <c r="K306" s="7" t="s">
        <v>19</v>
      </c>
      <c r="L306" s="7" t="s">
        <v>20</v>
      </c>
    </row>
    <row r="307" customFormat="false" ht="22.35" hidden="false" customHeight="false" outlineLevel="0" collapsed="false">
      <c r="A307" s="4" t="s">
        <v>328</v>
      </c>
      <c r="B307" s="4" t="s">
        <v>14</v>
      </c>
      <c r="C307" s="4" t="s">
        <v>15</v>
      </c>
      <c r="D307" s="4" t="s">
        <v>16</v>
      </c>
      <c r="E307" s="4" t="s">
        <v>17</v>
      </c>
      <c r="F307" s="5" t="n">
        <v>4.37</v>
      </c>
      <c r="G307" s="6" t="n">
        <v>0</v>
      </c>
      <c r="H307" s="6" t="n">
        <v>0</v>
      </c>
      <c r="I307" s="6" t="n">
        <v>0</v>
      </c>
      <c r="J307" s="4" t="s">
        <v>18</v>
      </c>
      <c r="K307" s="4" t="s">
        <v>19</v>
      </c>
      <c r="L307" s="4" t="s">
        <v>20</v>
      </c>
    </row>
    <row r="308" customFormat="false" ht="22.35" hidden="false" customHeight="false" outlineLevel="0" collapsed="false">
      <c r="A308" s="7" t="s">
        <v>329</v>
      </c>
      <c r="B308" s="7" t="s">
        <v>14</v>
      </c>
      <c r="C308" s="7" t="s">
        <v>15</v>
      </c>
      <c r="D308" s="7" t="s">
        <v>16</v>
      </c>
      <c r="E308" s="7" t="s">
        <v>17</v>
      </c>
      <c r="F308" s="8" t="n">
        <v>20.7318</v>
      </c>
      <c r="G308" s="9" t="n">
        <v>0</v>
      </c>
      <c r="H308" s="9" t="n">
        <v>0</v>
      </c>
      <c r="I308" s="9" t="n">
        <v>0</v>
      </c>
      <c r="J308" s="7" t="s">
        <v>18</v>
      </c>
      <c r="K308" s="7" t="s">
        <v>19</v>
      </c>
      <c r="L308" s="7" t="s">
        <v>20</v>
      </c>
    </row>
    <row r="309" customFormat="false" ht="22.35" hidden="false" customHeight="false" outlineLevel="0" collapsed="false">
      <c r="A309" s="4" t="s">
        <v>330</v>
      </c>
      <c r="B309" s="4" t="s">
        <v>14</v>
      </c>
      <c r="C309" s="4" t="s">
        <v>15</v>
      </c>
      <c r="D309" s="4" t="s">
        <v>16</v>
      </c>
      <c r="E309" s="4" t="s">
        <v>17</v>
      </c>
      <c r="F309" s="5" t="n">
        <v>11.83</v>
      </c>
      <c r="G309" s="6" t="n">
        <v>0</v>
      </c>
      <c r="H309" s="6" t="n">
        <v>0</v>
      </c>
      <c r="I309" s="6" t="n">
        <v>0</v>
      </c>
      <c r="J309" s="4" t="s">
        <v>18</v>
      </c>
      <c r="K309" s="4" t="s">
        <v>19</v>
      </c>
      <c r="L309" s="4" t="s">
        <v>20</v>
      </c>
    </row>
    <row r="310" customFormat="false" ht="22.35" hidden="false" customHeight="false" outlineLevel="0" collapsed="false">
      <c r="A310" s="7" t="s">
        <v>331</v>
      </c>
      <c r="B310" s="7" t="s">
        <v>14</v>
      </c>
      <c r="C310" s="7" t="s">
        <v>15</v>
      </c>
      <c r="D310" s="7" t="s">
        <v>16</v>
      </c>
      <c r="E310" s="7" t="s">
        <v>17</v>
      </c>
      <c r="F310" s="8" t="n">
        <v>15.6</v>
      </c>
      <c r="G310" s="9" t="n">
        <v>0</v>
      </c>
      <c r="H310" s="9" t="n">
        <v>0</v>
      </c>
      <c r="I310" s="9" t="n">
        <v>0</v>
      </c>
      <c r="J310" s="7" t="s">
        <v>18</v>
      </c>
      <c r="K310" s="7" t="s">
        <v>19</v>
      </c>
      <c r="L310" s="7" t="s">
        <v>20</v>
      </c>
    </row>
    <row r="311" customFormat="false" ht="22.35" hidden="false" customHeight="false" outlineLevel="0" collapsed="false">
      <c r="A311" s="4" t="s">
        <v>332</v>
      </c>
      <c r="B311" s="4" t="s">
        <v>14</v>
      </c>
      <c r="C311" s="4" t="s">
        <v>15</v>
      </c>
      <c r="D311" s="4" t="s">
        <v>16</v>
      </c>
      <c r="E311" s="4" t="s">
        <v>17</v>
      </c>
      <c r="F311" s="5" t="n">
        <v>174.74</v>
      </c>
      <c r="G311" s="6" t="n">
        <v>0</v>
      </c>
      <c r="H311" s="6" t="n">
        <v>0</v>
      </c>
      <c r="I311" s="6" t="n">
        <v>0</v>
      </c>
      <c r="J311" s="4" t="s">
        <v>18</v>
      </c>
      <c r="K311" s="4" t="s">
        <v>19</v>
      </c>
      <c r="L311" s="4" t="s">
        <v>20</v>
      </c>
    </row>
    <row r="312" customFormat="false" ht="22.35" hidden="false" customHeight="false" outlineLevel="0" collapsed="false">
      <c r="A312" s="7" t="s">
        <v>333</v>
      </c>
      <c r="B312" s="7" t="s">
        <v>14</v>
      </c>
      <c r="C312" s="7" t="s">
        <v>15</v>
      </c>
      <c r="D312" s="7" t="s">
        <v>16</v>
      </c>
      <c r="E312" s="7" t="s">
        <v>17</v>
      </c>
      <c r="F312" s="8" t="n">
        <v>5.21</v>
      </c>
      <c r="G312" s="9" t="n">
        <v>0</v>
      </c>
      <c r="H312" s="9" t="n">
        <v>0</v>
      </c>
      <c r="I312" s="9" t="n">
        <v>0</v>
      </c>
      <c r="J312" s="7" t="s">
        <v>18</v>
      </c>
      <c r="K312" s="7" t="s">
        <v>19</v>
      </c>
      <c r="L312" s="7" t="s">
        <v>20</v>
      </c>
    </row>
    <row r="313" customFormat="false" ht="22.35" hidden="false" customHeight="false" outlineLevel="0" collapsed="false">
      <c r="A313" s="4" t="s">
        <v>334</v>
      </c>
      <c r="B313" s="4" t="s">
        <v>14</v>
      </c>
      <c r="C313" s="4" t="s">
        <v>15</v>
      </c>
      <c r="D313" s="4" t="s">
        <v>16</v>
      </c>
      <c r="E313" s="4" t="s">
        <v>17</v>
      </c>
      <c r="F313" s="5" t="n">
        <v>19.22</v>
      </c>
      <c r="G313" s="6" t="n">
        <v>0</v>
      </c>
      <c r="H313" s="6" t="n">
        <v>0</v>
      </c>
      <c r="I313" s="6" t="n">
        <v>0</v>
      </c>
      <c r="J313" s="4" t="s">
        <v>18</v>
      </c>
      <c r="K313" s="4" t="s">
        <v>19</v>
      </c>
      <c r="L313" s="4" t="s">
        <v>20</v>
      </c>
    </row>
    <row r="314" customFormat="false" ht="22.35" hidden="false" customHeight="false" outlineLevel="0" collapsed="false">
      <c r="A314" s="7" t="s">
        <v>335</v>
      </c>
      <c r="B314" s="7" t="s">
        <v>14</v>
      </c>
      <c r="C314" s="7" t="s">
        <v>15</v>
      </c>
      <c r="D314" s="7" t="s">
        <v>16</v>
      </c>
      <c r="E314" s="7" t="s">
        <v>17</v>
      </c>
      <c r="F314" s="8" t="n">
        <v>9.5</v>
      </c>
      <c r="G314" s="9" t="n">
        <v>0</v>
      </c>
      <c r="H314" s="9" t="n">
        <v>0</v>
      </c>
      <c r="I314" s="9" t="n">
        <v>0</v>
      </c>
      <c r="J314" s="7" t="s">
        <v>18</v>
      </c>
      <c r="K314" s="7" t="s">
        <v>19</v>
      </c>
      <c r="L314" s="7" t="s">
        <v>20</v>
      </c>
    </row>
    <row r="315" customFormat="false" ht="22.35" hidden="false" customHeight="false" outlineLevel="0" collapsed="false">
      <c r="A315" s="4" t="s">
        <v>336</v>
      </c>
      <c r="B315" s="4" t="s">
        <v>14</v>
      </c>
      <c r="C315" s="4" t="s">
        <v>15</v>
      </c>
      <c r="D315" s="4" t="s">
        <v>16</v>
      </c>
      <c r="E315" s="4" t="s">
        <v>17</v>
      </c>
      <c r="F315" s="5" t="n">
        <v>18.39</v>
      </c>
      <c r="G315" s="6" t="n">
        <v>0</v>
      </c>
      <c r="H315" s="6" t="n">
        <v>0</v>
      </c>
      <c r="I315" s="6" t="n">
        <v>0</v>
      </c>
      <c r="J315" s="4" t="s">
        <v>18</v>
      </c>
      <c r="K315" s="4" t="s">
        <v>19</v>
      </c>
      <c r="L315" s="4" t="s">
        <v>20</v>
      </c>
    </row>
    <row r="316" customFormat="false" ht="22.35" hidden="false" customHeight="false" outlineLevel="0" collapsed="false">
      <c r="A316" s="7" t="s">
        <v>337</v>
      </c>
      <c r="B316" s="7" t="s">
        <v>14</v>
      </c>
      <c r="C316" s="7" t="s">
        <v>15</v>
      </c>
      <c r="D316" s="7" t="s">
        <v>16</v>
      </c>
      <c r="E316" s="7" t="s">
        <v>17</v>
      </c>
      <c r="F316" s="8" t="n">
        <v>8.74</v>
      </c>
      <c r="G316" s="9" t="n">
        <v>0</v>
      </c>
      <c r="H316" s="9" t="n">
        <v>0</v>
      </c>
      <c r="I316" s="9" t="n">
        <v>0</v>
      </c>
      <c r="J316" s="7" t="s">
        <v>18</v>
      </c>
      <c r="K316" s="7" t="s">
        <v>19</v>
      </c>
      <c r="L316" s="7" t="s">
        <v>20</v>
      </c>
    </row>
    <row r="317" customFormat="false" ht="22.35" hidden="false" customHeight="false" outlineLevel="0" collapsed="false">
      <c r="A317" s="4" t="s">
        <v>338</v>
      </c>
      <c r="B317" s="4" t="s">
        <v>14</v>
      </c>
      <c r="C317" s="4" t="s">
        <v>15</v>
      </c>
      <c r="D317" s="4" t="s">
        <v>16</v>
      </c>
      <c r="E317" s="4" t="s">
        <v>17</v>
      </c>
      <c r="F317" s="5" t="n">
        <v>4.32</v>
      </c>
      <c r="G317" s="6" t="n">
        <v>0</v>
      </c>
      <c r="H317" s="6" t="n">
        <v>0</v>
      </c>
      <c r="I317" s="6" t="n">
        <v>0</v>
      </c>
      <c r="J317" s="4" t="s">
        <v>18</v>
      </c>
      <c r="K317" s="4" t="s">
        <v>19</v>
      </c>
      <c r="L317" s="4" t="s">
        <v>20</v>
      </c>
    </row>
    <row r="318" customFormat="false" ht="22.35" hidden="false" customHeight="false" outlineLevel="0" collapsed="false">
      <c r="A318" s="7" t="s">
        <v>339</v>
      </c>
      <c r="B318" s="7" t="s">
        <v>14</v>
      </c>
      <c r="C318" s="7" t="s">
        <v>15</v>
      </c>
      <c r="D318" s="7" t="s">
        <v>16</v>
      </c>
      <c r="E318" s="7" t="s">
        <v>17</v>
      </c>
      <c r="F318" s="8" t="n">
        <v>6.48</v>
      </c>
      <c r="G318" s="9" t="n">
        <v>0</v>
      </c>
      <c r="H318" s="9" t="n">
        <v>0</v>
      </c>
      <c r="I318" s="9" t="n">
        <v>0</v>
      </c>
      <c r="J318" s="7" t="s">
        <v>18</v>
      </c>
      <c r="K318" s="7" t="s">
        <v>19</v>
      </c>
      <c r="L318" s="7" t="s">
        <v>20</v>
      </c>
    </row>
    <row r="319" customFormat="false" ht="22.35" hidden="false" customHeight="false" outlineLevel="0" collapsed="false">
      <c r="A319" s="4" t="s">
        <v>340</v>
      </c>
      <c r="B319" s="4" t="s">
        <v>14</v>
      </c>
      <c r="C319" s="4" t="s">
        <v>15</v>
      </c>
      <c r="D319" s="4" t="s">
        <v>16</v>
      </c>
      <c r="E319" s="4" t="s">
        <v>17</v>
      </c>
      <c r="F319" s="5" t="n">
        <v>9.35</v>
      </c>
      <c r="G319" s="6" t="n">
        <v>0</v>
      </c>
      <c r="H319" s="6" t="n">
        <v>0</v>
      </c>
      <c r="I319" s="6" t="n">
        <v>0</v>
      </c>
      <c r="J319" s="4" t="s">
        <v>18</v>
      </c>
      <c r="K319" s="4" t="s">
        <v>19</v>
      </c>
      <c r="L319" s="4" t="s">
        <v>20</v>
      </c>
    </row>
    <row r="320" customFormat="false" ht="22.35" hidden="false" customHeight="false" outlineLevel="0" collapsed="false">
      <c r="A320" s="7" t="s">
        <v>341</v>
      </c>
      <c r="B320" s="7" t="s">
        <v>14</v>
      </c>
      <c r="C320" s="7" t="s">
        <v>15</v>
      </c>
      <c r="D320" s="7" t="s">
        <v>16</v>
      </c>
      <c r="E320" s="7" t="s">
        <v>17</v>
      </c>
      <c r="F320" s="8" t="n">
        <v>6.11</v>
      </c>
      <c r="G320" s="9" t="n">
        <v>0</v>
      </c>
      <c r="H320" s="9" t="n">
        <v>0</v>
      </c>
      <c r="I320" s="9" t="n">
        <v>0</v>
      </c>
      <c r="J320" s="7" t="s">
        <v>18</v>
      </c>
      <c r="K320" s="7" t="s">
        <v>19</v>
      </c>
      <c r="L320" s="7" t="s">
        <v>20</v>
      </c>
    </row>
    <row r="321" customFormat="false" ht="22.35" hidden="false" customHeight="false" outlineLevel="0" collapsed="false">
      <c r="A321" s="4" t="s">
        <v>342</v>
      </c>
      <c r="B321" s="4" t="s">
        <v>14</v>
      </c>
      <c r="C321" s="4" t="s">
        <v>15</v>
      </c>
      <c r="D321" s="4" t="s">
        <v>16</v>
      </c>
      <c r="E321" s="4" t="s">
        <v>17</v>
      </c>
      <c r="F321" s="5" t="n">
        <v>21.5</v>
      </c>
      <c r="G321" s="6" t="n">
        <v>0</v>
      </c>
      <c r="H321" s="6" t="n">
        <v>0</v>
      </c>
      <c r="I321" s="6" t="n">
        <v>0</v>
      </c>
      <c r="J321" s="4" t="s">
        <v>18</v>
      </c>
      <c r="K321" s="4" t="s">
        <v>19</v>
      </c>
      <c r="L321" s="4" t="s">
        <v>20</v>
      </c>
    </row>
    <row r="322" customFormat="false" ht="22.35" hidden="false" customHeight="false" outlineLevel="0" collapsed="false">
      <c r="A322" s="7" t="s">
        <v>343</v>
      </c>
      <c r="B322" s="7" t="s">
        <v>14</v>
      </c>
      <c r="C322" s="7" t="s">
        <v>15</v>
      </c>
      <c r="D322" s="7" t="s">
        <v>16</v>
      </c>
      <c r="E322" s="7" t="s">
        <v>17</v>
      </c>
      <c r="F322" s="8" t="n">
        <v>6.48</v>
      </c>
      <c r="G322" s="9" t="n">
        <v>0</v>
      </c>
      <c r="H322" s="9" t="n">
        <v>0</v>
      </c>
      <c r="I322" s="9" t="n">
        <v>0</v>
      </c>
      <c r="J322" s="7" t="s">
        <v>18</v>
      </c>
      <c r="K322" s="7" t="s">
        <v>19</v>
      </c>
      <c r="L322" s="7" t="s">
        <v>20</v>
      </c>
    </row>
    <row r="323" customFormat="false" ht="22.35" hidden="false" customHeight="false" outlineLevel="0" collapsed="false">
      <c r="A323" s="4" t="s">
        <v>344</v>
      </c>
      <c r="B323" s="4" t="s">
        <v>14</v>
      </c>
      <c r="C323" s="4" t="s">
        <v>15</v>
      </c>
      <c r="D323" s="4" t="s">
        <v>16</v>
      </c>
      <c r="E323" s="4" t="s">
        <v>17</v>
      </c>
      <c r="F323" s="5" t="n">
        <v>6.37</v>
      </c>
      <c r="G323" s="6" t="n">
        <v>0</v>
      </c>
      <c r="H323" s="6" t="n">
        <v>0</v>
      </c>
      <c r="I323" s="6" t="n">
        <v>0</v>
      </c>
      <c r="J323" s="4" t="s">
        <v>18</v>
      </c>
      <c r="K323" s="4" t="s">
        <v>19</v>
      </c>
      <c r="L323" s="4" t="s">
        <v>20</v>
      </c>
    </row>
    <row r="324" customFormat="false" ht="22.35" hidden="false" customHeight="false" outlineLevel="0" collapsed="false">
      <c r="A324" s="7" t="s">
        <v>345</v>
      </c>
      <c r="B324" s="7" t="s">
        <v>14</v>
      </c>
      <c r="C324" s="7" t="s">
        <v>15</v>
      </c>
      <c r="D324" s="7" t="s">
        <v>16</v>
      </c>
      <c r="E324" s="7" t="s">
        <v>17</v>
      </c>
      <c r="F324" s="8" t="n">
        <v>3.72</v>
      </c>
      <c r="G324" s="9" t="n">
        <v>0</v>
      </c>
      <c r="H324" s="9" t="n">
        <v>0</v>
      </c>
      <c r="I324" s="9" t="n">
        <v>0</v>
      </c>
      <c r="J324" s="7" t="s">
        <v>18</v>
      </c>
      <c r="K324" s="7" t="s">
        <v>19</v>
      </c>
      <c r="L324" s="7" t="s">
        <v>20</v>
      </c>
    </row>
    <row r="325" customFormat="false" ht="22.35" hidden="false" customHeight="false" outlineLevel="0" collapsed="false">
      <c r="A325" s="4" t="s">
        <v>346</v>
      </c>
      <c r="B325" s="4" t="s">
        <v>14</v>
      </c>
      <c r="C325" s="4" t="s">
        <v>15</v>
      </c>
      <c r="D325" s="4" t="s">
        <v>16</v>
      </c>
      <c r="E325" s="4" t="s">
        <v>17</v>
      </c>
      <c r="F325" s="5" t="n">
        <v>7.75</v>
      </c>
      <c r="G325" s="6" t="n">
        <v>0</v>
      </c>
      <c r="H325" s="6" t="n">
        <v>0</v>
      </c>
      <c r="I325" s="6" t="n">
        <v>0</v>
      </c>
      <c r="J325" s="4" t="s">
        <v>18</v>
      </c>
      <c r="K325" s="4" t="s">
        <v>19</v>
      </c>
      <c r="L325" s="4" t="s">
        <v>20</v>
      </c>
    </row>
    <row r="326" customFormat="false" ht="22.35" hidden="false" customHeight="false" outlineLevel="0" collapsed="false">
      <c r="A326" s="7" t="s">
        <v>347</v>
      </c>
      <c r="B326" s="7" t="s">
        <v>14</v>
      </c>
      <c r="C326" s="7" t="s">
        <v>15</v>
      </c>
      <c r="D326" s="7" t="s">
        <v>16</v>
      </c>
      <c r="E326" s="7" t="s">
        <v>17</v>
      </c>
      <c r="F326" s="8" t="n">
        <v>2.53</v>
      </c>
      <c r="G326" s="9" t="n">
        <v>0</v>
      </c>
      <c r="H326" s="9" t="n">
        <v>0</v>
      </c>
      <c r="I326" s="9" t="n">
        <v>0</v>
      </c>
      <c r="J326" s="7" t="s">
        <v>18</v>
      </c>
      <c r="K326" s="7" t="s">
        <v>19</v>
      </c>
      <c r="L326" s="7" t="s">
        <v>20</v>
      </c>
    </row>
    <row r="327" customFormat="false" ht="22.35" hidden="false" customHeight="false" outlineLevel="0" collapsed="false">
      <c r="A327" s="4" t="s">
        <v>348</v>
      </c>
      <c r="B327" s="4" t="s">
        <v>14</v>
      </c>
      <c r="C327" s="4" t="s">
        <v>15</v>
      </c>
      <c r="D327" s="4" t="s">
        <v>16</v>
      </c>
      <c r="E327" s="4" t="s">
        <v>17</v>
      </c>
      <c r="F327" s="5" t="n">
        <v>6.65</v>
      </c>
      <c r="G327" s="6" t="n">
        <v>0</v>
      </c>
      <c r="H327" s="6" t="n">
        <v>0</v>
      </c>
      <c r="I327" s="6" t="n">
        <v>0</v>
      </c>
      <c r="J327" s="4" t="s">
        <v>18</v>
      </c>
      <c r="K327" s="4" t="s">
        <v>19</v>
      </c>
      <c r="L327" s="4" t="s">
        <v>20</v>
      </c>
    </row>
    <row r="328" customFormat="false" ht="22.35" hidden="false" customHeight="false" outlineLevel="0" collapsed="false">
      <c r="A328" s="7" t="s">
        <v>349</v>
      </c>
      <c r="B328" s="7" t="s">
        <v>14</v>
      </c>
      <c r="C328" s="7" t="s">
        <v>15</v>
      </c>
      <c r="D328" s="7" t="s">
        <v>16</v>
      </c>
      <c r="E328" s="7" t="s">
        <v>17</v>
      </c>
      <c r="F328" s="8" t="n">
        <v>4.38</v>
      </c>
      <c r="G328" s="9" t="n">
        <v>0</v>
      </c>
      <c r="H328" s="9" t="n">
        <v>0</v>
      </c>
      <c r="I328" s="9" t="n">
        <v>0</v>
      </c>
      <c r="J328" s="7" t="s">
        <v>18</v>
      </c>
      <c r="K328" s="7" t="s">
        <v>19</v>
      </c>
      <c r="L328" s="7" t="s">
        <v>20</v>
      </c>
    </row>
    <row r="329" customFormat="false" ht="22.35" hidden="false" customHeight="false" outlineLevel="0" collapsed="false">
      <c r="A329" s="4" t="s">
        <v>350</v>
      </c>
      <c r="B329" s="4" t="s">
        <v>14</v>
      </c>
      <c r="C329" s="4" t="s">
        <v>15</v>
      </c>
      <c r="D329" s="4" t="s">
        <v>16</v>
      </c>
      <c r="E329" s="4" t="s">
        <v>17</v>
      </c>
      <c r="F329" s="5" t="n">
        <v>5.27</v>
      </c>
      <c r="G329" s="6" t="n">
        <v>0</v>
      </c>
      <c r="H329" s="6" t="n">
        <v>0</v>
      </c>
      <c r="I329" s="6" t="n">
        <v>0</v>
      </c>
      <c r="J329" s="4" t="s">
        <v>18</v>
      </c>
      <c r="K329" s="4" t="s">
        <v>19</v>
      </c>
      <c r="L329" s="4" t="s">
        <v>20</v>
      </c>
    </row>
    <row r="330" customFormat="false" ht="22.35" hidden="false" customHeight="false" outlineLevel="0" collapsed="false">
      <c r="A330" s="7" t="s">
        <v>351</v>
      </c>
      <c r="B330" s="7" t="s">
        <v>14</v>
      </c>
      <c r="C330" s="7" t="s">
        <v>15</v>
      </c>
      <c r="D330" s="7" t="s">
        <v>16</v>
      </c>
      <c r="E330" s="7" t="s">
        <v>17</v>
      </c>
      <c r="F330" s="8" t="n">
        <v>3.18</v>
      </c>
      <c r="G330" s="9" t="n">
        <v>0</v>
      </c>
      <c r="H330" s="9" t="n">
        <v>0</v>
      </c>
      <c r="I330" s="9" t="n">
        <v>0</v>
      </c>
      <c r="J330" s="7" t="s">
        <v>18</v>
      </c>
      <c r="K330" s="7" t="s">
        <v>19</v>
      </c>
      <c r="L330" s="7" t="s">
        <v>20</v>
      </c>
    </row>
    <row r="331" customFormat="false" ht="22.35" hidden="false" customHeight="false" outlineLevel="0" collapsed="false">
      <c r="A331" s="4" t="s">
        <v>352</v>
      </c>
      <c r="B331" s="4" t="s">
        <v>14</v>
      </c>
      <c r="C331" s="4" t="s">
        <v>15</v>
      </c>
      <c r="D331" s="4" t="s">
        <v>16</v>
      </c>
      <c r="E331" s="4" t="s">
        <v>17</v>
      </c>
      <c r="F331" s="5" t="n">
        <v>6.49</v>
      </c>
      <c r="G331" s="6" t="n">
        <v>0</v>
      </c>
      <c r="H331" s="6" t="n">
        <v>0</v>
      </c>
      <c r="I331" s="6" t="n">
        <v>0</v>
      </c>
      <c r="J331" s="4" t="s">
        <v>18</v>
      </c>
      <c r="K331" s="4" t="s">
        <v>19</v>
      </c>
      <c r="L331" s="4" t="s">
        <v>20</v>
      </c>
    </row>
    <row r="332" customFormat="false" ht="22.35" hidden="false" customHeight="false" outlineLevel="0" collapsed="false">
      <c r="A332" s="7" t="s">
        <v>353</v>
      </c>
      <c r="B332" s="7" t="s">
        <v>14</v>
      </c>
      <c r="C332" s="7" t="s">
        <v>15</v>
      </c>
      <c r="D332" s="7" t="s">
        <v>16</v>
      </c>
      <c r="E332" s="7" t="s">
        <v>17</v>
      </c>
      <c r="F332" s="8" t="n">
        <v>2.44</v>
      </c>
      <c r="G332" s="9" t="n">
        <v>0</v>
      </c>
      <c r="H332" s="9" t="n">
        <v>0</v>
      </c>
      <c r="I332" s="9" t="n">
        <v>0</v>
      </c>
      <c r="J332" s="7" t="s">
        <v>18</v>
      </c>
      <c r="K332" s="7" t="s">
        <v>19</v>
      </c>
      <c r="L332" s="7" t="s">
        <v>20</v>
      </c>
    </row>
    <row r="333" customFormat="false" ht="22.35" hidden="false" customHeight="false" outlineLevel="0" collapsed="false">
      <c r="A333" s="4" t="s">
        <v>354</v>
      </c>
      <c r="B333" s="4" t="s">
        <v>14</v>
      </c>
      <c r="C333" s="4" t="s">
        <v>15</v>
      </c>
      <c r="D333" s="4" t="s">
        <v>16</v>
      </c>
      <c r="E333" s="4" t="s">
        <v>17</v>
      </c>
      <c r="F333" s="5" t="n">
        <v>5.2</v>
      </c>
      <c r="G333" s="6" t="n">
        <v>0</v>
      </c>
      <c r="H333" s="6" t="n">
        <v>0</v>
      </c>
      <c r="I333" s="6" t="n">
        <v>0</v>
      </c>
      <c r="J333" s="4" t="s">
        <v>18</v>
      </c>
      <c r="K333" s="4" t="s">
        <v>19</v>
      </c>
      <c r="L333" s="4" t="s">
        <v>20</v>
      </c>
    </row>
    <row r="334" customFormat="false" ht="22.35" hidden="false" customHeight="false" outlineLevel="0" collapsed="false">
      <c r="A334" s="7" t="s">
        <v>355</v>
      </c>
      <c r="B334" s="7" t="s">
        <v>14</v>
      </c>
      <c r="C334" s="7" t="s">
        <v>15</v>
      </c>
      <c r="D334" s="7" t="s">
        <v>16</v>
      </c>
      <c r="E334" s="7" t="s">
        <v>17</v>
      </c>
      <c r="F334" s="8" t="n">
        <v>8.88</v>
      </c>
      <c r="G334" s="9" t="n">
        <v>0</v>
      </c>
      <c r="H334" s="9" t="n">
        <v>0</v>
      </c>
      <c r="I334" s="9" t="n">
        <v>0</v>
      </c>
      <c r="J334" s="7" t="s">
        <v>18</v>
      </c>
      <c r="K334" s="7" t="s">
        <v>19</v>
      </c>
      <c r="L334" s="7" t="s">
        <v>20</v>
      </c>
    </row>
    <row r="335" customFormat="false" ht="22.35" hidden="false" customHeight="false" outlineLevel="0" collapsed="false">
      <c r="A335" s="4" t="s">
        <v>356</v>
      </c>
      <c r="B335" s="4" t="s">
        <v>14</v>
      </c>
      <c r="C335" s="4" t="s">
        <v>15</v>
      </c>
      <c r="D335" s="4" t="s">
        <v>16</v>
      </c>
      <c r="E335" s="4" t="s">
        <v>17</v>
      </c>
      <c r="F335" s="5" t="n">
        <v>9.61</v>
      </c>
      <c r="G335" s="6" t="n">
        <v>0</v>
      </c>
      <c r="H335" s="6" t="n">
        <v>0</v>
      </c>
      <c r="I335" s="6" t="n">
        <v>0</v>
      </c>
      <c r="J335" s="4" t="s">
        <v>18</v>
      </c>
      <c r="K335" s="4" t="s">
        <v>19</v>
      </c>
      <c r="L335" s="4" t="s">
        <v>20</v>
      </c>
    </row>
    <row r="336" customFormat="false" ht="22.35" hidden="false" customHeight="false" outlineLevel="0" collapsed="false">
      <c r="A336" s="7" t="s">
        <v>357</v>
      </c>
      <c r="B336" s="7" t="s">
        <v>14</v>
      </c>
      <c r="C336" s="7" t="s">
        <v>15</v>
      </c>
      <c r="D336" s="7" t="s">
        <v>16</v>
      </c>
      <c r="E336" s="7" t="s">
        <v>17</v>
      </c>
      <c r="F336" s="8" t="n">
        <v>3.97</v>
      </c>
      <c r="G336" s="9" t="n">
        <v>0</v>
      </c>
      <c r="H336" s="9" t="n">
        <v>0</v>
      </c>
      <c r="I336" s="9" t="n">
        <v>0</v>
      </c>
      <c r="J336" s="7" t="s">
        <v>18</v>
      </c>
      <c r="K336" s="7" t="s">
        <v>19</v>
      </c>
      <c r="L336" s="7" t="s">
        <v>20</v>
      </c>
    </row>
    <row r="337" customFormat="false" ht="22.35" hidden="false" customHeight="false" outlineLevel="0" collapsed="false">
      <c r="A337" s="4" t="s">
        <v>358</v>
      </c>
      <c r="B337" s="4" t="s">
        <v>14</v>
      </c>
      <c r="C337" s="4" t="s">
        <v>15</v>
      </c>
      <c r="D337" s="4" t="s">
        <v>16</v>
      </c>
      <c r="E337" s="4" t="s">
        <v>17</v>
      </c>
      <c r="F337" s="5" t="n">
        <v>2.15</v>
      </c>
      <c r="G337" s="6" t="n">
        <v>0</v>
      </c>
      <c r="H337" s="6" t="n">
        <v>0</v>
      </c>
      <c r="I337" s="6" t="n">
        <v>0</v>
      </c>
      <c r="J337" s="4" t="s">
        <v>18</v>
      </c>
      <c r="K337" s="4" t="s">
        <v>19</v>
      </c>
      <c r="L337" s="4" t="s">
        <v>20</v>
      </c>
    </row>
    <row r="338" customFormat="false" ht="22.35" hidden="false" customHeight="false" outlineLevel="0" collapsed="false">
      <c r="A338" s="7" t="s">
        <v>359</v>
      </c>
      <c r="B338" s="7" t="s">
        <v>14</v>
      </c>
      <c r="C338" s="7" t="s">
        <v>15</v>
      </c>
      <c r="D338" s="7" t="s">
        <v>16</v>
      </c>
      <c r="E338" s="7" t="s">
        <v>17</v>
      </c>
      <c r="F338" s="8" t="n">
        <v>0.05</v>
      </c>
      <c r="G338" s="9" t="n">
        <v>0</v>
      </c>
      <c r="H338" s="9" t="n">
        <v>0</v>
      </c>
      <c r="I338" s="9" t="n">
        <v>0</v>
      </c>
      <c r="J338" s="7" t="s">
        <v>18</v>
      </c>
      <c r="K338" s="7" t="s">
        <v>19</v>
      </c>
      <c r="L338" s="7" t="s">
        <v>20</v>
      </c>
    </row>
    <row r="339" customFormat="false" ht="22.35" hidden="false" customHeight="false" outlineLevel="0" collapsed="false">
      <c r="A339" s="4" t="s">
        <v>360</v>
      </c>
      <c r="B339" s="4" t="s">
        <v>14</v>
      </c>
      <c r="C339" s="4" t="s">
        <v>15</v>
      </c>
      <c r="D339" s="4" t="s">
        <v>16</v>
      </c>
      <c r="E339" s="4" t="s">
        <v>17</v>
      </c>
      <c r="F339" s="5" t="n">
        <v>0.05</v>
      </c>
      <c r="G339" s="6" t="n">
        <v>0</v>
      </c>
      <c r="H339" s="6" t="n">
        <v>0</v>
      </c>
      <c r="I339" s="6" t="n">
        <v>0</v>
      </c>
      <c r="J339" s="4" t="s">
        <v>18</v>
      </c>
      <c r="K339" s="4" t="s">
        <v>19</v>
      </c>
      <c r="L339" s="4" t="s">
        <v>20</v>
      </c>
    </row>
    <row r="340" customFormat="false" ht="22.35" hidden="false" customHeight="false" outlineLevel="0" collapsed="false">
      <c r="A340" s="7" t="s">
        <v>361</v>
      </c>
      <c r="B340" s="7" t="s">
        <v>14</v>
      </c>
      <c r="C340" s="7" t="s">
        <v>15</v>
      </c>
      <c r="D340" s="7" t="s">
        <v>16</v>
      </c>
      <c r="E340" s="7" t="s">
        <v>17</v>
      </c>
      <c r="F340" s="8" t="n">
        <v>0.05</v>
      </c>
      <c r="G340" s="9" t="n">
        <v>0</v>
      </c>
      <c r="H340" s="9" t="n">
        <v>0</v>
      </c>
      <c r="I340" s="9" t="n">
        <v>0</v>
      </c>
      <c r="J340" s="7" t="s">
        <v>18</v>
      </c>
      <c r="K340" s="7" t="s">
        <v>19</v>
      </c>
      <c r="L340" s="7" t="s">
        <v>20</v>
      </c>
    </row>
    <row r="341" customFormat="false" ht="22.35" hidden="false" customHeight="false" outlineLevel="0" collapsed="false">
      <c r="A341" s="4" t="s">
        <v>362</v>
      </c>
      <c r="B341" s="4" t="s">
        <v>14</v>
      </c>
      <c r="C341" s="4" t="s">
        <v>15</v>
      </c>
      <c r="D341" s="4" t="s">
        <v>16</v>
      </c>
      <c r="E341" s="4" t="s">
        <v>44</v>
      </c>
      <c r="F341" s="5" t="n">
        <v>6</v>
      </c>
      <c r="G341" s="6" t="n">
        <v>0</v>
      </c>
      <c r="H341" s="6" t="n">
        <v>0</v>
      </c>
      <c r="I341" s="6" t="n">
        <v>0</v>
      </c>
      <c r="J341" s="4" t="s">
        <v>18</v>
      </c>
      <c r="K341" s="4" t="s">
        <v>19</v>
      </c>
      <c r="L341" s="4" t="s">
        <v>20</v>
      </c>
    </row>
    <row r="342" customFormat="false" ht="22.35" hidden="false" customHeight="false" outlineLevel="0" collapsed="false">
      <c r="A342" s="7" t="s">
        <v>363</v>
      </c>
      <c r="B342" s="7" t="s">
        <v>14</v>
      </c>
      <c r="C342" s="7" t="s">
        <v>15</v>
      </c>
      <c r="D342" s="7" t="s">
        <v>16</v>
      </c>
      <c r="E342" s="7" t="s">
        <v>17</v>
      </c>
      <c r="F342" s="8" t="n">
        <v>10.21</v>
      </c>
      <c r="G342" s="9" t="n">
        <v>0</v>
      </c>
      <c r="H342" s="9" t="n">
        <v>0</v>
      </c>
      <c r="I342" s="9" t="n">
        <v>0</v>
      </c>
      <c r="J342" s="7" t="s">
        <v>18</v>
      </c>
      <c r="K342" s="7" t="s">
        <v>19</v>
      </c>
      <c r="L342" s="7" t="s">
        <v>20</v>
      </c>
    </row>
    <row r="343" customFormat="false" ht="22.35" hidden="false" customHeight="false" outlineLevel="0" collapsed="false">
      <c r="A343" s="4" t="s">
        <v>364</v>
      </c>
      <c r="B343" s="4" t="s">
        <v>14</v>
      </c>
      <c r="C343" s="4" t="s">
        <v>15</v>
      </c>
      <c r="D343" s="4" t="s">
        <v>16</v>
      </c>
      <c r="E343" s="4" t="s">
        <v>17</v>
      </c>
      <c r="F343" s="5" t="n">
        <v>3.13</v>
      </c>
      <c r="G343" s="6" t="n">
        <v>0</v>
      </c>
      <c r="H343" s="6" t="n">
        <v>0</v>
      </c>
      <c r="I343" s="6" t="n">
        <v>0</v>
      </c>
      <c r="J343" s="4" t="s">
        <v>18</v>
      </c>
      <c r="K343" s="4" t="s">
        <v>19</v>
      </c>
      <c r="L343" s="4" t="s">
        <v>20</v>
      </c>
    </row>
    <row r="344" customFormat="false" ht="22.35" hidden="false" customHeight="false" outlineLevel="0" collapsed="false">
      <c r="A344" s="7" t="s">
        <v>365</v>
      </c>
      <c r="B344" s="7" t="s">
        <v>14</v>
      </c>
      <c r="C344" s="7" t="s">
        <v>15</v>
      </c>
      <c r="D344" s="7" t="s">
        <v>16</v>
      </c>
      <c r="E344" s="7" t="s">
        <v>17</v>
      </c>
      <c r="F344" s="8" t="n">
        <v>5.13</v>
      </c>
      <c r="G344" s="9" t="n">
        <v>0</v>
      </c>
      <c r="H344" s="9" t="n">
        <v>0</v>
      </c>
      <c r="I344" s="9" t="n">
        <v>0</v>
      </c>
      <c r="J344" s="7" t="s">
        <v>18</v>
      </c>
      <c r="K344" s="7" t="s">
        <v>19</v>
      </c>
      <c r="L344" s="7" t="s">
        <v>20</v>
      </c>
    </row>
    <row r="345" customFormat="false" ht="22.35" hidden="false" customHeight="false" outlineLevel="0" collapsed="false">
      <c r="A345" s="4" t="s">
        <v>366</v>
      </c>
      <c r="B345" s="4" t="s">
        <v>14</v>
      </c>
      <c r="C345" s="4" t="s">
        <v>15</v>
      </c>
      <c r="D345" s="4" t="s">
        <v>16</v>
      </c>
      <c r="E345" s="4" t="s">
        <v>17</v>
      </c>
      <c r="F345" s="5" t="n">
        <v>2.58</v>
      </c>
      <c r="G345" s="6" t="n">
        <v>0</v>
      </c>
      <c r="H345" s="6" t="n">
        <v>0</v>
      </c>
      <c r="I345" s="6" t="n">
        <v>0</v>
      </c>
      <c r="J345" s="4" t="s">
        <v>18</v>
      </c>
      <c r="K345" s="4" t="s">
        <v>19</v>
      </c>
      <c r="L345" s="4" t="s">
        <v>20</v>
      </c>
    </row>
    <row r="346" customFormat="false" ht="22.35" hidden="false" customHeight="false" outlineLevel="0" collapsed="false">
      <c r="A346" s="7" t="s">
        <v>367</v>
      </c>
      <c r="B346" s="7" t="s">
        <v>14</v>
      </c>
      <c r="C346" s="7" t="s">
        <v>15</v>
      </c>
      <c r="D346" s="7" t="s">
        <v>16</v>
      </c>
      <c r="E346" s="7" t="s">
        <v>17</v>
      </c>
      <c r="F346" s="8" t="n">
        <v>9.58</v>
      </c>
      <c r="G346" s="9" t="n">
        <v>0</v>
      </c>
      <c r="H346" s="9" t="n">
        <v>0</v>
      </c>
      <c r="I346" s="9" t="n">
        <v>0</v>
      </c>
      <c r="J346" s="7" t="s">
        <v>18</v>
      </c>
      <c r="K346" s="7" t="s">
        <v>19</v>
      </c>
      <c r="L346" s="7" t="s">
        <v>20</v>
      </c>
    </row>
    <row r="347" customFormat="false" ht="22.35" hidden="false" customHeight="false" outlineLevel="0" collapsed="false">
      <c r="A347" s="4" t="s">
        <v>368</v>
      </c>
      <c r="B347" s="4" t="s">
        <v>14</v>
      </c>
      <c r="C347" s="4" t="s">
        <v>15</v>
      </c>
      <c r="D347" s="4" t="s">
        <v>16</v>
      </c>
      <c r="E347" s="4" t="s">
        <v>17</v>
      </c>
      <c r="F347" s="5" t="n">
        <v>0.05</v>
      </c>
      <c r="G347" s="6" t="n">
        <v>0</v>
      </c>
      <c r="H347" s="6" t="n">
        <v>0</v>
      </c>
      <c r="I347" s="6" t="n">
        <v>0</v>
      </c>
      <c r="J347" s="4" t="s">
        <v>18</v>
      </c>
      <c r="K347" s="4" t="s">
        <v>19</v>
      </c>
      <c r="L347" s="4" t="s">
        <v>20</v>
      </c>
    </row>
    <row r="348" customFormat="false" ht="22.35" hidden="false" customHeight="false" outlineLevel="0" collapsed="false">
      <c r="A348" s="7" t="s">
        <v>369</v>
      </c>
      <c r="B348" s="7" t="s">
        <v>14</v>
      </c>
      <c r="C348" s="7" t="s">
        <v>15</v>
      </c>
      <c r="D348" s="7" t="s">
        <v>16</v>
      </c>
      <c r="E348" s="7" t="s">
        <v>44</v>
      </c>
      <c r="F348" s="8" t="n">
        <v>2.09</v>
      </c>
      <c r="G348" s="9" t="n">
        <v>0</v>
      </c>
      <c r="H348" s="9" t="n">
        <v>0</v>
      </c>
      <c r="I348" s="9" t="n">
        <v>0</v>
      </c>
      <c r="J348" s="7" t="s">
        <v>18</v>
      </c>
      <c r="K348" s="7" t="s">
        <v>19</v>
      </c>
      <c r="L348" s="7" t="s">
        <v>20</v>
      </c>
    </row>
    <row r="349" customFormat="false" ht="22.35" hidden="false" customHeight="false" outlineLevel="0" collapsed="false">
      <c r="A349" s="4" t="s">
        <v>370</v>
      </c>
      <c r="B349" s="4" t="s">
        <v>14</v>
      </c>
      <c r="C349" s="4" t="s">
        <v>15</v>
      </c>
      <c r="D349" s="4" t="s">
        <v>16</v>
      </c>
      <c r="E349" s="4" t="s">
        <v>17</v>
      </c>
      <c r="F349" s="5" t="n">
        <v>0.05</v>
      </c>
      <c r="G349" s="6" t="n">
        <v>0</v>
      </c>
      <c r="H349" s="6" t="n">
        <v>0</v>
      </c>
      <c r="I349" s="6" t="n">
        <v>0</v>
      </c>
      <c r="J349" s="4" t="s">
        <v>18</v>
      </c>
      <c r="K349" s="4" t="s">
        <v>19</v>
      </c>
      <c r="L349" s="4" t="s">
        <v>20</v>
      </c>
    </row>
    <row r="350" customFormat="false" ht="22.35" hidden="false" customHeight="false" outlineLevel="0" collapsed="false">
      <c r="A350" s="7" t="s">
        <v>371</v>
      </c>
      <c r="B350" s="7" t="s">
        <v>14</v>
      </c>
      <c r="C350" s="7" t="s">
        <v>15</v>
      </c>
      <c r="D350" s="7" t="s">
        <v>16</v>
      </c>
      <c r="E350" s="7" t="s">
        <v>17</v>
      </c>
      <c r="F350" s="8" t="n">
        <v>5.67</v>
      </c>
      <c r="G350" s="9" t="n">
        <v>0</v>
      </c>
      <c r="H350" s="9" t="n">
        <v>0</v>
      </c>
      <c r="I350" s="9" t="n">
        <v>0</v>
      </c>
      <c r="J350" s="7" t="s">
        <v>18</v>
      </c>
      <c r="K350" s="7" t="s">
        <v>19</v>
      </c>
      <c r="L350" s="7" t="s">
        <v>20</v>
      </c>
    </row>
    <row r="351" customFormat="false" ht="22.35" hidden="false" customHeight="false" outlineLevel="0" collapsed="false">
      <c r="A351" s="4" t="s">
        <v>372</v>
      </c>
      <c r="B351" s="4" t="s">
        <v>14</v>
      </c>
      <c r="C351" s="4" t="s">
        <v>15</v>
      </c>
      <c r="D351" s="4" t="s">
        <v>16</v>
      </c>
      <c r="E351" s="4" t="s">
        <v>17</v>
      </c>
      <c r="F351" s="5" t="n">
        <v>0.05</v>
      </c>
      <c r="G351" s="6" t="n">
        <v>0</v>
      </c>
      <c r="H351" s="6" t="n">
        <v>0</v>
      </c>
      <c r="I351" s="6" t="n">
        <v>0</v>
      </c>
      <c r="J351" s="4" t="s">
        <v>18</v>
      </c>
      <c r="K351" s="4" t="s">
        <v>19</v>
      </c>
      <c r="L351" s="4" t="s">
        <v>20</v>
      </c>
    </row>
    <row r="352" customFormat="false" ht="22.35" hidden="false" customHeight="false" outlineLevel="0" collapsed="false">
      <c r="A352" s="7" t="s">
        <v>373</v>
      </c>
      <c r="B352" s="7" t="s">
        <v>14</v>
      </c>
      <c r="C352" s="7" t="s">
        <v>15</v>
      </c>
      <c r="D352" s="7" t="s">
        <v>16</v>
      </c>
      <c r="E352" s="7" t="s">
        <v>17</v>
      </c>
      <c r="F352" s="8" t="n">
        <v>0</v>
      </c>
      <c r="G352" s="9" t="n">
        <v>0</v>
      </c>
      <c r="H352" s="9" t="n">
        <v>0</v>
      </c>
      <c r="I352" s="9" t="n">
        <v>0</v>
      </c>
      <c r="J352" s="7" t="s">
        <v>18</v>
      </c>
      <c r="K352" s="7" t="s">
        <v>19</v>
      </c>
      <c r="L352" s="7" t="s">
        <v>20</v>
      </c>
    </row>
    <row r="353" customFormat="false" ht="22.35" hidden="false" customHeight="false" outlineLevel="0" collapsed="false">
      <c r="A353" s="4" t="s">
        <v>374</v>
      </c>
      <c r="B353" s="4" t="s">
        <v>14</v>
      </c>
      <c r="C353" s="4" t="s">
        <v>15</v>
      </c>
      <c r="D353" s="4" t="s">
        <v>16</v>
      </c>
      <c r="E353" s="4" t="s">
        <v>17</v>
      </c>
      <c r="F353" s="5" t="n">
        <v>2.88</v>
      </c>
      <c r="G353" s="6" t="n">
        <v>0</v>
      </c>
      <c r="H353" s="6" t="n">
        <v>0</v>
      </c>
      <c r="I353" s="6" t="n">
        <v>0</v>
      </c>
      <c r="J353" s="4" t="s">
        <v>18</v>
      </c>
      <c r="K353" s="4" t="s">
        <v>19</v>
      </c>
      <c r="L353" s="4" t="s">
        <v>20</v>
      </c>
    </row>
    <row r="354" customFormat="false" ht="22.35" hidden="false" customHeight="false" outlineLevel="0" collapsed="false">
      <c r="A354" s="7" t="s">
        <v>375</v>
      </c>
      <c r="B354" s="7" t="s">
        <v>14</v>
      </c>
      <c r="C354" s="7" t="s">
        <v>15</v>
      </c>
      <c r="D354" s="7" t="s">
        <v>16</v>
      </c>
      <c r="E354" s="7" t="s">
        <v>17</v>
      </c>
      <c r="F354" s="8" t="n">
        <v>3.7886</v>
      </c>
      <c r="G354" s="9" t="n">
        <v>0</v>
      </c>
      <c r="H354" s="9" t="n">
        <v>0</v>
      </c>
      <c r="I354" s="9" t="n">
        <v>0</v>
      </c>
      <c r="J354" s="7" t="s">
        <v>18</v>
      </c>
      <c r="K354" s="7" t="s">
        <v>19</v>
      </c>
      <c r="L354" s="7" t="s">
        <v>20</v>
      </c>
    </row>
    <row r="355" customFormat="false" ht="22.35" hidden="false" customHeight="false" outlineLevel="0" collapsed="false">
      <c r="A355" s="4" t="s">
        <v>376</v>
      </c>
      <c r="B355" s="4" t="s">
        <v>14</v>
      </c>
      <c r="C355" s="4" t="s">
        <v>15</v>
      </c>
      <c r="D355" s="4" t="s">
        <v>16</v>
      </c>
      <c r="E355" s="4" t="s">
        <v>17</v>
      </c>
      <c r="F355" s="5" t="n">
        <v>4.55</v>
      </c>
      <c r="G355" s="6" t="n">
        <v>0</v>
      </c>
      <c r="H355" s="6" t="n">
        <v>0</v>
      </c>
      <c r="I355" s="6" t="n">
        <v>0</v>
      </c>
      <c r="J355" s="4" t="s">
        <v>18</v>
      </c>
      <c r="K355" s="4" t="s">
        <v>19</v>
      </c>
      <c r="L355" s="4" t="s">
        <v>20</v>
      </c>
    </row>
    <row r="356" customFormat="false" ht="22.35" hidden="false" customHeight="false" outlineLevel="0" collapsed="false">
      <c r="A356" s="7" t="s">
        <v>377</v>
      </c>
      <c r="B356" s="7" t="s">
        <v>14</v>
      </c>
      <c r="C356" s="7" t="s">
        <v>15</v>
      </c>
      <c r="D356" s="7" t="s">
        <v>16</v>
      </c>
      <c r="E356" s="7" t="s">
        <v>17</v>
      </c>
      <c r="F356" s="8" t="n">
        <v>0</v>
      </c>
      <c r="G356" s="9" t="n">
        <v>0</v>
      </c>
      <c r="H356" s="9" t="n">
        <v>0</v>
      </c>
      <c r="I356" s="9" t="n">
        <v>0</v>
      </c>
      <c r="J356" s="7" t="s">
        <v>18</v>
      </c>
      <c r="K356" s="7" t="s">
        <v>19</v>
      </c>
      <c r="L356" s="7" t="s">
        <v>20</v>
      </c>
    </row>
    <row r="357" customFormat="false" ht="22.35" hidden="false" customHeight="false" outlineLevel="0" collapsed="false">
      <c r="A357" s="4" t="s">
        <v>378</v>
      </c>
      <c r="B357" s="4" t="s">
        <v>14</v>
      </c>
      <c r="C357" s="4" t="s">
        <v>15</v>
      </c>
      <c r="D357" s="4" t="s">
        <v>16</v>
      </c>
      <c r="E357" s="4" t="s">
        <v>17</v>
      </c>
      <c r="F357" s="5" t="n">
        <v>0</v>
      </c>
      <c r="G357" s="6" t="n">
        <v>0</v>
      </c>
      <c r="H357" s="6" t="n">
        <v>0</v>
      </c>
      <c r="I357" s="6" t="n">
        <v>0</v>
      </c>
      <c r="J357" s="4" t="s">
        <v>18</v>
      </c>
      <c r="K357" s="4" t="s">
        <v>19</v>
      </c>
      <c r="L357" s="4" t="s">
        <v>20</v>
      </c>
    </row>
    <row r="358" customFormat="false" ht="22.35" hidden="false" customHeight="false" outlineLevel="0" collapsed="false">
      <c r="A358" s="7" t="s">
        <v>379</v>
      </c>
      <c r="B358" s="7" t="s">
        <v>14</v>
      </c>
      <c r="C358" s="7" t="s">
        <v>15</v>
      </c>
      <c r="D358" s="7" t="s">
        <v>16</v>
      </c>
      <c r="E358" s="7" t="s">
        <v>17</v>
      </c>
      <c r="F358" s="8" t="n">
        <v>2.97</v>
      </c>
      <c r="G358" s="9" t="n">
        <v>0</v>
      </c>
      <c r="H358" s="9" t="n">
        <v>0</v>
      </c>
      <c r="I358" s="9" t="n">
        <v>0</v>
      </c>
      <c r="J358" s="7" t="s">
        <v>18</v>
      </c>
      <c r="K358" s="7" t="s">
        <v>19</v>
      </c>
      <c r="L358" s="7" t="s">
        <v>20</v>
      </c>
    </row>
    <row r="359" customFormat="false" ht="22.35" hidden="false" customHeight="false" outlineLevel="0" collapsed="false">
      <c r="A359" s="4" t="s">
        <v>380</v>
      </c>
      <c r="B359" s="4" t="s">
        <v>14</v>
      </c>
      <c r="C359" s="4" t="s">
        <v>15</v>
      </c>
      <c r="D359" s="4" t="s">
        <v>16</v>
      </c>
      <c r="E359" s="4" t="s">
        <v>44</v>
      </c>
      <c r="F359" s="5" t="n">
        <v>3.02</v>
      </c>
      <c r="G359" s="6" t="n">
        <v>0</v>
      </c>
      <c r="H359" s="6" t="n">
        <v>0</v>
      </c>
      <c r="I359" s="6" t="n">
        <v>0</v>
      </c>
      <c r="J359" s="4" t="s">
        <v>18</v>
      </c>
      <c r="K359" s="4" t="s">
        <v>19</v>
      </c>
      <c r="L359" s="4" t="s">
        <v>20</v>
      </c>
    </row>
    <row r="360" customFormat="false" ht="22.35" hidden="false" customHeight="false" outlineLevel="0" collapsed="false">
      <c r="A360" s="7" t="s">
        <v>381</v>
      </c>
      <c r="B360" s="7" t="s">
        <v>14</v>
      </c>
      <c r="C360" s="7" t="s">
        <v>15</v>
      </c>
      <c r="D360" s="7" t="s">
        <v>16</v>
      </c>
      <c r="E360" s="7" t="s">
        <v>44</v>
      </c>
      <c r="F360" s="8" t="n">
        <v>8.74</v>
      </c>
      <c r="G360" s="9" t="n">
        <v>0</v>
      </c>
      <c r="H360" s="9" t="n">
        <v>0</v>
      </c>
      <c r="I360" s="9" t="n">
        <v>0</v>
      </c>
      <c r="J360" s="7" t="s">
        <v>18</v>
      </c>
      <c r="K360" s="7" t="s">
        <v>19</v>
      </c>
      <c r="L360" s="7" t="s">
        <v>20</v>
      </c>
    </row>
    <row r="361" customFormat="false" ht="22.35" hidden="false" customHeight="false" outlineLevel="0" collapsed="false">
      <c r="A361" s="4" t="s">
        <v>382</v>
      </c>
      <c r="B361" s="4" t="s">
        <v>14</v>
      </c>
      <c r="C361" s="4" t="s">
        <v>15</v>
      </c>
      <c r="D361" s="4" t="s">
        <v>16</v>
      </c>
      <c r="E361" s="4" t="s">
        <v>17</v>
      </c>
      <c r="F361" s="5" t="n">
        <v>58.57</v>
      </c>
      <c r="G361" s="6" t="n">
        <v>0</v>
      </c>
      <c r="H361" s="6" t="n">
        <v>0</v>
      </c>
      <c r="I361" s="6" t="n">
        <v>0</v>
      </c>
      <c r="J361" s="4" t="s">
        <v>18</v>
      </c>
      <c r="K361" s="4" t="s">
        <v>19</v>
      </c>
      <c r="L361" s="4" t="s">
        <v>20</v>
      </c>
    </row>
    <row r="362" customFormat="false" ht="22.35" hidden="false" customHeight="false" outlineLevel="0" collapsed="false">
      <c r="A362" s="7" t="s">
        <v>383</v>
      </c>
      <c r="B362" s="7" t="s">
        <v>14</v>
      </c>
      <c r="C362" s="7" t="s">
        <v>15</v>
      </c>
      <c r="D362" s="7" t="s">
        <v>16</v>
      </c>
      <c r="E362" s="7" t="s">
        <v>17</v>
      </c>
      <c r="F362" s="8" t="n">
        <v>38.92</v>
      </c>
      <c r="G362" s="9" t="n">
        <v>0</v>
      </c>
      <c r="H362" s="9" t="n">
        <v>0</v>
      </c>
      <c r="I362" s="9" t="n">
        <v>0</v>
      </c>
      <c r="J362" s="7" t="s">
        <v>18</v>
      </c>
      <c r="K362" s="7" t="s">
        <v>19</v>
      </c>
      <c r="L362" s="7" t="s">
        <v>20</v>
      </c>
    </row>
    <row r="363" customFormat="false" ht="22.35" hidden="false" customHeight="false" outlineLevel="0" collapsed="false">
      <c r="A363" s="4" t="s">
        <v>384</v>
      </c>
      <c r="B363" s="4" t="s">
        <v>14</v>
      </c>
      <c r="C363" s="4" t="s">
        <v>15</v>
      </c>
      <c r="D363" s="4" t="s">
        <v>16</v>
      </c>
      <c r="E363" s="4" t="s">
        <v>17</v>
      </c>
      <c r="F363" s="5" t="n">
        <v>3.21</v>
      </c>
      <c r="G363" s="6" t="n">
        <v>0</v>
      </c>
      <c r="H363" s="6" t="n">
        <v>0</v>
      </c>
      <c r="I363" s="6" t="n">
        <v>0</v>
      </c>
      <c r="J363" s="4" t="s">
        <v>18</v>
      </c>
      <c r="K363" s="4" t="s">
        <v>19</v>
      </c>
      <c r="L363" s="4" t="s">
        <v>20</v>
      </c>
    </row>
    <row r="364" customFormat="false" ht="22.35" hidden="false" customHeight="false" outlineLevel="0" collapsed="false">
      <c r="A364" s="7" t="s">
        <v>385</v>
      </c>
      <c r="B364" s="7" t="s">
        <v>14</v>
      </c>
      <c r="C364" s="7" t="s">
        <v>15</v>
      </c>
      <c r="D364" s="7" t="s">
        <v>16</v>
      </c>
      <c r="E364" s="7" t="s">
        <v>17</v>
      </c>
      <c r="F364" s="8" t="n">
        <v>8.14</v>
      </c>
      <c r="G364" s="9" t="n">
        <v>0</v>
      </c>
      <c r="H364" s="9" t="n">
        <v>0</v>
      </c>
      <c r="I364" s="9" t="n">
        <v>0</v>
      </c>
      <c r="J364" s="7" t="s">
        <v>18</v>
      </c>
      <c r="K364" s="7" t="s">
        <v>19</v>
      </c>
      <c r="L364" s="7" t="s">
        <v>20</v>
      </c>
    </row>
    <row r="365" customFormat="false" ht="22.35" hidden="false" customHeight="false" outlineLevel="0" collapsed="false">
      <c r="A365" s="4" t="s">
        <v>386</v>
      </c>
      <c r="B365" s="4" t="s">
        <v>14</v>
      </c>
      <c r="C365" s="4" t="s">
        <v>15</v>
      </c>
      <c r="D365" s="4" t="s">
        <v>16</v>
      </c>
      <c r="E365" s="4" t="s">
        <v>17</v>
      </c>
      <c r="F365" s="5" t="n">
        <v>30.74</v>
      </c>
      <c r="G365" s="6" t="n">
        <v>0</v>
      </c>
      <c r="H365" s="6" t="n">
        <v>0</v>
      </c>
      <c r="I365" s="6" t="n">
        <v>0</v>
      </c>
      <c r="J365" s="4" t="s">
        <v>18</v>
      </c>
      <c r="K365" s="4" t="s">
        <v>19</v>
      </c>
      <c r="L365" s="4" t="s">
        <v>20</v>
      </c>
    </row>
    <row r="366" customFormat="false" ht="22.35" hidden="false" customHeight="false" outlineLevel="0" collapsed="false">
      <c r="A366" s="7" t="s">
        <v>387</v>
      </c>
      <c r="B366" s="7" t="s">
        <v>14</v>
      </c>
      <c r="C366" s="7" t="s">
        <v>15</v>
      </c>
      <c r="D366" s="7" t="s">
        <v>16</v>
      </c>
      <c r="E366" s="7" t="s">
        <v>17</v>
      </c>
      <c r="F366" s="8" t="n">
        <v>32.03</v>
      </c>
      <c r="G366" s="9" t="n">
        <v>0</v>
      </c>
      <c r="H366" s="9" t="n">
        <v>0</v>
      </c>
      <c r="I366" s="9" t="n">
        <v>0</v>
      </c>
      <c r="J366" s="7" t="s">
        <v>18</v>
      </c>
      <c r="K366" s="7" t="s">
        <v>19</v>
      </c>
      <c r="L366" s="7" t="s">
        <v>20</v>
      </c>
    </row>
    <row r="367" customFormat="false" ht="22.35" hidden="false" customHeight="false" outlineLevel="0" collapsed="false">
      <c r="A367" s="4" t="s">
        <v>388</v>
      </c>
      <c r="B367" s="4" t="s">
        <v>14</v>
      </c>
      <c r="C367" s="4" t="s">
        <v>15</v>
      </c>
      <c r="D367" s="4" t="s">
        <v>16</v>
      </c>
      <c r="E367" s="4" t="s">
        <v>17</v>
      </c>
      <c r="F367" s="5" t="n">
        <v>7.45</v>
      </c>
      <c r="G367" s="6" t="n">
        <v>0</v>
      </c>
      <c r="H367" s="6" t="n">
        <v>0</v>
      </c>
      <c r="I367" s="6" t="n">
        <v>0</v>
      </c>
      <c r="J367" s="4" t="s">
        <v>18</v>
      </c>
      <c r="K367" s="4" t="s">
        <v>19</v>
      </c>
      <c r="L367" s="4" t="s">
        <v>20</v>
      </c>
    </row>
    <row r="368" customFormat="false" ht="22.35" hidden="false" customHeight="false" outlineLevel="0" collapsed="false">
      <c r="A368" s="7" t="s">
        <v>389</v>
      </c>
      <c r="B368" s="7" t="s">
        <v>14</v>
      </c>
      <c r="C368" s="7" t="s">
        <v>15</v>
      </c>
      <c r="D368" s="7" t="s">
        <v>16</v>
      </c>
      <c r="E368" s="7" t="s">
        <v>17</v>
      </c>
      <c r="F368" s="8" t="n">
        <v>6.44</v>
      </c>
      <c r="G368" s="9" t="n">
        <v>0</v>
      </c>
      <c r="H368" s="9" t="n">
        <v>0</v>
      </c>
      <c r="I368" s="9" t="n">
        <v>0</v>
      </c>
      <c r="J368" s="7" t="s">
        <v>18</v>
      </c>
      <c r="K368" s="7" t="s">
        <v>19</v>
      </c>
      <c r="L368" s="7" t="s">
        <v>20</v>
      </c>
    </row>
    <row r="369" customFormat="false" ht="22.35" hidden="false" customHeight="false" outlineLevel="0" collapsed="false">
      <c r="A369" s="4" t="s">
        <v>390</v>
      </c>
      <c r="B369" s="4" t="s">
        <v>14</v>
      </c>
      <c r="C369" s="4" t="s">
        <v>15</v>
      </c>
      <c r="D369" s="4" t="s">
        <v>16</v>
      </c>
      <c r="E369" s="4" t="s">
        <v>17</v>
      </c>
      <c r="F369" s="5" t="n">
        <v>24.47</v>
      </c>
      <c r="G369" s="6" t="n">
        <v>0</v>
      </c>
      <c r="H369" s="6" t="n">
        <v>0</v>
      </c>
      <c r="I369" s="6" t="n">
        <v>0</v>
      </c>
      <c r="J369" s="4" t="s">
        <v>18</v>
      </c>
      <c r="K369" s="4" t="s">
        <v>19</v>
      </c>
      <c r="L369" s="4" t="s">
        <v>20</v>
      </c>
    </row>
    <row r="370" customFormat="false" ht="22.35" hidden="false" customHeight="false" outlineLevel="0" collapsed="false">
      <c r="A370" s="7" t="s">
        <v>391</v>
      </c>
      <c r="B370" s="7" t="s">
        <v>14</v>
      </c>
      <c r="C370" s="7" t="s">
        <v>15</v>
      </c>
      <c r="D370" s="7" t="s">
        <v>16</v>
      </c>
      <c r="E370" s="7" t="s">
        <v>17</v>
      </c>
      <c r="F370" s="8" t="n">
        <v>0</v>
      </c>
      <c r="G370" s="9" t="n">
        <v>0</v>
      </c>
      <c r="H370" s="9" t="n">
        <v>0</v>
      </c>
      <c r="I370" s="9" t="n">
        <v>0</v>
      </c>
      <c r="J370" s="7" t="s">
        <v>18</v>
      </c>
      <c r="K370" s="7" t="s">
        <v>19</v>
      </c>
      <c r="L370" s="7" t="s">
        <v>20</v>
      </c>
    </row>
    <row r="371" customFormat="false" ht="22.35" hidden="false" customHeight="false" outlineLevel="0" collapsed="false">
      <c r="A371" s="4" t="s">
        <v>392</v>
      </c>
      <c r="B371" s="4" t="s">
        <v>14</v>
      </c>
      <c r="C371" s="4" t="s">
        <v>15</v>
      </c>
      <c r="D371" s="4" t="s">
        <v>16</v>
      </c>
      <c r="E371" s="4" t="s">
        <v>17</v>
      </c>
      <c r="F371" s="5" t="n">
        <v>4.2</v>
      </c>
      <c r="G371" s="6" t="n">
        <v>0</v>
      </c>
      <c r="H371" s="6" t="n">
        <v>0</v>
      </c>
      <c r="I371" s="6" t="n">
        <v>0</v>
      </c>
      <c r="J371" s="4" t="s">
        <v>18</v>
      </c>
      <c r="K371" s="4" t="s">
        <v>19</v>
      </c>
      <c r="L371" s="4" t="s">
        <v>20</v>
      </c>
    </row>
    <row r="372" customFormat="false" ht="22.35" hidden="false" customHeight="false" outlineLevel="0" collapsed="false">
      <c r="A372" s="7" t="s">
        <v>393</v>
      </c>
      <c r="B372" s="7" t="s">
        <v>14</v>
      </c>
      <c r="C372" s="7" t="s">
        <v>15</v>
      </c>
      <c r="D372" s="7" t="s">
        <v>16</v>
      </c>
      <c r="E372" s="7" t="s">
        <v>17</v>
      </c>
      <c r="F372" s="8" t="n">
        <v>3.97</v>
      </c>
      <c r="G372" s="9" t="n">
        <v>0</v>
      </c>
      <c r="H372" s="9" t="n">
        <v>0</v>
      </c>
      <c r="I372" s="9" t="n">
        <v>0</v>
      </c>
      <c r="J372" s="7" t="s">
        <v>18</v>
      </c>
      <c r="K372" s="7" t="s">
        <v>19</v>
      </c>
      <c r="L372" s="7" t="s">
        <v>20</v>
      </c>
    </row>
    <row r="373" customFormat="false" ht="22.35" hidden="false" customHeight="false" outlineLevel="0" collapsed="false">
      <c r="A373" s="4" t="s">
        <v>394</v>
      </c>
      <c r="B373" s="4" t="s">
        <v>14</v>
      </c>
      <c r="C373" s="4" t="s">
        <v>15</v>
      </c>
      <c r="D373" s="4" t="s">
        <v>16</v>
      </c>
      <c r="E373" s="4" t="s">
        <v>17</v>
      </c>
      <c r="F373" s="5" t="n">
        <v>1.75</v>
      </c>
      <c r="G373" s="6" t="n">
        <v>0</v>
      </c>
      <c r="H373" s="6" t="n">
        <v>0</v>
      </c>
      <c r="I373" s="6" t="n">
        <v>0</v>
      </c>
      <c r="J373" s="4" t="s">
        <v>18</v>
      </c>
      <c r="K373" s="4" t="s">
        <v>19</v>
      </c>
      <c r="L373" s="4" t="s">
        <v>20</v>
      </c>
    </row>
    <row r="374" customFormat="false" ht="22.35" hidden="false" customHeight="false" outlineLevel="0" collapsed="false">
      <c r="A374" s="7" t="s">
        <v>395</v>
      </c>
      <c r="B374" s="7" t="s">
        <v>14</v>
      </c>
      <c r="C374" s="7" t="s">
        <v>15</v>
      </c>
      <c r="D374" s="7" t="s">
        <v>16</v>
      </c>
      <c r="E374" s="7" t="s">
        <v>17</v>
      </c>
      <c r="F374" s="8" t="n">
        <v>6.9</v>
      </c>
      <c r="G374" s="9" t="n">
        <v>0</v>
      </c>
      <c r="H374" s="9" t="n">
        <v>0</v>
      </c>
      <c r="I374" s="9" t="n">
        <v>0</v>
      </c>
      <c r="J374" s="7" t="s">
        <v>18</v>
      </c>
      <c r="K374" s="7" t="s">
        <v>19</v>
      </c>
      <c r="L374" s="7" t="s">
        <v>20</v>
      </c>
    </row>
    <row r="375" customFormat="false" ht="22.35" hidden="false" customHeight="false" outlineLevel="0" collapsed="false">
      <c r="A375" s="4" t="s">
        <v>396</v>
      </c>
      <c r="B375" s="4" t="s">
        <v>14</v>
      </c>
      <c r="C375" s="4" t="s">
        <v>15</v>
      </c>
      <c r="D375" s="4" t="s">
        <v>16</v>
      </c>
      <c r="E375" s="4" t="s">
        <v>44</v>
      </c>
      <c r="F375" s="5" t="n">
        <v>6.76</v>
      </c>
      <c r="G375" s="6" t="n">
        <v>0</v>
      </c>
      <c r="H375" s="6" t="n">
        <v>0</v>
      </c>
      <c r="I375" s="6" t="n">
        <v>0</v>
      </c>
      <c r="J375" s="4" t="s">
        <v>18</v>
      </c>
      <c r="K375" s="4" t="s">
        <v>19</v>
      </c>
      <c r="L375" s="4" t="s">
        <v>20</v>
      </c>
    </row>
    <row r="376" customFormat="false" ht="22.35" hidden="false" customHeight="false" outlineLevel="0" collapsed="false">
      <c r="A376" s="7" t="s">
        <v>397</v>
      </c>
      <c r="B376" s="7" t="s">
        <v>14</v>
      </c>
      <c r="C376" s="7" t="s">
        <v>15</v>
      </c>
      <c r="D376" s="7" t="s">
        <v>16</v>
      </c>
      <c r="E376" s="7" t="s">
        <v>17</v>
      </c>
      <c r="F376" s="8" t="n">
        <v>7.89</v>
      </c>
      <c r="G376" s="9" t="n">
        <v>0</v>
      </c>
      <c r="H376" s="9" t="n">
        <v>0</v>
      </c>
      <c r="I376" s="9" t="n">
        <v>0</v>
      </c>
      <c r="J376" s="7" t="s">
        <v>18</v>
      </c>
      <c r="K376" s="7" t="s">
        <v>19</v>
      </c>
      <c r="L376" s="7" t="s">
        <v>20</v>
      </c>
    </row>
    <row r="377" customFormat="false" ht="22.35" hidden="false" customHeight="false" outlineLevel="0" collapsed="false">
      <c r="A377" s="4" t="s">
        <v>398</v>
      </c>
      <c r="B377" s="4" t="s">
        <v>14</v>
      </c>
      <c r="C377" s="4" t="s">
        <v>15</v>
      </c>
      <c r="D377" s="4" t="s">
        <v>16</v>
      </c>
      <c r="E377" s="4" t="s">
        <v>17</v>
      </c>
      <c r="F377" s="5" t="n">
        <v>7.87</v>
      </c>
      <c r="G377" s="6" t="n">
        <v>0</v>
      </c>
      <c r="H377" s="6" t="n">
        <v>0</v>
      </c>
      <c r="I377" s="6" t="n">
        <v>0</v>
      </c>
      <c r="J377" s="4" t="s">
        <v>18</v>
      </c>
      <c r="K377" s="4" t="s">
        <v>19</v>
      </c>
      <c r="L377" s="4" t="s">
        <v>20</v>
      </c>
    </row>
    <row r="378" customFormat="false" ht="22.35" hidden="false" customHeight="false" outlineLevel="0" collapsed="false">
      <c r="A378" s="7" t="s">
        <v>399</v>
      </c>
      <c r="B378" s="7" t="s">
        <v>14</v>
      </c>
      <c r="C378" s="7" t="s">
        <v>15</v>
      </c>
      <c r="D378" s="7" t="s">
        <v>16</v>
      </c>
      <c r="E378" s="7" t="s">
        <v>17</v>
      </c>
      <c r="F378" s="8" t="n">
        <v>3.33</v>
      </c>
      <c r="G378" s="9" t="n">
        <v>0</v>
      </c>
      <c r="H378" s="9" t="n">
        <v>0</v>
      </c>
      <c r="I378" s="9" t="n">
        <v>0</v>
      </c>
      <c r="J378" s="7" t="s">
        <v>18</v>
      </c>
      <c r="K378" s="7" t="s">
        <v>19</v>
      </c>
      <c r="L378" s="7" t="s">
        <v>20</v>
      </c>
    </row>
    <row r="379" customFormat="false" ht="22.35" hidden="false" customHeight="false" outlineLevel="0" collapsed="false">
      <c r="A379" s="4" t="s">
        <v>400</v>
      </c>
      <c r="B379" s="4" t="s">
        <v>14</v>
      </c>
      <c r="C379" s="4" t="s">
        <v>15</v>
      </c>
      <c r="D379" s="4" t="s">
        <v>16</v>
      </c>
      <c r="E379" s="4" t="s">
        <v>17</v>
      </c>
      <c r="F379" s="5" t="n">
        <v>3.71</v>
      </c>
      <c r="G379" s="6" t="n">
        <v>0</v>
      </c>
      <c r="H379" s="6" t="n">
        <v>0</v>
      </c>
      <c r="I379" s="6" t="n">
        <v>0</v>
      </c>
      <c r="J379" s="4" t="s">
        <v>18</v>
      </c>
      <c r="K379" s="4" t="s">
        <v>19</v>
      </c>
      <c r="L379" s="4" t="s">
        <v>20</v>
      </c>
    </row>
    <row r="380" customFormat="false" ht="22.35" hidden="false" customHeight="false" outlineLevel="0" collapsed="false">
      <c r="A380" s="7" t="s">
        <v>401</v>
      </c>
      <c r="B380" s="7" t="s">
        <v>14</v>
      </c>
      <c r="C380" s="7" t="s">
        <v>15</v>
      </c>
      <c r="D380" s="7" t="s">
        <v>16</v>
      </c>
      <c r="E380" s="7" t="s">
        <v>17</v>
      </c>
      <c r="F380" s="8" t="n">
        <v>0.73</v>
      </c>
      <c r="G380" s="9" t="n">
        <v>0</v>
      </c>
      <c r="H380" s="9" t="n">
        <v>0</v>
      </c>
      <c r="I380" s="9" t="n">
        <v>0</v>
      </c>
      <c r="J380" s="7" t="s">
        <v>18</v>
      </c>
      <c r="K380" s="7" t="s">
        <v>19</v>
      </c>
      <c r="L380" s="7" t="s">
        <v>20</v>
      </c>
    </row>
    <row r="381" customFormat="false" ht="22.35" hidden="false" customHeight="false" outlineLevel="0" collapsed="false">
      <c r="A381" s="4" t="s">
        <v>402</v>
      </c>
      <c r="B381" s="4" t="s">
        <v>14</v>
      </c>
      <c r="C381" s="4" t="s">
        <v>15</v>
      </c>
      <c r="D381" s="4" t="s">
        <v>16</v>
      </c>
      <c r="E381" s="4" t="s">
        <v>17</v>
      </c>
      <c r="F381" s="5" t="n">
        <v>3.7</v>
      </c>
      <c r="G381" s="6" t="n">
        <v>0</v>
      </c>
      <c r="H381" s="6" t="n">
        <v>0</v>
      </c>
      <c r="I381" s="6" t="n">
        <v>0</v>
      </c>
      <c r="J381" s="4" t="s">
        <v>18</v>
      </c>
      <c r="K381" s="4" t="s">
        <v>19</v>
      </c>
      <c r="L381" s="4" t="s">
        <v>20</v>
      </c>
    </row>
    <row r="382" customFormat="false" ht="22.35" hidden="false" customHeight="false" outlineLevel="0" collapsed="false">
      <c r="A382" s="7" t="s">
        <v>403</v>
      </c>
      <c r="B382" s="7" t="s">
        <v>14</v>
      </c>
      <c r="C382" s="7" t="s">
        <v>15</v>
      </c>
      <c r="D382" s="7" t="s">
        <v>16</v>
      </c>
      <c r="E382" s="7" t="s">
        <v>17</v>
      </c>
      <c r="F382" s="8" t="n">
        <v>4.42</v>
      </c>
      <c r="G382" s="9" t="n">
        <v>0</v>
      </c>
      <c r="H382" s="9" t="n">
        <v>0</v>
      </c>
      <c r="I382" s="9" t="n">
        <v>0</v>
      </c>
      <c r="J382" s="7" t="s">
        <v>18</v>
      </c>
      <c r="K382" s="7" t="s">
        <v>19</v>
      </c>
      <c r="L382" s="7" t="s">
        <v>20</v>
      </c>
    </row>
    <row r="383" customFormat="false" ht="22.35" hidden="false" customHeight="false" outlineLevel="0" collapsed="false">
      <c r="A383" s="4" t="s">
        <v>404</v>
      </c>
      <c r="B383" s="4" t="s">
        <v>14</v>
      </c>
      <c r="C383" s="4" t="s">
        <v>15</v>
      </c>
      <c r="D383" s="4" t="s">
        <v>16</v>
      </c>
      <c r="E383" s="4" t="s">
        <v>17</v>
      </c>
      <c r="F383" s="5" t="n">
        <v>5.16</v>
      </c>
      <c r="G383" s="6" t="n">
        <v>0</v>
      </c>
      <c r="H383" s="6" t="n">
        <v>0</v>
      </c>
      <c r="I383" s="6" t="n">
        <v>0</v>
      </c>
      <c r="J383" s="4" t="s">
        <v>18</v>
      </c>
      <c r="K383" s="4" t="s">
        <v>19</v>
      </c>
      <c r="L383" s="4" t="s">
        <v>20</v>
      </c>
    </row>
    <row r="384" customFormat="false" ht="22.35" hidden="false" customHeight="false" outlineLevel="0" collapsed="false">
      <c r="A384" s="7" t="s">
        <v>405</v>
      </c>
      <c r="B384" s="7" t="s">
        <v>14</v>
      </c>
      <c r="C384" s="7" t="s">
        <v>15</v>
      </c>
      <c r="D384" s="7" t="s">
        <v>16</v>
      </c>
      <c r="E384" s="7" t="s">
        <v>17</v>
      </c>
      <c r="F384" s="8" t="n">
        <v>3.2</v>
      </c>
      <c r="G384" s="9" t="n">
        <v>0</v>
      </c>
      <c r="H384" s="9" t="n">
        <v>0</v>
      </c>
      <c r="I384" s="9" t="n">
        <v>0</v>
      </c>
      <c r="J384" s="7" t="s">
        <v>18</v>
      </c>
      <c r="K384" s="7" t="s">
        <v>19</v>
      </c>
      <c r="L384" s="7" t="s">
        <v>20</v>
      </c>
    </row>
    <row r="385" customFormat="false" ht="22.35" hidden="false" customHeight="false" outlineLevel="0" collapsed="false">
      <c r="A385" s="4" t="s">
        <v>406</v>
      </c>
      <c r="B385" s="4" t="s">
        <v>14</v>
      </c>
      <c r="C385" s="4" t="s">
        <v>15</v>
      </c>
      <c r="D385" s="4" t="s">
        <v>16</v>
      </c>
      <c r="E385" s="4" t="s">
        <v>17</v>
      </c>
      <c r="F385" s="5" t="n">
        <v>5.51</v>
      </c>
      <c r="G385" s="6" t="n">
        <v>0</v>
      </c>
      <c r="H385" s="6" t="n">
        <v>0</v>
      </c>
      <c r="I385" s="6" t="n">
        <v>0</v>
      </c>
      <c r="J385" s="4" t="s">
        <v>18</v>
      </c>
      <c r="K385" s="4" t="s">
        <v>19</v>
      </c>
      <c r="L385" s="4" t="s">
        <v>20</v>
      </c>
    </row>
    <row r="386" customFormat="false" ht="22.35" hidden="false" customHeight="false" outlineLevel="0" collapsed="false">
      <c r="A386" s="7" t="s">
        <v>407</v>
      </c>
      <c r="B386" s="7" t="s">
        <v>14</v>
      </c>
      <c r="C386" s="7" t="s">
        <v>15</v>
      </c>
      <c r="D386" s="7" t="s">
        <v>16</v>
      </c>
      <c r="E386" s="7" t="s">
        <v>17</v>
      </c>
      <c r="F386" s="8" t="n">
        <v>3.94</v>
      </c>
      <c r="G386" s="9" t="n">
        <v>0</v>
      </c>
      <c r="H386" s="9" t="n">
        <v>0</v>
      </c>
      <c r="I386" s="9" t="n">
        <v>0</v>
      </c>
      <c r="J386" s="7" t="s">
        <v>18</v>
      </c>
      <c r="K386" s="7" t="s">
        <v>19</v>
      </c>
      <c r="L386" s="7" t="s">
        <v>20</v>
      </c>
    </row>
    <row r="387" customFormat="false" ht="22.35" hidden="false" customHeight="false" outlineLevel="0" collapsed="false">
      <c r="A387" s="4" t="s">
        <v>408</v>
      </c>
      <c r="B387" s="4" t="s">
        <v>14</v>
      </c>
      <c r="C387" s="4" t="s">
        <v>15</v>
      </c>
      <c r="D387" s="4" t="s">
        <v>16</v>
      </c>
      <c r="E387" s="4" t="s">
        <v>17</v>
      </c>
      <c r="F387" s="5" t="n">
        <v>10.56</v>
      </c>
      <c r="G387" s="6" t="n">
        <v>0</v>
      </c>
      <c r="H387" s="6" t="n">
        <v>0</v>
      </c>
      <c r="I387" s="6" t="n">
        <v>0</v>
      </c>
      <c r="J387" s="4" t="s">
        <v>18</v>
      </c>
      <c r="K387" s="4" t="s">
        <v>19</v>
      </c>
      <c r="L387" s="4" t="s">
        <v>20</v>
      </c>
    </row>
    <row r="388" customFormat="false" ht="22.35" hidden="false" customHeight="false" outlineLevel="0" collapsed="false">
      <c r="A388" s="7" t="s">
        <v>409</v>
      </c>
      <c r="B388" s="7" t="s">
        <v>14</v>
      </c>
      <c r="C388" s="7" t="s">
        <v>15</v>
      </c>
      <c r="D388" s="7" t="s">
        <v>16</v>
      </c>
      <c r="E388" s="7" t="s">
        <v>17</v>
      </c>
      <c r="F388" s="8" t="n">
        <v>16.27</v>
      </c>
      <c r="G388" s="9" t="n">
        <v>0</v>
      </c>
      <c r="H388" s="9" t="n">
        <v>0</v>
      </c>
      <c r="I388" s="9" t="n">
        <v>0</v>
      </c>
      <c r="J388" s="7" t="s">
        <v>18</v>
      </c>
      <c r="K388" s="7" t="s">
        <v>19</v>
      </c>
      <c r="L388" s="7" t="s">
        <v>20</v>
      </c>
    </row>
    <row r="389" customFormat="false" ht="22.35" hidden="false" customHeight="false" outlineLevel="0" collapsed="false">
      <c r="A389" s="4" t="s">
        <v>410</v>
      </c>
      <c r="B389" s="4" t="s">
        <v>14</v>
      </c>
      <c r="C389" s="4" t="s">
        <v>15</v>
      </c>
      <c r="D389" s="4" t="s">
        <v>16</v>
      </c>
      <c r="E389" s="4" t="s">
        <v>17</v>
      </c>
      <c r="F389" s="5" t="n">
        <v>0</v>
      </c>
      <c r="G389" s="6" t="n">
        <v>0</v>
      </c>
      <c r="H389" s="6" t="n">
        <v>0</v>
      </c>
      <c r="I389" s="6" t="n">
        <v>0</v>
      </c>
      <c r="J389" s="4" t="s">
        <v>18</v>
      </c>
      <c r="K389" s="4" t="s">
        <v>19</v>
      </c>
      <c r="L389" s="4" t="s">
        <v>20</v>
      </c>
    </row>
    <row r="390" customFormat="false" ht="22.35" hidden="false" customHeight="false" outlineLevel="0" collapsed="false">
      <c r="A390" s="7" t="s">
        <v>411</v>
      </c>
      <c r="B390" s="7" t="s">
        <v>14</v>
      </c>
      <c r="C390" s="7" t="s">
        <v>15</v>
      </c>
      <c r="D390" s="7" t="s">
        <v>16</v>
      </c>
      <c r="E390" s="7" t="s">
        <v>17</v>
      </c>
      <c r="F390" s="8" t="n">
        <v>0</v>
      </c>
      <c r="G390" s="9" t="n">
        <v>0</v>
      </c>
      <c r="H390" s="9" t="n">
        <v>0</v>
      </c>
      <c r="I390" s="9" t="n">
        <v>0</v>
      </c>
      <c r="J390" s="7" t="s">
        <v>18</v>
      </c>
      <c r="K390" s="7" t="s">
        <v>19</v>
      </c>
      <c r="L390" s="7" t="s">
        <v>20</v>
      </c>
    </row>
    <row r="391" customFormat="false" ht="22.35" hidden="false" customHeight="false" outlineLevel="0" collapsed="false">
      <c r="A391" s="4" t="s">
        <v>412</v>
      </c>
      <c r="B391" s="4" t="s">
        <v>14</v>
      </c>
      <c r="C391" s="4" t="s">
        <v>15</v>
      </c>
      <c r="D391" s="4" t="s">
        <v>16</v>
      </c>
      <c r="E391" s="4" t="s">
        <v>17</v>
      </c>
      <c r="F391" s="5" t="n">
        <v>2.95</v>
      </c>
      <c r="G391" s="6" t="n">
        <v>0</v>
      </c>
      <c r="H391" s="6" t="n">
        <v>0</v>
      </c>
      <c r="I391" s="6" t="n">
        <v>0</v>
      </c>
      <c r="J391" s="4" t="s">
        <v>18</v>
      </c>
      <c r="K391" s="4" t="s">
        <v>19</v>
      </c>
      <c r="L391" s="4" t="s">
        <v>20</v>
      </c>
    </row>
    <row r="392" customFormat="false" ht="22.35" hidden="false" customHeight="false" outlineLevel="0" collapsed="false">
      <c r="A392" s="7" t="s">
        <v>413</v>
      </c>
      <c r="B392" s="7" t="s">
        <v>14</v>
      </c>
      <c r="C392" s="7" t="s">
        <v>15</v>
      </c>
      <c r="D392" s="7" t="s">
        <v>16</v>
      </c>
      <c r="E392" s="7" t="s">
        <v>17</v>
      </c>
      <c r="F392" s="8" t="n">
        <v>10.95</v>
      </c>
      <c r="G392" s="9" t="n">
        <v>0</v>
      </c>
      <c r="H392" s="9" t="n">
        <v>0</v>
      </c>
      <c r="I392" s="9" t="n">
        <v>0</v>
      </c>
      <c r="J392" s="7" t="s">
        <v>18</v>
      </c>
      <c r="K392" s="7" t="s">
        <v>19</v>
      </c>
      <c r="L392" s="7" t="s">
        <v>20</v>
      </c>
    </row>
    <row r="393" customFormat="false" ht="22.35" hidden="false" customHeight="false" outlineLevel="0" collapsed="false">
      <c r="A393" s="4" t="s">
        <v>414</v>
      </c>
      <c r="B393" s="4" t="s">
        <v>14</v>
      </c>
      <c r="C393" s="4" t="s">
        <v>15</v>
      </c>
      <c r="D393" s="4" t="s">
        <v>16</v>
      </c>
      <c r="E393" s="4" t="s">
        <v>17</v>
      </c>
      <c r="F393" s="5" t="n">
        <v>5.82</v>
      </c>
      <c r="G393" s="6" t="n">
        <v>0</v>
      </c>
      <c r="H393" s="6" t="n">
        <v>0</v>
      </c>
      <c r="I393" s="6" t="n">
        <v>0</v>
      </c>
      <c r="J393" s="4" t="s">
        <v>18</v>
      </c>
      <c r="K393" s="4" t="s">
        <v>19</v>
      </c>
      <c r="L393" s="4" t="s">
        <v>20</v>
      </c>
    </row>
    <row r="394" customFormat="false" ht="22.35" hidden="false" customHeight="false" outlineLevel="0" collapsed="false">
      <c r="A394" s="7" t="s">
        <v>415</v>
      </c>
      <c r="B394" s="7" t="s">
        <v>14</v>
      </c>
      <c r="C394" s="7" t="s">
        <v>15</v>
      </c>
      <c r="D394" s="7" t="s">
        <v>16</v>
      </c>
      <c r="E394" s="7" t="s">
        <v>17</v>
      </c>
      <c r="F394" s="8" t="n">
        <v>3.7</v>
      </c>
      <c r="G394" s="9" t="n">
        <v>0</v>
      </c>
      <c r="H394" s="9" t="n">
        <v>0</v>
      </c>
      <c r="I394" s="9" t="n">
        <v>0</v>
      </c>
      <c r="J394" s="7" t="s">
        <v>18</v>
      </c>
      <c r="K394" s="7" t="s">
        <v>19</v>
      </c>
      <c r="L394" s="7" t="s">
        <v>20</v>
      </c>
    </row>
    <row r="395" customFormat="false" ht="22.35" hidden="false" customHeight="false" outlineLevel="0" collapsed="false">
      <c r="A395" s="4" t="s">
        <v>416</v>
      </c>
      <c r="B395" s="4" t="s">
        <v>14</v>
      </c>
      <c r="C395" s="4" t="s">
        <v>15</v>
      </c>
      <c r="D395" s="4" t="s">
        <v>16</v>
      </c>
      <c r="E395" s="4" t="s">
        <v>17</v>
      </c>
      <c r="F395" s="5" t="n">
        <v>2.062</v>
      </c>
      <c r="G395" s="6" t="n">
        <v>0</v>
      </c>
      <c r="H395" s="6" t="n">
        <v>0</v>
      </c>
      <c r="I395" s="6" t="n">
        <v>0</v>
      </c>
      <c r="J395" s="4" t="s">
        <v>18</v>
      </c>
      <c r="K395" s="4" t="s">
        <v>19</v>
      </c>
      <c r="L395" s="4" t="s">
        <v>20</v>
      </c>
    </row>
    <row r="396" customFormat="false" ht="22.35" hidden="false" customHeight="false" outlineLevel="0" collapsed="false">
      <c r="A396" s="7" t="s">
        <v>417</v>
      </c>
      <c r="B396" s="7" t="s">
        <v>14</v>
      </c>
      <c r="C396" s="7" t="s">
        <v>15</v>
      </c>
      <c r="D396" s="7" t="s">
        <v>16</v>
      </c>
      <c r="E396" s="7" t="s">
        <v>17</v>
      </c>
      <c r="F396" s="8" t="n">
        <v>5.84</v>
      </c>
      <c r="G396" s="9" t="n">
        <v>0</v>
      </c>
      <c r="H396" s="9" t="n">
        <v>0</v>
      </c>
      <c r="I396" s="9" t="n">
        <v>0</v>
      </c>
      <c r="J396" s="7" t="s">
        <v>18</v>
      </c>
      <c r="K396" s="7" t="s">
        <v>19</v>
      </c>
      <c r="L396" s="7" t="s">
        <v>20</v>
      </c>
    </row>
    <row r="397" customFormat="false" ht="22.35" hidden="false" customHeight="false" outlineLevel="0" collapsed="false">
      <c r="A397" s="4" t="s">
        <v>418</v>
      </c>
      <c r="B397" s="4" t="s">
        <v>14</v>
      </c>
      <c r="C397" s="4" t="s">
        <v>15</v>
      </c>
      <c r="D397" s="4" t="s">
        <v>16</v>
      </c>
      <c r="E397" s="4" t="s">
        <v>17</v>
      </c>
      <c r="F397" s="5" t="n">
        <v>0</v>
      </c>
      <c r="G397" s="6" t="n">
        <v>0</v>
      </c>
      <c r="H397" s="6" t="n">
        <v>0</v>
      </c>
      <c r="I397" s="6" t="n">
        <v>0</v>
      </c>
      <c r="J397" s="4" t="s">
        <v>18</v>
      </c>
      <c r="K397" s="4" t="s">
        <v>19</v>
      </c>
      <c r="L397" s="4" t="s">
        <v>20</v>
      </c>
    </row>
    <row r="398" customFormat="false" ht="22.35" hidden="false" customHeight="false" outlineLevel="0" collapsed="false">
      <c r="A398" s="7" t="s">
        <v>419</v>
      </c>
      <c r="B398" s="7" t="s">
        <v>14</v>
      </c>
      <c r="C398" s="7" t="s">
        <v>15</v>
      </c>
      <c r="D398" s="7" t="s">
        <v>16</v>
      </c>
      <c r="E398" s="7" t="s">
        <v>17</v>
      </c>
      <c r="F398" s="8" t="n">
        <v>3.29</v>
      </c>
      <c r="G398" s="9" t="n">
        <v>0</v>
      </c>
      <c r="H398" s="9" t="n">
        <v>0</v>
      </c>
      <c r="I398" s="9" t="n">
        <v>0</v>
      </c>
      <c r="J398" s="7" t="s">
        <v>18</v>
      </c>
      <c r="K398" s="7" t="s">
        <v>19</v>
      </c>
      <c r="L398" s="7" t="s">
        <v>20</v>
      </c>
    </row>
    <row r="399" customFormat="false" ht="22.35" hidden="false" customHeight="false" outlineLevel="0" collapsed="false">
      <c r="A399" s="4" t="s">
        <v>420</v>
      </c>
      <c r="B399" s="4" t="s">
        <v>14</v>
      </c>
      <c r="C399" s="4" t="s">
        <v>15</v>
      </c>
      <c r="D399" s="4" t="s">
        <v>16</v>
      </c>
      <c r="E399" s="4" t="s">
        <v>17</v>
      </c>
      <c r="F399" s="5" t="n">
        <v>22.2</v>
      </c>
      <c r="G399" s="6" t="n">
        <v>0</v>
      </c>
      <c r="H399" s="6" t="n">
        <v>0</v>
      </c>
      <c r="I399" s="6" t="n">
        <v>0</v>
      </c>
      <c r="J399" s="4" t="s">
        <v>18</v>
      </c>
      <c r="K399" s="4" t="s">
        <v>19</v>
      </c>
      <c r="L399" s="4" t="s">
        <v>20</v>
      </c>
    </row>
    <row r="400" customFormat="false" ht="22.35" hidden="false" customHeight="false" outlineLevel="0" collapsed="false">
      <c r="A400" s="7" t="s">
        <v>421</v>
      </c>
      <c r="B400" s="7" t="s">
        <v>14</v>
      </c>
      <c r="C400" s="7" t="s">
        <v>15</v>
      </c>
      <c r="D400" s="7" t="s">
        <v>16</v>
      </c>
      <c r="E400" s="7" t="s">
        <v>17</v>
      </c>
      <c r="F400" s="8" t="n">
        <v>5.11</v>
      </c>
      <c r="G400" s="9" t="n">
        <v>0</v>
      </c>
      <c r="H400" s="9" t="n">
        <v>0</v>
      </c>
      <c r="I400" s="9" t="n">
        <v>0</v>
      </c>
      <c r="J400" s="7" t="s">
        <v>18</v>
      </c>
      <c r="K400" s="7" t="s">
        <v>19</v>
      </c>
      <c r="L400" s="7" t="s">
        <v>20</v>
      </c>
    </row>
    <row r="401" customFormat="false" ht="22.35" hidden="false" customHeight="false" outlineLevel="0" collapsed="false">
      <c r="A401" s="4" t="s">
        <v>422</v>
      </c>
      <c r="B401" s="4" t="s">
        <v>14</v>
      </c>
      <c r="C401" s="4" t="s">
        <v>15</v>
      </c>
      <c r="D401" s="4" t="s">
        <v>16</v>
      </c>
      <c r="E401" s="4" t="s">
        <v>17</v>
      </c>
      <c r="F401" s="5" t="n">
        <v>0.85</v>
      </c>
      <c r="G401" s="6" t="n">
        <v>0</v>
      </c>
      <c r="H401" s="6" t="n">
        <v>0</v>
      </c>
      <c r="I401" s="6" t="n">
        <v>0</v>
      </c>
      <c r="J401" s="4" t="s">
        <v>18</v>
      </c>
      <c r="K401" s="4" t="s">
        <v>19</v>
      </c>
      <c r="L401" s="4" t="s">
        <v>20</v>
      </c>
    </row>
    <row r="402" customFormat="false" ht="22.35" hidden="false" customHeight="false" outlineLevel="0" collapsed="false">
      <c r="A402" s="7" t="s">
        <v>423</v>
      </c>
      <c r="B402" s="7" t="s">
        <v>14</v>
      </c>
      <c r="C402" s="7" t="s">
        <v>15</v>
      </c>
      <c r="D402" s="7" t="s">
        <v>16</v>
      </c>
      <c r="E402" s="7" t="s">
        <v>17</v>
      </c>
      <c r="F402" s="8" t="n">
        <v>2.95</v>
      </c>
      <c r="G402" s="9" t="n">
        <v>0</v>
      </c>
      <c r="H402" s="9" t="n">
        <v>0</v>
      </c>
      <c r="I402" s="9" t="n">
        <v>0</v>
      </c>
      <c r="J402" s="7" t="s">
        <v>18</v>
      </c>
      <c r="K402" s="7" t="s">
        <v>19</v>
      </c>
      <c r="L402" s="7" t="s">
        <v>20</v>
      </c>
    </row>
    <row r="403" customFormat="false" ht="22.35" hidden="false" customHeight="false" outlineLevel="0" collapsed="false">
      <c r="A403" s="4" t="s">
        <v>424</v>
      </c>
      <c r="B403" s="4" t="s">
        <v>14</v>
      </c>
      <c r="C403" s="4" t="s">
        <v>15</v>
      </c>
      <c r="D403" s="4" t="s">
        <v>16</v>
      </c>
      <c r="E403" s="4" t="s">
        <v>17</v>
      </c>
      <c r="F403" s="5" t="n">
        <v>9.71</v>
      </c>
      <c r="G403" s="6" t="n">
        <v>0</v>
      </c>
      <c r="H403" s="6" t="n">
        <v>0</v>
      </c>
      <c r="I403" s="6" t="n">
        <v>0</v>
      </c>
      <c r="J403" s="4" t="s">
        <v>18</v>
      </c>
      <c r="K403" s="4" t="s">
        <v>19</v>
      </c>
      <c r="L403" s="4" t="s">
        <v>20</v>
      </c>
    </row>
    <row r="404" customFormat="false" ht="22.35" hidden="false" customHeight="false" outlineLevel="0" collapsed="false">
      <c r="A404" s="7" t="s">
        <v>425</v>
      </c>
      <c r="B404" s="7" t="s">
        <v>14</v>
      </c>
      <c r="C404" s="7" t="s">
        <v>15</v>
      </c>
      <c r="D404" s="7" t="s">
        <v>16</v>
      </c>
      <c r="E404" s="7" t="s">
        <v>44</v>
      </c>
      <c r="F404" s="8" t="n">
        <v>1.92</v>
      </c>
      <c r="G404" s="9" t="n">
        <v>0</v>
      </c>
      <c r="H404" s="9" t="n">
        <v>0</v>
      </c>
      <c r="I404" s="9" t="n">
        <v>0</v>
      </c>
      <c r="J404" s="7" t="s">
        <v>18</v>
      </c>
      <c r="K404" s="7" t="s">
        <v>19</v>
      </c>
      <c r="L404" s="7" t="s">
        <v>20</v>
      </c>
    </row>
    <row r="405" customFormat="false" ht="22.35" hidden="false" customHeight="false" outlineLevel="0" collapsed="false">
      <c r="A405" s="4" t="s">
        <v>426</v>
      </c>
      <c r="B405" s="4" t="s">
        <v>14</v>
      </c>
      <c r="C405" s="4" t="s">
        <v>15</v>
      </c>
      <c r="D405" s="4" t="s">
        <v>16</v>
      </c>
      <c r="E405" s="4" t="s">
        <v>17</v>
      </c>
      <c r="F405" s="5" t="n">
        <v>14.566</v>
      </c>
      <c r="G405" s="6" t="n">
        <v>0</v>
      </c>
      <c r="H405" s="6" t="n">
        <v>0</v>
      </c>
      <c r="I405" s="6" t="n">
        <v>0</v>
      </c>
      <c r="J405" s="4" t="s">
        <v>18</v>
      </c>
      <c r="K405" s="4" t="s">
        <v>19</v>
      </c>
      <c r="L405" s="4" t="s">
        <v>20</v>
      </c>
    </row>
    <row r="406" customFormat="false" ht="22.35" hidden="false" customHeight="false" outlineLevel="0" collapsed="false">
      <c r="A406" s="7" t="s">
        <v>427</v>
      </c>
      <c r="B406" s="7" t="s">
        <v>14</v>
      </c>
      <c r="C406" s="7" t="s">
        <v>15</v>
      </c>
      <c r="D406" s="7" t="s">
        <v>16</v>
      </c>
      <c r="E406" s="7" t="s">
        <v>17</v>
      </c>
      <c r="F406" s="8" t="n">
        <v>1.5</v>
      </c>
      <c r="G406" s="9" t="n">
        <v>0</v>
      </c>
      <c r="H406" s="9" t="n">
        <v>0</v>
      </c>
      <c r="I406" s="9" t="n">
        <v>0</v>
      </c>
      <c r="J406" s="7" t="s">
        <v>18</v>
      </c>
      <c r="K406" s="7" t="s">
        <v>19</v>
      </c>
      <c r="L406" s="7" t="s">
        <v>20</v>
      </c>
    </row>
    <row r="407" customFormat="false" ht="22.35" hidden="false" customHeight="false" outlineLevel="0" collapsed="false">
      <c r="A407" s="4" t="s">
        <v>428</v>
      </c>
      <c r="B407" s="4" t="s">
        <v>14</v>
      </c>
      <c r="C407" s="4" t="s">
        <v>15</v>
      </c>
      <c r="D407" s="4" t="s">
        <v>16</v>
      </c>
      <c r="E407" s="4" t="s">
        <v>17</v>
      </c>
      <c r="F407" s="5" t="n">
        <v>5.45</v>
      </c>
      <c r="G407" s="6" t="n">
        <v>0</v>
      </c>
      <c r="H407" s="6" t="n">
        <v>0</v>
      </c>
      <c r="I407" s="6" t="n">
        <v>0</v>
      </c>
      <c r="J407" s="4" t="s">
        <v>18</v>
      </c>
      <c r="K407" s="4" t="s">
        <v>19</v>
      </c>
      <c r="L407" s="4" t="s">
        <v>20</v>
      </c>
    </row>
    <row r="408" customFormat="false" ht="22.35" hidden="false" customHeight="false" outlineLevel="0" collapsed="false">
      <c r="A408" s="7" t="s">
        <v>429</v>
      </c>
      <c r="B408" s="7" t="s">
        <v>14</v>
      </c>
      <c r="C408" s="7" t="s">
        <v>15</v>
      </c>
      <c r="D408" s="7" t="s">
        <v>16</v>
      </c>
      <c r="E408" s="7" t="s">
        <v>17</v>
      </c>
      <c r="F408" s="8" t="n">
        <v>3.84</v>
      </c>
      <c r="G408" s="9" t="n">
        <v>0</v>
      </c>
      <c r="H408" s="9" t="n">
        <v>0</v>
      </c>
      <c r="I408" s="9" t="n">
        <v>0</v>
      </c>
      <c r="J408" s="7" t="s">
        <v>18</v>
      </c>
      <c r="K408" s="7" t="s">
        <v>19</v>
      </c>
      <c r="L408" s="7" t="s">
        <v>20</v>
      </c>
    </row>
    <row r="409" customFormat="false" ht="22.35" hidden="false" customHeight="false" outlineLevel="0" collapsed="false">
      <c r="A409" s="4" t="s">
        <v>430</v>
      </c>
      <c r="B409" s="4" t="s">
        <v>14</v>
      </c>
      <c r="C409" s="4" t="s">
        <v>15</v>
      </c>
      <c r="D409" s="4" t="s">
        <v>16</v>
      </c>
      <c r="E409" s="4" t="s">
        <v>17</v>
      </c>
      <c r="F409" s="5" t="n">
        <v>18.91</v>
      </c>
      <c r="G409" s="6" t="n">
        <v>0</v>
      </c>
      <c r="H409" s="6" t="n">
        <v>0</v>
      </c>
      <c r="I409" s="6" t="n">
        <v>0</v>
      </c>
      <c r="J409" s="4" t="s">
        <v>18</v>
      </c>
      <c r="K409" s="4" t="s">
        <v>19</v>
      </c>
      <c r="L409" s="4" t="s">
        <v>20</v>
      </c>
    </row>
    <row r="410" customFormat="false" ht="22.35" hidden="false" customHeight="false" outlineLevel="0" collapsed="false">
      <c r="A410" s="7" t="s">
        <v>431</v>
      </c>
      <c r="B410" s="7" t="s">
        <v>14</v>
      </c>
      <c r="C410" s="7" t="s">
        <v>15</v>
      </c>
      <c r="D410" s="7" t="s">
        <v>16</v>
      </c>
      <c r="E410" s="7" t="s">
        <v>17</v>
      </c>
      <c r="F410" s="8" t="n">
        <v>11.4124</v>
      </c>
      <c r="G410" s="9" t="n">
        <v>0</v>
      </c>
      <c r="H410" s="9" t="n">
        <v>0</v>
      </c>
      <c r="I410" s="9" t="n">
        <v>0</v>
      </c>
      <c r="J410" s="7" t="s">
        <v>18</v>
      </c>
      <c r="K410" s="7" t="s">
        <v>19</v>
      </c>
      <c r="L410" s="7" t="s">
        <v>20</v>
      </c>
    </row>
    <row r="411" customFormat="false" ht="22.35" hidden="false" customHeight="false" outlineLevel="0" collapsed="false">
      <c r="A411" s="4" t="s">
        <v>432</v>
      </c>
      <c r="B411" s="4" t="s">
        <v>14</v>
      </c>
      <c r="C411" s="4" t="s">
        <v>15</v>
      </c>
      <c r="D411" s="4" t="s">
        <v>16</v>
      </c>
      <c r="E411" s="4" t="s">
        <v>17</v>
      </c>
      <c r="F411" s="5" t="n">
        <v>10.73</v>
      </c>
      <c r="G411" s="6" t="n">
        <v>0</v>
      </c>
      <c r="H411" s="6" t="n">
        <v>0</v>
      </c>
      <c r="I411" s="6" t="n">
        <v>0</v>
      </c>
      <c r="J411" s="4" t="s">
        <v>18</v>
      </c>
      <c r="K411" s="4" t="s">
        <v>19</v>
      </c>
      <c r="L411" s="4" t="s">
        <v>20</v>
      </c>
    </row>
    <row r="412" customFormat="false" ht="22.35" hidden="false" customHeight="false" outlineLevel="0" collapsed="false">
      <c r="A412" s="7" t="s">
        <v>433</v>
      </c>
      <c r="B412" s="7" t="s">
        <v>14</v>
      </c>
      <c r="C412" s="7" t="s">
        <v>15</v>
      </c>
      <c r="D412" s="7" t="s">
        <v>16</v>
      </c>
      <c r="E412" s="7" t="s">
        <v>17</v>
      </c>
      <c r="F412" s="8" t="n">
        <v>8.2</v>
      </c>
      <c r="G412" s="9" t="n">
        <v>0</v>
      </c>
      <c r="H412" s="9" t="n">
        <v>0</v>
      </c>
      <c r="I412" s="9" t="n">
        <v>0</v>
      </c>
      <c r="J412" s="7" t="s">
        <v>18</v>
      </c>
      <c r="K412" s="7" t="s">
        <v>19</v>
      </c>
      <c r="L412" s="7" t="s">
        <v>20</v>
      </c>
    </row>
    <row r="413" customFormat="false" ht="22.35" hidden="false" customHeight="false" outlineLevel="0" collapsed="false">
      <c r="A413" s="4" t="s">
        <v>434</v>
      </c>
      <c r="B413" s="4" t="s">
        <v>14</v>
      </c>
      <c r="C413" s="4" t="s">
        <v>15</v>
      </c>
      <c r="D413" s="4" t="s">
        <v>16</v>
      </c>
      <c r="E413" s="4" t="s">
        <v>17</v>
      </c>
      <c r="F413" s="5" t="n">
        <v>16.02</v>
      </c>
      <c r="G413" s="6" t="n">
        <v>0</v>
      </c>
      <c r="H413" s="6" t="n">
        <v>0</v>
      </c>
      <c r="I413" s="6" t="n">
        <v>0</v>
      </c>
      <c r="J413" s="4" t="s">
        <v>18</v>
      </c>
      <c r="K413" s="4" t="s">
        <v>19</v>
      </c>
      <c r="L413" s="4" t="s">
        <v>20</v>
      </c>
    </row>
    <row r="414" customFormat="false" ht="22.35" hidden="false" customHeight="false" outlineLevel="0" collapsed="false">
      <c r="A414" s="7" t="s">
        <v>435</v>
      </c>
      <c r="B414" s="7" t="s">
        <v>14</v>
      </c>
      <c r="C414" s="7" t="s">
        <v>15</v>
      </c>
      <c r="D414" s="7" t="s">
        <v>16</v>
      </c>
      <c r="E414" s="7" t="s">
        <v>17</v>
      </c>
      <c r="F414" s="8" t="n">
        <v>11.82</v>
      </c>
      <c r="G414" s="9" t="n">
        <v>0</v>
      </c>
      <c r="H414" s="9" t="n">
        <v>0</v>
      </c>
      <c r="I414" s="9" t="n">
        <v>0</v>
      </c>
      <c r="J414" s="7" t="s">
        <v>18</v>
      </c>
      <c r="K414" s="7" t="s">
        <v>19</v>
      </c>
      <c r="L414" s="7" t="s">
        <v>20</v>
      </c>
    </row>
    <row r="415" customFormat="false" ht="22.35" hidden="false" customHeight="false" outlineLevel="0" collapsed="false">
      <c r="A415" s="4" t="s">
        <v>436</v>
      </c>
      <c r="B415" s="4" t="s">
        <v>14</v>
      </c>
      <c r="C415" s="4" t="s">
        <v>15</v>
      </c>
      <c r="D415" s="4" t="s">
        <v>16</v>
      </c>
      <c r="E415" s="4" t="s">
        <v>44</v>
      </c>
      <c r="F415" s="5" t="n">
        <v>20.98</v>
      </c>
      <c r="G415" s="6" t="n">
        <v>0</v>
      </c>
      <c r="H415" s="6" t="n">
        <v>0</v>
      </c>
      <c r="I415" s="6" t="n">
        <v>0</v>
      </c>
      <c r="J415" s="4" t="s">
        <v>18</v>
      </c>
      <c r="K415" s="4" t="s">
        <v>19</v>
      </c>
      <c r="L415" s="4" t="s">
        <v>20</v>
      </c>
    </row>
    <row r="416" customFormat="false" ht="22.35" hidden="false" customHeight="false" outlineLevel="0" collapsed="false">
      <c r="A416" s="7" t="s">
        <v>437</v>
      </c>
      <c r="B416" s="7" t="s">
        <v>14</v>
      </c>
      <c r="C416" s="7" t="s">
        <v>15</v>
      </c>
      <c r="D416" s="7" t="s">
        <v>16</v>
      </c>
      <c r="E416" s="7" t="s">
        <v>17</v>
      </c>
      <c r="F416" s="8" t="n">
        <v>1.83</v>
      </c>
      <c r="G416" s="9" t="n">
        <v>0</v>
      </c>
      <c r="H416" s="9" t="n">
        <v>0</v>
      </c>
      <c r="I416" s="9" t="n">
        <v>0</v>
      </c>
      <c r="J416" s="7" t="s">
        <v>18</v>
      </c>
      <c r="K416" s="7" t="s">
        <v>19</v>
      </c>
      <c r="L416" s="7" t="s">
        <v>20</v>
      </c>
    </row>
    <row r="417" customFormat="false" ht="22.35" hidden="false" customHeight="false" outlineLevel="0" collapsed="false">
      <c r="A417" s="4" t="s">
        <v>438</v>
      </c>
      <c r="B417" s="4" t="s">
        <v>14</v>
      </c>
      <c r="C417" s="4" t="s">
        <v>15</v>
      </c>
      <c r="D417" s="4" t="s">
        <v>16</v>
      </c>
      <c r="E417" s="4" t="s">
        <v>17</v>
      </c>
      <c r="F417" s="5" t="n">
        <v>3.67</v>
      </c>
      <c r="G417" s="6" t="n">
        <v>0</v>
      </c>
      <c r="H417" s="6" t="n">
        <v>0</v>
      </c>
      <c r="I417" s="6" t="n">
        <v>0</v>
      </c>
      <c r="J417" s="4" t="s">
        <v>18</v>
      </c>
      <c r="K417" s="4" t="s">
        <v>19</v>
      </c>
      <c r="L417" s="4" t="s">
        <v>20</v>
      </c>
    </row>
    <row r="418" customFormat="false" ht="22.35" hidden="false" customHeight="false" outlineLevel="0" collapsed="false">
      <c r="A418" s="7" t="s">
        <v>439</v>
      </c>
      <c r="B418" s="7" t="s">
        <v>14</v>
      </c>
      <c r="C418" s="7" t="s">
        <v>15</v>
      </c>
      <c r="D418" s="7" t="s">
        <v>16</v>
      </c>
      <c r="E418" s="7" t="s">
        <v>17</v>
      </c>
      <c r="F418" s="8" t="n">
        <v>3.85</v>
      </c>
      <c r="G418" s="9" t="n">
        <v>0</v>
      </c>
      <c r="H418" s="9" t="n">
        <v>0</v>
      </c>
      <c r="I418" s="9" t="n">
        <v>0</v>
      </c>
      <c r="J418" s="7" t="s">
        <v>18</v>
      </c>
      <c r="K418" s="7" t="s">
        <v>19</v>
      </c>
      <c r="L418" s="7" t="s">
        <v>20</v>
      </c>
    </row>
    <row r="419" customFormat="false" ht="22.35" hidden="false" customHeight="false" outlineLevel="0" collapsed="false">
      <c r="A419" s="4" t="s">
        <v>440</v>
      </c>
      <c r="B419" s="4" t="s">
        <v>14</v>
      </c>
      <c r="C419" s="4" t="s">
        <v>15</v>
      </c>
      <c r="D419" s="4" t="s">
        <v>16</v>
      </c>
      <c r="E419" s="4" t="s">
        <v>17</v>
      </c>
      <c r="F419" s="5" t="n">
        <v>3.17</v>
      </c>
      <c r="G419" s="6" t="n">
        <v>0</v>
      </c>
      <c r="H419" s="6" t="n">
        <v>0</v>
      </c>
      <c r="I419" s="6" t="n">
        <v>0</v>
      </c>
      <c r="J419" s="4" t="s">
        <v>18</v>
      </c>
      <c r="K419" s="4" t="s">
        <v>19</v>
      </c>
      <c r="L419" s="4" t="s">
        <v>20</v>
      </c>
    </row>
    <row r="420" customFormat="false" ht="22.35" hidden="false" customHeight="false" outlineLevel="0" collapsed="false">
      <c r="A420" s="7" t="s">
        <v>441</v>
      </c>
      <c r="B420" s="7" t="s">
        <v>14</v>
      </c>
      <c r="C420" s="7" t="s">
        <v>15</v>
      </c>
      <c r="D420" s="7" t="s">
        <v>16</v>
      </c>
      <c r="E420" s="7" t="s">
        <v>44</v>
      </c>
      <c r="F420" s="8" t="n">
        <v>5.02</v>
      </c>
      <c r="G420" s="9" t="n">
        <v>0</v>
      </c>
      <c r="H420" s="9" t="n">
        <v>0</v>
      </c>
      <c r="I420" s="9" t="n">
        <v>0</v>
      </c>
      <c r="J420" s="7" t="s">
        <v>18</v>
      </c>
      <c r="K420" s="7" t="s">
        <v>19</v>
      </c>
      <c r="L420" s="7" t="s">
        <v>20</v>
      </c>
    </row>
    <row r="421" customFormat="false" ht="22.35" hidden="false" customHeight="false" outlineLevel="0" collapsed="false">
      <c r="A421" s="4" t="s">
        <v>442</v>
      </c>
      <c r="B421" s="4" t="s">
        <v>14</v>
      </c>
      <c r="C421" s="4" t="s">
        <v>15</v>
      </c>
      <c r="D421" s="4" t="s">
        <v>16</v>
      </c>
      <c r="E421" s="4" t="s">
        <v>17</v>
      </c>
      <c r="F421" s="5" t="n">
        <v>6.67</v>
      </c>
      <c r="G421" s="6" t="n">
        <v>0</v>
      </c>
      <c r="H421" s="6" t="n">
        <v>0</v>
      </c>
      <c r="I421" s="6" t="n">
        <v>0</v>
      </c>
      <c r="J421" s="4" t="s">
        <v>18</v>
      </c>
      <c r="K421" s="4" t="s">
        <v>19</v>
      </c>
      <c r="L421" s="4" t="s">
        <v>20</v>
      </c>
    </row>
    <row r="422" customFormat="false" ht="22.35" hidden="false" customHeight="false" outlineLevel="0" collapsed="false">
      <c r="A422" s="7" t="s">
        <v>443</v>
      </c>
      <c r="B422" s="7" t="s">
        <v>14</v>
      </c>
      <c r="C422" s="7" t="s">
        <v>15</v>
      </c>
      <c r="D422" s="7" t="s">
        <v>16</v>
      </c>
      <c r="E422" s="7" t="s">
        <v>17</v>
      </c>
      <c r="F422" s="8" t="n">
        <v>5.7</v>
      </c>
      <c r="G422" s="9" t="n">
        <v>0</v>
      </c>
      <c r="H422" s="9" t="n">
        <v>0</v>
      </c>
      <c r="I422" s="9" t="n">
        <v>0</v>
      </c>
      <c r="J422" s="7" t="s">
        <v>18</v>
      </c>
      <c r="K422" s="7" t="s">
        <v>19</v>
      </c>
      <c r="L422" s="7" t="s">
        <v>20</v>
      </c>
    </row>
    <row r="423" customFormat="false" ht="22.35" hidden="false" customHeight="false" outlineLevel="0" collapsed="false">
      <c r="A423" s="4" t="s">
        <v>444</v>
      </c>
      <c r="B423" s="4" t="s">
        <v>14</v>
      </c>
      <c r="C423" s="4" t="s">
        <v>15</v>
      </c>
      <c r="D423" s="4" t="s">
        <v>16</v>
      </c>
      <c r="E423" s="4" t="s">
        <v>17</v>
      </c>
      <c r="F423" s="5" t="n">
        <v>3.18</v>
      </c>
      <c r="G423" s="6" t="n">
        <v>0</v>
      </c>
      <c r="H423" s="6" t="n">
        <v>0</v>
      </c>
      <c r="I423" s="6" t="n">
        <v>0</v>
      </c>
      <c r="J423" s="4" t="s">
        <v>18</v>
      </c>
      <c r="K423" s="4" t="s">
        <v>19</v>
      </c>
      <c r="L423" s="4" t="s">
        <v>20</v>
      </c>
    </row>
    <row r="424" customFormat="false" ht="22.35" hidden="false" customHeight="false" outlineLevel="0" collapsed="false">
      <c r="A424" s="7" t="s">
        <v>445</v>
      </c>
      <c r="B424" s="7" t="s">
        <v>14</v>
      </c>
      <c r="C424" s="7" t="s">
        <v>15</v>
      </c>
      <c r="D424" s="7" t="s">
        <v>16</v>
      </c>
      <c r="E424" s="7" t="s">
        <v>17</v>
      </c>
      <c r="F424" s="8" t="n">
        <v>5.0778</v>
      </c>
      <c r="G424" s="9" t="n">
        <v>0</v>
      </c>
      <c r="H424" s="9" t="n">
        <v>0</v>
      </c>
      <c r="I424" s="9" t="n">
        <v>0</v>
      </c>
      <c r="J424" s="7" t="s">
        <v>18</v>
      </c>
      <c r="K424" s="7" t="s">
        <v>19</v>
      </c>
      <c r="L424" s="7" t="s">
        <v>20</v>
      </c>
    </row>
    <row r="425" customFormat="false" ht="22.35" hidden="false" customHeight="false" outlineLevel="0" collapsed="false">
      <c r="A425" s="4" t="s">
        <v>446</v>
      </c>
      <c r="B425" s="4" t="s">
        <v>14</v>
      </c>
      <c r="C425" s="4" t="s">
        <v>15</v>
      </c>
      <c r="D425" s="4" t="s">
        <v>16</v>
      </c>
      <c r="E425" s="4" t="s">
        <v>17</v>
      </c>
      <c r="F425" s="5" t="n">
        <v>3.34</v>
      </c>
      <c r="G425" s="6" t="n">
        <v>0</v>
      </c>
      <c r="H425" s="6" t="n">
        <v>0</v>
      </c>
      <c r="I425" s="6" t="n">
        <v>0</v>
      </c>
      <c r="J425" s="4" t="s">
        <v>18</v>
      </c>
      <c r="K425" s="4" t="s">
        <v>19</v>
      </c>
      <c r="L425" s="4" t="s">
        <v>20</v>
      </c>
    </row>
    <row r="426" customFormat="false" ht="22.35" hidden="false" customHeight="false" outlineLevel="0" collapsed="false">
      <c r="A426" s="7" t="s">
        <v>447</v>
      </c>
      <c r="B426" s="7" t="s">
        <v>14</v>
      </c>
      <c r="C426" s="7" t="s">
        <v>15</v>
      </c>
      <c r="D426" s="7" t="s">
        <v>16</v>
      </c>
      <c r="E426" s="7" t="s">
        <v>17</v>
      </c>
      <c r="F426" s="8" t="n">
        <v>15.32</v>
      </c>
      <c r="G426" s="9" t="n">
        <v>0</v>
      </c>
      <c r="H426" s="9" t="n">
        <v>0</v>
      </c>
      <c r="I426" s="9" t="n">
        <v>0</v>
      </c>
      <c r="J426" s="7" t="s">
        <v>18</v>
      </c>
      <c r="K426" s="7" t="s">
        <v>19</v>
      </c>
      <c r="L426" s="7" t="s">
        <v>20</v>
      </c>
    </row>
    <row r="427" customFormat="false" ht="22.35" hidden="false" customHeight="false" outlineLevel="0" collapsed="false">
      <c r="A427" s="4" t="s">
        <v>448</v>
      </c>
      <c r="B427" s="4" t="s">
        <v>14</v>
      </c>
      <c r="C427" s="4" t="s">
        <v>15</v>
      </c>
      <c r="D427" s="4" t="s">
        <v>16</v>
      </c>
      <c r="E427" s="4" t="s">
        <v>17</v>
      </c>
      <c r="F427" s="5" t="n">
        <v>16.2</v>
      </c>
      <c r="G427" s="6" t="n">
        <v>0</v>
      </c>
      <c r="H427" s="6" t="n">
        <v>0</v>
      </c>
      <c r="I427" s="6" t="n">
        <v>0</v>
      </c>
      <c r="J427" s="4" t="s">
        <v>18</v>
      </c>
      <c r="K427" s="4" t="s">
        <v>19</v>
      </c>
      <c r="L427" s="4" t="s">
        <v>20</v>
      </c>
    </row>
    <row r="428" customFormat="false" ht="22.35" hidden="false" customHeight="false" outlineLevel="0" collapsed="false">
      <c r="A428" s="7" t="s">
        <v>449</v>
      </c>
      <c r="B428" s="7" t="s">
        <v>14</v>
      </c>
      <c r="C428" s="7" t="s">
        <v>15</v>
      </c>
      <c r="D428" s="7" t="s">
        <v>16</v>
      </c>
      <c r="E428" s="7" t="s">
        <v>17</v>
      </c>
      <c r="F428" s="8" t="n">
        <v>6.23</v>
      </c>
      <c r="G428" s="9" t="n">
        <v>0</v>
      </c>
      <c r="H428" s="9" t="n">
        <v>0</v>
      </c>
      <c r="I428" s="9" t="n">
        <v>0</v>
      </c>
      <c r="J428" s="7" t="s">
        <v>18</v>
      </c>
      <c r="K428" s="7" t="s">
        <v>19</v>
      </c>
      <c r="L428" s="7" t="s">
        <v>20</v>
      </c>
    </row>
    <row r="429" customFormat="false" ht="22.35" hidden="false" customHeight="false" outlineLevel="0" collapsed="false">
      <c r="A429" s="4" t="s">
        <v>450</v>
      </c>
      <c r="B429" s="4" t="s">
        <v>14</v>
      </c>
      <c r="C429" s="4" t="s">
        <v>15</v>
      </c>
      <c r="D429" s="4" t="s">
        <v>16</v>
      </c>
      <c r="E429" s="4" t="s">
        <v>17</v>
      </c>
      <c r="F429" s="5" t="n">
        <v>3.17</v>
      </c>
      <c r="G429" s="6" t="n">
        <v>0</v>
      </c>
      <c r="H429" s="6" t="n">
        <v>0</v>
      </c>
      <c r="I429" s="6" t="n">
        <v>0</v>
      </c>
      <c r="J429" s="4" t="s">
        <v>18</v>
      </c>
      <c r="K429" s="4" t="s">
        <v>19</v>
      </c>
      <c r="L429" s="4" t="s">
        <v>20</v>
      </c>
    </row>
    <row r="430" customFormat="false" ht="22.35" hidden="false" customHeight="false" outlineLevel="0" collapsed="false">
      <c r="A430" s="7" t="s">
        <v>451</v>
      </c>
      <c r="B430" s="7" t="s">
        <v>14</v>
      </c>
      <c r="C430" s="7" t="s">
        <v>15</v>
      </c>
      <c r="D430" s="7" t="s">
        <v>16</v>
      </c>
      <c r="E430" s="7" t="s">
        <v>17</v>
      </c>
      <c r="F430" s="8" t="n">
        <v>6.7</v>
      </c>
      <c r="G430" s="9" t="n">
        <v>0</v>
      </c>
      <c r="H430" s="9" t="n">
        <v>0</v>
      </c>
      <c r="I430" s="9" t="n">
        <v>0</v>
      </c>
      <c r="J430" s="7" t="s">
        <v>18</v>
      </c>
      <c r="K430" s="7" t="s">
        <v>19</v>
      </c>
      <c r="L430" s="7" t="s">
        <v>20</v>
      </c>
    </row>
    <row r="431" customFormat="false" ht="22.35" hidden="false" customHeight="false" outlineLevel="0" collapsed="false">
      <c r="A431" s="4" t="s">
        <v>452</v>
      </c>
      <c r="B431" s="4" t="s">
        <v>14</v>
      </c>
      <c r="C431" s="4" t="s">
        <v>15</v>
      </c>
      <c r="D431" s="4" t="s">
        <v>16</v>
      </c>
      <c r="E431" s="4" t="s">
        <v>17</v>
      </c>
      <c r="F431" s="5" t="n">
        <v>7.1</v>
      </c>
      <c r="G431" s="6" t="n">
        <v>0</v>
      </c>
      <c r="H431" s="6" t="n">
        <v>0</v>
      </c>
      <c r="I431" s="6" t="n">
        <v>0</v>
      </c>
      <c r="J431" s="4" t="s">
        <v>18</v>
      </c>
      <c r="K431" s="4" t="s">
        <v>19</v>
      </c>
      <c r="L431" s="4" t="s">
        <v>20</v>
      </c>
    </row>
    <row r="432" customFormat="false" ht="22.35" hidden="false" customHeight="false" outlineLevel="0" collapsed="false">
      <c r="A432" s="7" t="s">
        <v>453</v>
      </c>
      <c r="B432" s="7" t="s">
        <v>14</v>
      </c>
      <c r="C432" s="7" t="s">
        <v>15</v>
      </c>
      <c r="D432" s="7" t="s">
        <v>16</v>
      </c>
      <c r="E432" s="7" t="s">
        <v>44</v>
      </c>
      <c r="F432" s="8" t="n">
        <v>13.32</v>
      </c>
      <c r="G432" s="9" t="n">
        <v>0</v>
      </c>
      <c r="H432" s="9" t="n">
        <v>0</v>
      </c>
      <c r="I432" s="9" t="n">
        <v>0</v>
      </c>
      <c r="J432" s="7" t="s">
        <v>18</v>
      </c>
      <c r="K432" s="7" t="s">
        <v>19</v>
      </c>
      <c r="L432" s="7" t="s">
        <v>20</v>
      </c>
    </row>
    <row r="433" customFormat="false" ht="22.35" hidden="false" customHeight="false" outlineLevel="0" collapsed="false">
      <c r="A433" s="4" t="s">
        <v>454</v>
      </c>
      <c r="B433" s="4" t="s">
        <v>14</v>
      </c>
      <c r="C433" s="4" t="s">
        <v>15</v>
      </c>
      <c r="D433" s="4" t="s">
        <v>16</v>
      </c>
      <c r="E433" s="4" t="s">
        <v>17</v>
      </c>
      <c r="F433" s="5" t="n">
        <v>4.26</v>
      </c>
      <c r="G433" s="6" t="n">
        <v>0</v>
      </c>
      <c r="H433" s="6" t="n">
        <v>0</v>
      </c>
      <c r="I433" s="6" t="n">
        <v>0</v>
      </c>
      <c r="J433" s="4" t="s">
        <v>18</v>
      </c>
      <c r="K433" s="4" t="s">
        <v>19</v>
      </c>
      <c r="L433" s="4" t="s">
        <v>20</v>
      </c>
    </row>
    <row r="434" customFormat="false" ht="22.35" hidden="false" customHeight="false" outlineLevel="0" collapsed="false">
      <c r="A434" s="7" t="s">
        <v>455</v>
      </c>
      <c r="B434" s="7" t="s">
        <v>14</v>
      </c>
      <c r="C434" s="7" t="s">
        <v>15</v>
      </c>
      <c r="D434" s="7" t="s">
        <v>16</v>
      </c>
      <c r="E434" s="7" t="s">
        <v>44</v>
      </c>
      <c r="F434" s="8" t="n">
        <v>2.1</v>
      </c>
      <c r="G434" s="9" t="n">
        <v>0</v>
      </c>
      <c r="H434" s="9" t="n">
        <v>0</v>
      </c>
      <c r="I434" s="9" t="n">
        <v>0</v>
      </c>
      <c r="J434" s="7" t="s">
        <v>18</v>
      </c>
      <c r="K434" s="7" t="s">
        <v>19</v>
      </c>
      <c r="L434" s="7" t="s">
        <v>20</v>
      </c>
    </row>
    <row r="435" customFormat="false" ht="22.35" hidden="false" customHeight="false" outlineLevel="0" collapsed="false">
      <c r="A435" s="4" t="s">
        <v>456</v>
      </c>
      <c r="B435" s="4" t="s">
        <v>14</v>
      </c>
      <c r="C435" s="4" t="s">
        <v>15</v>
      </c>
      <c r="D435" s="4" t="s">
        <v>16</v>
      </c>
      <c r="E435" s="4" t="s">
        <v>44</v>
      </c>
      <c r="F435" s="5" t="n">
        <v>2.64</v>
      </c>
      <c r="G435" s="6" t="n">
        <v>0</v>
      </c>
      <c r="H435" s="6" t="n">
        <v>0</v>
      </c>
      <c r="I435" s="6" t="n">
        <v>0</v>
      </c>
      <c r="J435" s="4" t="s">
        <v>18</v>
      </c>
      <c r="K435" s="4" t="s">
        <v>19</v>
      </c>
      <c r="L435" s="4" t="s">
        <v>20</v>
      </c>
    </row>
    <row r="436" customFormat="false" ht="22.35" hidden="false" customHeight="false" outlineLevel="0" collapsed="false">
      <c r="A436" s="7" t="s">
        <v>457</v>
      </c>
      <c r="B436" s="7" t="s">
        <v>14</v>
      </c>
      <c r="C436" s="7" t="s">
        <v>15</v>
      </c>
      <c r="D436" s="7" t="s">
        <v>16</v>
      </c>
      <c r="E436" s="7" t="s">
        <v>17</v>
      </c>
      <c r="F436" s="8" t="n">
        <v>8.67</v>
      </c>
      <c r="G436" s="9" t="n">
        <v>0</v>
      </c>
      <c r="H436" s="9" t="n">
        <v>0</v>
      </c>
      <c r="I436" s="9" t="n">
        <v>0</v>
      </c>
      <c r="J436" s="7" t="s">
        <v>18</v>
      </c>
      <c r="K436" s="7" t="s">
        <v>19</v>
      </c>
      <c r="L436" s="7" t="s">
        <v>20</v>
      </c>
    </row>
    <row r="437" customFormat="false" ht="22.35" hidden="false" customHeight="false" outlineLevel="0" collapsed="false">
      <c r="A437" s="4" t="s">
        <v>458</v>
      </c>
      <c r="B437" s="4" t="s">
        <v>14</v>
      </c>
      <c r="C437" s="4" t="s">
        <v>15</v>
      </c>
      <c r="D437" s="4" t="s">
        <v>16</v>
      </c>
      <c r="E437" s="4" t="s">
        <v>17</v>
      </c>
      <c r="F437" s="5" t="n">
        <v>2.36</v>
      </c>
      <c r="G437" s="6" t="n">
        <v>0</v>
      </c>
      <c r="H437" s="6" t="n">
        <v>0</v>
      </c>
      <c r="I437" s="6" t="n">
        <v>0</v>
      </c>
      <c r="J437" s="4" t="s">
        <v>18</v>
      </c>
      <c r="K437" s="4" t="s">
        <v>19</v>
      </c>
      <c r="L437" s="4" t="s">
        <v>20</v>
      </c>
    </row>
    <row r="438" customFormat="false" ht="22.35" hidden="false" customHeight="false" outlineLevel="0" collapsed="false">
      <c r="A438" s="7" t="s">
        <v>459</v>
      </c>
      <c r="B438" s="7" t="s">
        <v>14</v>
      </c>
      <c r="C438" s="7" t="s">
        <v>15</v>
      </c>
      <c r="D438" s="7" t="s">
        <v>16</v>
      </c>
      <c r="E438" s="7" t="s">
        <v>17</v>
      </c>
      <c r="F438" s="8" t="n">
        <v>5.68</v>
      </c>
      <c r="G438" s="9" t="n">
        <v>0</v>
      </c>
      <c r="H438" s="9" t="n">
        <v>0</v>
      </c>
      <c r="I438" s="9" t="n">
        <v>0</v>
      </c>
      <c r="J438" s="7" t="s">
        <v>18</v>
      </c>
      <c r="K438" s="7" t="s">
        <v>19</v>
      </c>
      <c r="L438" s="7" t="s">
        <v>20</v>
      </c>
    </row>
    <row r="439" customFormat="false" ht="22.35" hidden="false" customHeight="false" outlineLevel="0" collapsed="false">
      <c r="A439" s="4" t="s">
        <v>460</v>
      </c>
      <c r="B439" s="4" t="s">
        <v>14</v>
      </c>
      <c r="C439" s="4" t="s">
        <v>15</v>
      </c>
      <c r="D439" s="4" t="s">
        <v>16</v>
      </c>
      <c r="E439" s="4" t="s">
        <v>17</v>
      </c>
      <c r="F439" s="5" t="n">
        <v>2.59</v>
      </c>
      <c r="G439" s="6" t="n">
        <v>0</v>
      </c>
      <c r="H439" s="6" t="n">
        <v>0</v>
      </c>
      <c r="I439" s="6" t="n">
        <v>0</v>
      </c>
      <c r="J439" s="4" t="s">
        <v>18</v>
      </c>
      <c r="K439" s="4" t="s">
        <v>19</v>
      </c>
      <c r="L439" s="4" t="s">
        <v>20</v>
      </c>
    </row>
    <row r="440" customFormat="false" ht="22.35" hidden="false" customHeight="false" outlineLevel="0" collapsed="false">
      <c r="A440" s="7" t="s">
        <v>461</v>
      </c>
      <c r="B440" s="7" t="s">
        <v>14</v>
      </c>
      <c r="C440" s="7" t="s">
        <v>15</v>
      </c>
      <c r="D440" s="7" t="s">
        <v>16</v>
      </c>
      <c r="E440" s="7" t="s">
        <v>44</v>
      </c>
      <c r="F440" s="8" t="n">
        <v>7.92</v>
      </c>
      <c r="G440" s="9" t="n">
        <v>0</v>
      </c>
      <c r="H440" s="9" t="n">
        <v>0</v>
      </c>
      <c r="I440" s="9" t="n">
        <v>0</v>
      </c>
      <c r="J440" s="7" t="s">
        <v>18</v>
      </c>
      <c r="K440" s="7" t="s">
        <v>19</v>
      </c>
      <c r="L440" s="7" t="s">
        <v>20</v>
      </c>
    </row>
    <row r="441" customFormat="false" ht="22.35" hidden="false" customHeight="false" outlineLevel="0" collapsed="false">
      <c r="A441" s="4" t="s">
        <v>462</v>
      </c>
      <c r="B441" s="4" t="s">
        <v>14</v>
      </c>
      <c r="C441" s="4" t="s">
        <v>15</v>
      </c>
      <c r="D441" s="4" t="s">
        <v>16</v>
      </c>
      <c r="E441" s="4" t="s">
        <v>17</v>
      </c>
      <c r="F441" s="5" t="n">
        <v>8.03</v>
      </c>
      <c r="G441" s="6" t="n">
        <v>0</v>
      </c>
      <c r="H441" s="6" t="n">
        <v>0</v>
      </c>
      <c r="I441" s="6" t="n">
        <v>0</v>
      </c>
      <c r="J441" s="4" t="s">
        <v>18</v>
      </c>
      <c r="K441" s="4" t="s">
        <v>19</v>
      </c>
      <c r="L441" s="4" t="s">
        <v>20</v>
      </c>
    </row>
    <row r="442" customFormat="false" ht="22.35" hidden="false" customHeight="false" outlineLevel="0" collapsed="false">
      <c r="A442" s="7" t="s">
        <v>463</v>
      </c>
      <c r="B442" s="7" t="s">
        <v>14</v>
      </c>
      <c r="C442" s="7" t="s">
        <v>15</v>
      </c>
      <c r="D442" s="7" t="s">
        <v>16</v>
      </c>
      <c r="E442" s="7" t="s">
        <v>44</v>
      </c>
      <c r="F442" s="8" t="n">
        <v>5.5</v>
      </c>
      <c r="G442" s="9" t="n">
        <v>0</v>
      </c>
      <c r="H442" s="9" t="n">
        <v>0</v>
      </c>
      <c r="I442" s="9" t="n">
        <v>0</v>
      </c>
      <c r="J442" s="7" t="s">
        <v>18</v>
      </c>
      <c r="K442" s="7" t="s">
        <v>19</v>
      </c>
      <c r="L442" s="7" t="s">
        <v>20</v>
      </c>
    </row>
    <row r="443" customFormat="false" ht="22.35" hidden="false" customHeight="false" outlineLevel="0" collapsed="false">
      <c r="A443" s="4" t="s">
        <v>464</v>
      </c>
      <c r="B443" s="4" t="s">
        <v>14</v>
      </c>
      <c r="C443" s="4" t="s">
        <v>15</v>
      </c>
      <c r="D443" s="4" t="s">
        <v>16</v>
      </c>
      <c r="E443" s="4" t="s">
        <v>17</v>
      </c>
      <c r="F443" s="5" t="n">
        <v>4.55</v>
      </c>
      <c r="G443" s="6" t="n">
        <v>0</v>
      </c>
      <c r="H443" s="6" t="n">
        <v>0</v>
      </c>
      <c r="I443" s="6" t="n">
        <v>0</v>
      </c>
      <c r="J443" s="4" t="s">
        <v>18</v>
      </c>
      <c r="K443" s="4" t="s">
        <v>19</v>
      </c>
      <c r="L443" s="4" t="s">
        <v>20</v>
      </c>
    </row>
    <row r="444" customFormat="false" ht="22.35" hidden="false" customHeight="false" outlineLevel="0" collapsed="false">
      <c r="A444" s="7" t="s">
        <v>465</v>
      </c>
      <c r="B444" s="7" t="s">
        <v>14</v>
      </c>
      <c r="C444" s="7" t="s">
        <v>15</v>
      </c>
      <c r="D444" s="7" t="s">
        <v>16</v>
      </c>
      <c r="E444" s="7" t="s">
        <v>17</v>
      </c>
      <c r="F444" s="8" t="n">
        <v>4.65</v>
      </c>
      <c r="G444" s="9" t="n">
        <v>0</v>
      </c>
      <c r="H444" s="9" t="n">
        <v>0</v>
      </c>
      <c r="I444" s="9" t="n">
        <v>0</v>
      </c>
      <c r="J444" s="7" t="s">
        <v>18</v>
      </c>
      <c r="K444" s="7" t="s">
        <v>19</v>
      </c>
      <c r="L444" s="7" t="s">
        <v>20</v>
      </c>
    </row>
    <row r="445" customFormat="false" ht="22.35" hidden="false" customHeight="false" outlineLevel="0" collapsed="false">
      <c r="A445" s="4" t="s">
        <v>466</v>
      </c>
      <c r="B445" s="4" t="s">
        <v>14</v>
      </c>
      <c r="C445" s="4" t="s">
        <v>15</v>
      </c>
      <c r="D445" s="4" t="s">
        <v>16</v>
      </c>
      <c r="E445" s="4" t="s">
        <v>17</v>
      </c>
      <c r="F445" s="5" t="n">
        <v>14.53</v>
      </c>
      <c r="G445" s="6" t="n">
        <v>0</v>
      </c>
      <c r="H445" s="6" t="n">
        <v>0</v>
      </c>
      <c r="I445" s="6" t="n">
        <v>0</v>
      </c>
      <c r="J445" s="4" t="s">
        <v>18</v>
      </c>
      <c r="K445" s="4" t="s">
        <v>19</v>
      </c>
      <c r="L445" s="4" t="s">
        <v>20</v>
      </c>
    </row>
    <row r="446" customFormat="false" ht="22.35" hidden="false" customHeight="false" outlineLevel="0" collapsed="false">
      <c r="A446" s="7" t="s">
        <v>467</v>
      </c>
      <c r="B446" s="7" t="s">
        <v>14</v>
      </c>
      <c r="C446" s="7" t="s">
        <v>15</v>
      </c>
      <c r="D446" s="7" t="s">
        <v>16</v>
      </c>
      <c r="E446" s="7" t="s">
        <v>17</v>
      </c>
      <c r="F446" s="8" t="n">
        <v>1.71</v>
      </c>
      <c r="G446" s="9" t="n">
        <v>0</v>
      </c>
      <c r="H446" s="9" t="n">
        <v>0</v>
      </c>
      <c r="I446" s="9" t="n">
        <v>0</v>
      </c>
      <c r="J446" s="7" t="s">
        <v>18</v>
      </c>
      <c r="K446" s="7" t="s">
        <v>19</v>
      </c>
      <c r="L446" s="7" t="s">
        <v>20</v>
      </c>
    </row>
    <row r="447" customFormat="false" ht="22.35" hidden="false" customHeight="false" outlineLevel="0" collapsed="false">
      <c r="A447" s="4" t="s">
        <v>468</v>
      </c>
      <c r="B447" s="4" t="s">
        <v>14</v>
      </c>
      <c r="C447" s="4" t="s">
        <v>15</v>
      </c>
      <c r="D447" s="4" t="s">
        <v>16</v>
      </c>
      <c r="E447" s="4" t="s">
        <v>17</v>
      </c>
      <c r="F447" s="5" t="n">
        <v>4</v>
      </c>
      <c r="G447" s="6" t="n">
        <v>0</v>
      </c>
      <c r="H447" s="6" t="n">
        <v>0</v>
      </c>
      <c r="I447" s="6" t="n">
        <v>0</v>
      </c>
      <c r="J447" s="4" t="s">
        <v>18</v>
      </c>
      <c r="K447" s="4" t="s">
        <v>19</v>
      </c>
      <c r="L447" s="4" t="s">
        <v>20</v>
      </c>
    </row>
    <row r="448" customFormat="false" ht="22.35" hidden="false" customHeight="false" outlineLevel="0" collapsed="false">
      <c r="A448" s="7" t="s">
        <v>469</v>
      </c>
      <c r="B448" s="7" t="s">
        <v>14</v>
      </c>
      <c r="C448" s="7" t="s">
        <v>15</v>
      </c>
      <c r="D448" s="7" t="s">
        <v>16</v>
      </c>
      <c r="E448" s="7" t="s">
        <v>17</v>
      </c>
      <c r="F448" s="8" t="n">
        <v>4.39</v>
      </c>
      <c r="G448" s="9" t="n">
        <v>0</v>
      </c>
      <c r="H448" s="9" t="n">
        <v>0</v>
      </c>
      <c r="I448" s="9" t="n">
        <v>0</v>
      </c>
      <c r="J448" s="7" t="s">
        <v>18</v>
      </c>
      <c r="K448" s="7" t="s">
        <v>19</v>
      </c>
      <c r="L448" s="7" t="s">
        <v>20</v>
      </c>
    </row>
    <row r="449" customFormat="false" ht="22.35" hidden="false" customHeight="false" outlineLevel="0" collapsed="false">
      <c r="A449" s="4" t="s">
        <v>470</v>
      </c>
      <c r="B449" s="4" t="s">
        <v>14</v>
      </c>
      <c r="C449" s="4" t="s">
        <v>15</v>
      </c>
      <c r="D449" s="4" t="s">
        <v>16</v>
      </c>
      <c r="E449" s="4" t="s">
        <v>17</v>
      </c>
      <c r="F449" s="5" t="n">
        <v>8</v>
      </c>
      <c r="G449" s="6" t="n">
        <v>0</v>
      </c>
      <c r="H449" s="6" t="n">
        <v>0</v>
      </c>
      <c r="I449" s="6" t="n">
        <v>0</v>
      </c>
      <c r="J449" s="4" t="s">
        <v>18</v>
      </c>
      <c r="K449" s="4" t="s">
        <v>19</v>
      </c>
      <c r="L449" s="4" t="s">
        <v>20</v>
      </c>
    </row>
    <row r="450" customFormat="false" ht="22.35" hidden="false" customHeight="false" outlineLevel="0" collapsed="false">
      <c r="A450" s="7" t="s">
        <v>471</v>
      </c>
      <c r="B450" s="7" t="s">
        <v>14</v>
      </c>
      <c r="C450" s="7" t="s">
        <v>15</v>
      </c>
      <c r="D450" s="7" t="s">
        <v>16</v>
      </c>
      <c r="E450" s="7" t="s">
        <v>17</v>
      </c>
      <c r="F450" s="8" t="n">
        <v>3.71</v>
      </c>
      <c r="G450" s="9" t="n">
        <v>0</v>
      </c>
      <c r="H450" s="9" t="n">
        <v>0</v>
      </c>
      <c r="I450" s="9" t="n">
        <v>0</v>
      </c>
      <c r="J450" s="7" t="s">
        <v>18</v>
      </c>
      <c r="K450" s="7" t="s">
        <v>19</v>
      </c>
      <c r="L450" s="7" t="s">
        <v>20</v>
      </c>
    </row>
    <row r="451" customFormat="false" ht="22.35" hidden="false" customHeight="false" outlineLevel="0" collapsed="false">
      <c r="A451" s="4" t="s">
        <v>472</v>
      </c>
      <c r="B451" s="4" t="s">
        <v>14</v>
      </c>
      <c r="C451" s="4" t="s">
        <v>15</v>
      </c>
      <c r="D451" s="4" t="s">
        <v>16</v>
      </c>
      <c r="E451" s="4" t="s">
        <v>17</v>
      </c>
      <c r="F451" s="5" t="n">
        <v>20.04</v>
      </c>
      <c r="G451" s="6" t="n">
        <v>0</v>
      </c>
      <c r="H451" s="6" t="n">
        <v>0</v>
      </c>
      <c r="I451" s="6" t="n">
        <v>0</v>
      </c>
      <c r="J451" s="4" t="s">
        <v>18</v>
      </c>
      <c r="K451" s="4" t="s">
        <v>19</v>
      </c>
      <c r="L451" s="4" t="s">
        <v>20</v>
      </c>
    </row>
    <row r="452" customFormat="false" ht="22.35" hidden="false" customHeight="false" outlineLevel="0" collapsed="false">
      <c r="A452" s="7" t="s">
        <v>473</v>
      </c>
      <c r="B452" s="7" t="s">
        <v>14</v>
      </c>
      <c r="C452" s="7" t="s">
        <v>15</v>
      </c>
      <c r="D452" s="7" t="s">
        <v>16</v>
      </c>
      <c r="E452" s="7" t="s">
        <v>17</v>
      </c>
      <c r="F452" s="8" t="n">
        <v>3.4</v>
      </c>
      <c r="G452" s="9" t="n">
        <v>0</v>
      </c>
      <c r="H452" s="9" t="n">
        <v>0</v>
      </c>
      <c r="I452" s="9" t="n">
        <v>0</v>
      </c>
      <c r="J452" s="7" t="s">
        <v>18</v>
      </c>
      <c r="K452" s="7" t="s">
        <v>19</v>
      </c>
      <c r="L452" s="7" t="s">
        <v>20</v>
      </c>
    </row>
    <row r="453" customFormat="false" ht="22.35" hidden="false" customHeight="false" outlineLevel="0" collapsed="false">
      <c r="A453" s="4" t="s">
        <v>474</v>
      </c>
      <c r="B453" s="4" t="s">
        <v>14</v>
      </c>
      <c r="C453" s="4" t="s">
        <v>15</v>
      </c>
      <c r="D453" s="4" t="s">
        <v>16</v>
      </c>
      <c r="E453" s="4" t="s">
        <v>17</v>
      </c>
      <c r="F453" s="5" t="n">
        <v>16.63</v>
      </c>
      <c r="G453" s="6" t="n">
        <v>0</v>
      </c>
      <c r="H453" s="6" t="n">
        <v>0</v>
      </c>
      <c r="I453" s="6" t="n">
        <v>0</v>
      </c>
      <c r="J453" s="4" t="s">
        <v>18</v>
      </c>
      <c r="K453" s="4" t="s">
        <v>19</v>
      </c>
      <c r="L453" s="4" t="s">
        <v>20</v>
      </c>
    </row>
    <row r="454" customFormat="false" ht="22.35" hidden="false" customHeight="false" outlineLevel="0" collapsed="false">
      <c r="A454" s="7" t="s">
        <v>475</v>
      </c>
      <c r="B454" s="7" t="s">
        <v>14</v>
      </c>
      <c r="C454" s="7" t="s">
        <v>15</v>
      </c>
      <c r="D454" s="7" t="s">
        <v>16</v>
      </c>
      <c r="E454" s="7" t="s">
        <v>17</v>
      </c>
      <c r="F454" s="8" t="n">
        <v>4.95</v>
      </c>
      <c r="G454" s="9" t="n">
        <v>0</v>
      </c>
      <c r="H454" s="9" t="n">
        <v>0</v>
      </c>
      <c r="I454" s="9" t="n">
        <v>0</v>
      </c>
      <c r="J454" s="7" t="s">
        <v>18</v>
      </c>
      <c r="K454" s="7" t="s">
        <v>19</v>
      </c>
      <c r="L454" s="7" t="s">
        <v>20</v>
      </c>
    </row>
    <row r="455" customFormat="false" ht="22.35" hidden="false" customHeight="false" outlineLevel="0" collapsed="false">
      <c r="A455" s="4" t="s">
        <v>476</v>
      </c>
      <c r="B455" s="4" t="s">
        <v>14</v>
      </c>
      <c r="C455" s="4" t="s">
        <v>15</v>
      </c>
      <c r="D455" s="4" t="s">
        <v>16</v>
      </c>
      <c r="E455" s="4" t="s">
        <v>17</v>
      </c>
      <c r="F455" s="5" t="n">
        <v>11.84</v>
      </c>
      <c r="G455" s="6" t="n">
        <v>0</v>
      </c>
      <c r="H455" s="6" t="n">
        <v>0</v>
      </c>
      <c r="I455" s="6" t="n">
        <v>0</v>
      </c>
      <c r="J455" s="4" t="s">
        <v>18</v>
      </c>
      <c r="K455" s="4" t="s">
        <v>19</v>
      </c>
      <c r="L455" s="4" t="s">
        <v>20</v>
      </c>
    </row>
    <row r="456" customFormat="false" ht="22.35" hidden="false" customHeight="false" outlineLevel="0" collapsed="false">
      <c r="A456" s="7" t="s">
        <v>477</v>
      </c>
      <c r="B456" s="7" t="s">
        <v>14</v>
      </c>
      <c r="C456" s="7" t="s">
        <v>15</v>
      </c>
      <c r="D456" s="7" t="s">
        <v>16</v>
      </c>
      <c r="E456" s="7" t="s">
        <v>17</v>
      </c>
      <c r="F456" s="8" t="n">
        <v>4.98</v>
      </c>
      <c r="G456" s="9" t="n">
        <v>0</v>
      </c>
      <c r="H456" s="9" t="n">
        <v>0</v>
      </c>
      <c r="I456" s="9" t="n">
        <v>0</v>
      </c>
      <c r="J456" s="7" t="s">
        <v>18</v>
      </c>
      <c r="K456" s="7" t="s">
        <v>19</v>
      </c>
      <c r="L456" s="7" t="s">
        <v>20</v>
      </c>
    </row>
    <row r="457" customFormat="false" ht="22.35" hidden="false" customHeight="false" outlineLevel="0" collapsed="false">
      <c r="A457" s="4" t="s">
        <v>478</v>
      </c>
      <c r="B457" s="4" t="s">
        <v>14</v>
      </c>
      <c r="C457" s="4" t="s">
        <v>15</v>
      </c>
      <c r="D457" s="4" t="s">
        <v>16</v>
      </c>
      <c r="E457" s="4" t="s">
        <v>17</v>
      </c>
      <c r="F457" s="5" t="n">
        <v>7.64</v>
      </c>
      <c r="G457" s="6" t="n">
        <v>0</v>
      </c>
      <c r="H457" s="6" t="n">
        <v>0</v>
      </c>
      <c r="I457" s="6" t="n">
        <v>0</v>
      </c>
      <c r="J457" s="4" t="s">
        <v>18</v>
      </c>
      <c r="K457" s="4" t="s">
        <v>19</v>
      </c>
      <c r="L457" s="4" t="s">
        <v>20</v>
      </c>
    </row>
    <row r="458" customFormat="false" ht="22.35" hidden="false" customHeight="false" outlineLevel="0" collapsed="false">
      <c r="A458" s="7" t="s">
        <v>479</v>
      </c>
      <c r="B458" s="7" t="s">
        <v>14</v>
      </c>
      <c r="C458" s="7" t="s">
        <v>15</v>
      </c>
      <c r="D458" s="7" t="s">
        <v>16</v>
      </c>
      <c r="E458" s="7" t="s">
        <v>17</v>
      </c>
      <c r="F458" s="8" t="n">
        <v>13.75</v>
      </c>
      <c r="G458" s="9" t="n">
        <v>0</v>
      </c>
      <c r="H458" s="9" t="n">
        <v>0</v>
      </c>
      <c r="I458" s="9" t="n">
        <v>0</v>
      </c>
      <c r="J458" s="7" t="s">
        <v>18</v>
      </c>
      <c r="K458" s="7" t="s">
        <v>19</v>
      </c>
      <c r="L458" s="7" t="s">
        <v>20</v>
      </c>
    </row>
    <row r="459" customFormat="false" ht="22.35" hidden="false" customHeight="false" outlineLevel="0" collapsed="false">
      <c r="A459" s="4" t="s">
        <v>480</v>
      </c>
      <c r="B459" s="4" t="s">
        <v>14</v>
      </c>
      <c r="C459" s="4" t="s">
        <v>15</v>
      </c>
      <c r="D459" s="4" t="s">
        <v>16</v>
      </c>
      <c r="E459" s="4" t="s">
        <v>17</v>
      </c>
      <c r="F459" s="5" t="n">
        <v>15.41</v>
      </c>
      <c r="G459" s="6" t="n">
        <v>0</v>
      </c>
      <c r="H459" s="6" t="n">
        <v>0</v>
      </c>
      <c r="I459" s="6" t="n">
        <v>0</v>
      </c>
      <c r="J459" s="4" t="s">
        <v>18</v>
      </c>
      <c r="K459" s="4" t="s">
        <v>19</v>
      </c>
      <c r="L459" s="4" t="s">
        <v>20</v>
      </c>
    </row>
    <row r="460" customFormat="false" ht="22.35" hidden="false" customHeight="false" outlineLevel="0" collapsed="false">
      <c r="A460" s="7" t="s">
        <v>481</v>
      </c>
      <c r="B460" s="7" t="s">
        <v>14</v>
      </c>
      <c r="C460" s="7" t="s">
        <v>15</v>
      </c>
      <c r="D460" s="7" t="s">
        <v>16</v>
      </c>
      <c r="E460" s="7" t="s">
        <v>17</v>
      </c>
      <c r="F460" s="8" t="n">
        <v>2.83</v>
      </c>
      <c r="G460" s="9" t="n">
        <v>0</v>
      </c>
      <c r="H460" s="9" t="n">
        <v>0</v>
      </c>
      <c r="I460" s="9" t="n">
        <v>0</v>
      </c>
      <c r="J460" s="7" t="s">
        <v>18</v>
      </c>
      <c r="K460" s="7" t="s">
        <v>19</v>
      </c>
      <c r="L460" s="7" t="s">
        <v>20</v>
      </c>
    </row>
    <row r="461" customFormat="false" ht="22.35" hidden="false" customHeight="false" outlineLevel="0" collapsed="false">
      <c r="A461" s="4" t="s">
        <v>482</v>
      </c>
      <c r="B461" s="4" t="s">
        <v>14</v>
      </c>
      <c r="C461" s="4" t="s">
        <v>15</v>
      </c>
      <c r="D461" s="4" t="s">
        <v>16</v>
      </c>
      <c r="E461" s="4" t="s">
        <v>44</v>
      </c>
      <c r="F461" s="5" t="n">
        <v>1.77</v>
      </c>
      <c r="G461" s="6" t="n">
        <v>0</v>
      </c>
      <c r="H461" s="6" t="n">
        <v>0</v>
      </c>
      <c r="I461" s="6" t="n">
        <v>0</v>
      </c>
      <c r="J461" s="4" t="s">
        <v>18</v>
      </c>
      <c r="K461" s="4" t="s">
        <v>19</v>
      </c>
      <c r="L461" s="4" t="s">
        <v>20</v>
      </c>
    </row>
    <row r="462" customFormat="false" ht="22.35" hidden="false" customHeight="false" outlineLevel="0" collapsed="false">
      <c r="A462" s="7" t="s">
        <v>483</v>
      </c>
      <c r="B462" s="7" t="s">
        <v>14</v>
      </c>
      <c r="C462" s="7" t="s">
        <v>15</v>
      </c>
      <c r="D462" s="7" t="s">
        <v>16</v>
      </c>
      <c r="E462" s="7" t="s">
        <v>17</v>
      </c>
      <c r="F462" s="8" t="n">
        <v>9.34</v>
      </c>
      <c r="G462" s="9" t="n">
        <v>0</v>
      </c>
      <c r="H462" s="9" t="n">
        <v>0</v>
      </c>
      <c r="I462" s="9" t="n">
        <v>0</v>
      </c>
      <c r="J462" s="7" t="s">
        <v>18</v>
      </c>
      <c r="K462" s="7" t="s">
        <v>19</v>
      </c>
      <c r="L462" s="7" t="s">
        <v>20</v>
      </c>
    </row>
    <row r="463" customFormat="false" ht="22.35" hidden="false" customHeight="false" outlineLevel="0" collapsed="false">
      <c r="A463" s="4" t="s">
        <v>484</v>
      </c>
      <c r="B463" s="4" t="s">
        <v>14</v>
      </c>
      <c r="C463" s="4" t="s">
        <v>15</v>
      </c>
      <c r="D463" s="4" t="s">
        <v>16</v>
      </c>
      <c r="E463" s="4" t="s">
        <v>17</v>
      </c>
      <c r="F463" s="5" t="n">
        <v>4.14</v>
      </c>
      <c r="G463" s="6" t="n">
        <v>0</v>
      </c>
      <c r="H463" s="6" t="n">
        <v>0</v>
      </c>
      <c r="I463" s="6" t="n">
        <v>0</v>
      </c>
      <c r="J463" s="4" t="s">
        <v>18</v>
      </c>
      <c r="K463" s="4" t="s">
        <v>19</v>
      </c>
      <c r="L463" s="4" t="s">
        <v>20</v>
      </c>
    </row>
    <row r="464" customFormat="false" ht="22.35" hidden="false" customHeight="false" outlineLevel="0" collapsed="false">
      <c r="A464" s="7" t="s">
        <v>485</v>
      </c>
      <c r="B464" s="7" t="s">
        <v>14</v>
      </c>
      <c r="C464" s="7" t="s">
        <v>15</v>
      </c>
      <c r="D464" s="7" t="s">
        <v>16</v>
      </c>
      <c r="E464" s="7" t="s">
        <v>17</v>
      </c>
      <c r="F464" s="8" t="n">
        <v>0.65</v>
      </c>
      <c r="G464" s="9" t="n">
        <v>0</v>
      </c>
      <c r="H464" s="9" t="n">
        <v>0</v>
      </c>
      <c r="I464" s="9" t="n">
        <v>0</v>
      </c>
      <c r="J464" s="7" t="s">
        <v>18</v>
      </c>
      <c r="K464" s="7" t="s">
        <v>19</v>
      </c>
      <c r="L464" s="7" t="s">
        <v>20</v>
      </c>
    </row>
    <row r="465" customFormat="false" ht="22.35" hidden="false" customHeight="false" outlineLevel="0" collapsed="false">
      <c r="A465" s="4" t="s">
        <v>486</v>
      </c>
      <c r="B465" s="4" t="s">
        <v>14</v>
      </c>
      <c r="C465" s="4" t="s">
        <v>15</v>
      </c>
      <c r="D465" s="4" t="s">
        <v>16</v>
      </c>
      <c r="E465" s="4" t="s">
        <v>17</v>
      </c>
      <c r="F465" s="5" t="n">
        <v>0.31</v>
      </c>
      <c r="G465" s="6" t="n">
        <v>0</v>
      </c>
      <c r="H465" s="6" t="n">
        <v>0</v>
      </c>
      <c r="I465" s="6" t="n">
        <v>0</v>
      </c>
      <c r="J465" s="4" t="s">
        <v>18</v>
      </c>
      <c r="K465" s="4" t="s">
        <v>19</v>
      </c>
      <c r="L465" s="4" t="s">
        <v>20</v>
      </c>
    </row>
    <row r="466" customFormat="false" ht="22.35" hidden="false" customHeight="false" outlineLevel="0" collapsed="false">
      <c r="A466" s="7" t="s">
        <v>487</v>
      </c>
      <c r="B466" s="7" t="s">
        <v>14</v>
      </c>
      <c r="C466" s="7" t="s">
        <v>15</v>
      </c>
      <c r="D466" s="7" t="s">
        <v>16</v>
      </c>
      <c r="E466" s="7" t="s">
        <v>488</v>
      </c>
      <c r="F466" s="8" t="n">
        <v>84.27</v>
      </c>
      <c r="G466" s="9" t="n">
        <v>0</v>
      </c>
      <c r="H466" s="9" t="n">
        <v>0</v>
      </c>
      <c r="I466" s="9" t="n">
        <v>0</v>
      </c>
      <c r="J466" s="7" t="s">
        <v>18</v>
      </c>
      <c r="K466" s="7" t="s">
        <v>19</v>
      </c>
      <c r="L466" s="7" t="s">
        <v>20</v>
      </c>
    </row>
    <row r="467" customFormat="false" ht="22.35" hidden="false" customHeight="false" outlineLevel="0" collapsed="false">
      <c r="A467" s="4" t="s">
        <v>489</v>
      </c>
      <c r="B467" s="4" t="s">
        <v>14</v>
      </c>
      <c r="C467" s="4" t="s">
        <v>15</v>
      </c>
      <c r="D467" s="4" t="s">
        <v>16</v>
      </c>
      <c r="E467" s="4" t="s">
        <v>17</v>
      </c>
      <c r="F467" s="5" t="n">
        <v>10</v>
      </c>
      <c r="G467" s="6" t="n">
        <v>0</v>
      </c>
      <c r="H467" s="6" t="n">
        <v>0</v>
      </c>
      <c r="I467" s="6" t="n">
        <v>0</v>
      </c>
      <c r="J467" s="4" t="s">
        <v>18</v>
      </c>
      <c r="K467" s="4" t="s">
        <v>19</v>
      </c>
      <c r="L467" s="4" t="s">
        <v>20</v>
      </c>
    </row>
    <row r="468" customFormat="false" ht="22.35" hidden="false" customHeight="false" outlineLevel="0" collapsed="false">
      <c r="A468" s="7" t="s">
        <v>490</v>
      </c>
      <c r="B468" s="7" t="s">
        <v>14</v>
      </c>
      <c r="C468" s="7" t="s">
        <v>15</v>
      </c>
      <c r="D468" s="7" t="s">
        <v>16</v>
      </c>
      <c r="E468" s="7" t="s">
        <v>17</v>
      </c>
      <c r="F468" s="8" t="n">
        <v>6.43</v>
      </c>
      <c r="G468" s="9" t="n">
        <v>0</v>
      </c>
      <c r="H468" s="9" t="n">
        <v>0</v>
      </c>
      <c r="I468" s="9" t="n">
        <v>0</v>
      </c>
      <c r="J468" s="7" t="s">
        <v>18</v>
      </c>
      <c r="K468" s="7" t="s">
        <v>19</v>
      </c>
      <c r="L468" s="7" t="s">
        <v>20</v>
      </c>
    </row>
    <row r="469" customFormat="false" ht="22.35" hidden="false" customHeight="false" outlineLevel="0" collapsed="false">
      <c r="A469" s="4" t="s">
        <v>491</v>
      </c>
      <c r="B469" s="4" t="s">
        <v>14</v>
      </c>
      <c r="C469" s="4" t="s">
        <v>15</v>
      </c>
      <c r="D469" s="4" t="s">
        <v>16</v>
      </c>
      <c r="E469" s="4" t="s">
        <v>17</v>
      </c>
      <c r="F469" s="5" t="n">
        <v>12.12</v>
      </c>
      <c r="G469" s="6" t="n">
        <v>0</v>
      </c>
      <c r="H469" s="6" t="n">
        <v>0</v>
      </c>
      <c r="I469" s="6" t="n">
        <v>0</v>
      </c>
      <c r="J469" s="4" t="s">
        <v>18</v>
      </c>
      <c r="K469" s="4" t="s">
        <v>19</v>
      </c>
      <c r="L469" s="4" t="s">
        <v>20</v>
      </c>
    </row>
    <row r="470" customFormat="false" ht="22.35" hidden="false" customHeight="false" outlineLevel="0" collapsed="false">
      <c r="A470" s="7" t="s">
        <v>492</v>
      </c>
      <c r="B470" s="7" t="s">
        <v>14</v>
      </c>
      <c r="C470" s="7" t="s">
        <v>15</v>
      </c>
      <c r="D470" s="7" t="s">
        <v>16</v>
      </c>
      <c r="E470" s="7" t="s">
        <v>17</v>
      </c>
      <c r="F470" s="8" t="n">
        <v>3.66</v>
      </c>
      <c r="G470" s="9" t="n">
        <v>0</v>
      </c>
      <c r="H470" s="9" t="n">
        <v>0</v>
      </c>
      <c r="I470" s="9" t="n">
        <v>0</v>
      </c>
      <c r="J470" s="7" t="s">
        <v>18</v>
      </c>
      <c r="K470" s="7" t="s">
        <v>19</v>
      </c>
      <c r="L470" s="7" t="s">
        <v>20</v>
      </c>
    </row>
    <row r="471" customFormat="false" ht="22.35" hidden="false" customHeight="false" outlineLevel="0" collapsed="false">
      <c r="A471" s="4" t="s">
        <v>493</v>
      </c>
      <c r="B471" s="4" t="s">
        <v>14</v>
      </c>
      <c r="C471" s="4" t="s">
        <v>15</v>
      </c>
      <c r="D471" s="4" t="s">
        <v>16</v>
      </c>
      <c r="E471" s="4" t="s">
        <v>17</v>
      </c>
      <c r="F471" s="5" t="n">
        <v>11.5</v>
      </c>
      <c r="G471" s="6" t="n">
        <v>0</v>
      </c>
      <c r="H471" s="6" t="n">
        <v>0</v>
      </c>
      <c r="I471" s="6" t="n">
        <v>0</v>
      </c>
      <c r="J471" s="4" t="s">
        <v>18</v>
      </c>
      <c r="K471" s="4" t="s">
        <v>19</v>
      </c>
      <c r="L471" s="4" t="s">
        <v>20</v>
      </c>
    </row>
    <row r="472" customFormat="false" ht="22.35" hidden="false" customHeight="false" outlineLevel="0" collapsed="false">
      <c r="A472" s="7" t="s">
        <v>494</v>
      </c>
      <c r="B472" s="7" t="s">
        <v>14</v>
      </c>
      <c r="C472" s="7" t="s">
        <v>15</v>
      </c>
      <c r="D472" s="7" t="s">
        <v>16</v>
      </c>
      <c r="E472" s="7" t="s">
        <v>17</v>
      </c>
      <c r="F472" s="8" t="n">
        <v>1.68</v>
      </c>
      <c r="G472" s="9" t="n">
        <v>0</v>
      </c>
      <c r="H472" s="9" t="n">
        <v>0</v>
      </c>
      <c r="I472" s="9" t="n">
        <v>0</v>
      </c>
      <c r="J472" s="7" t="s">
        <v>18</v>
      </c>
      <c r="K472" s="7" t="s">
        <v>19</v>
      </c>
      <c r="L472" s="7" t="s">
        <v>20</v>
      </c>
    </row>
    <row r="473" customFormat="false" ht="22.35" hidden="false" customHeight="false" outlineLevel="0" collapsed="false">
      <c r="A473" s="4" t="s">
        <v>495</v>
      </c>
      <c r="B473" s="4" t="s">
        <v>14</v>
      </c>
      <c r="C473" s="4" t="s">
        <v>15</v>
      </c>
      <c r="D473" s="4" t="s">
        <v>16</v>
      </c>
      <c r="E473" s="4" t="s">
        <v>17</v>
      </c>
      <c r="F473" s="5" t="n">
        <v>1.41</v>
      </c>
      <c r="G473" s="6" t="n">
        <v>0</v>
      </c>
      <c r="H473" s="6" t="n">
        <v>0</v>
      </c>
      <c r="I473" s="6" t="n">
        <v>0</v>
      </c>
      <c r="J473" s="4" t="s">
        <v>18</v>
      </c>
      <c r="K473" s="4" t="s">
        <v>19</v>
      </c>
      <c r="L473" s="4" t="s">
        <v>20</v>
      </c>
    </row>
    <row r="474" customFormat="false" ht="22.35" hidden="false" customHeight="false" outlineLevel="0" collapsed="false">
      <c r="A474" s="7" t="s">
        <v>496</v>
      </c>
      <c r="B474" s="7" t="s">
        <v>14</v>
      </c>
      <c r="C474" s="7" t="s">
        <v>15</v>
      </c>
      <c r="D474" s="7" t="s">
        <v>16</v>
      </c>
      <c r="E474" s="7" t="s">
        <v>17</v>
      </c>
      <c r="F474" s="8" t="n">
        <v>5.19</v>
      </c>
      <c r="G474" s="9" t="n">
        <v>0</v>
      </c>
      <c r="H474" s="9" t="n">
        <v>0</v>
      </c>
      <c r="I474" s="9" t="n">
        <v>0</v>
      </c>
      <c r="J474" s="7" t="s">
        <v>18</v>
      </c>
      <c r="K474" s="7" t="s">
        <v>19</v>
      </c>
      <c r="L474" s="7" t="s">
        <v>20</v>
      </c>
    </row>
    <row r="475" customFormat="false" ht="22.35" hidden="false" customHeight="false" outlineLevel="0" collapsed="false">
      <c r="A475" s="4" t="s">
        <v>497</v>
      </c>
      <c r="B475" s="4" t="s">
        <v>14</v>
      </c>
      <c r="C475" s="4" t="s">
        <v>15</v>
      </c>
      <c r="D475" s="4" t="s">
        <v>16</v>
      </c>
      <c r="E475" s="4" t="s">
        <v>17</v>
      </c>
      <c r="F475" s="5" t="n">
        <v>6.25</v>
      </c>
      <c r="G475" s="6" t="n">
        <v>0</v>
      </c>
      <c r="H475" s="6" t="n">
        <v>0</v>
      </c>
      <c r="I475" s="6" t="n">
        <v>0</v>
      </c>
      <c r="J475" s="4" t="s">
        <v>18</v>
      </c>
      <c r="K475" s="4" t="s">
        <v>19</v>
      </c>
      <c r="L475" s="4" t="s">
        <v>20</v>
      </c>
    </row>
    <row r="476" customFormat="false" ht="22.35" hidden="false" customHeight="false" outlineLevel="0" collapsed="false">
      <c r="A476" s="7" t="s">
        <v>498</v>
      </c>
      <c r="B476" s="7" t="s">
        <v>14</v>
      </c>
      <c r="C476" s="7" t="s">
        <v>15</v>
      </c>
      <c r="D476" s="7" t="s">
        <v>16</v>
      </c>
      <c r="E476" s="7" t="s">
        <v>17</v>
      </c>
      <c r="F476" s="8" t="n">
        <v>7.16</v>
      </c>
      <c r="G476" s="9" t="n">
        <v>0</v>
      </c>
      <c r="H476" s="9" t="n">
        <v>0</v>
      </c>
      <c r="I476" s="9" t="n">
        <v>0</v>
      </c>
      <c r="J476" s="7" t="s">
        <v>18</v>
      </c>
      <c r="K476" s="7" t="s">
        <v>19</v>
      </c>
      <c r="L476" s="7" t="s">
        <v>20</v>
      </c>
    </row>
    <row r="477" customFormat="false" ht="22.35" hidden="false" customHeight="false" outlineLevel="0" collapsed="false">
      <c r="A477" s="4" t="s">
        <v>499</v>
      </c>
      <c r="B477" s="4" t="s">
        <v>14</v>
      </c>
      <c r="C477" s="4" t="s">
        <v>15</v>
      </c>
      <c r="D477" s="4" t="s">
        <v>16</v>
      </c>
      <c r="E477" s="4" t="s">
        <v>17</v>
      </c>
      <c r="F477" s="5" t="n">
        <v>11.25</v>
      </c>
      <c r="G477" s="6" t="n">
        <v>0</v>
      </c>
      <c r="H477" s="6" t="n">
        <v>0</v>
      </c>
      <c r="I477" s="6" t="n">
        <v>0</v>
      </c>
      <c r="J477" s="4" t="s">
        <v>18</v>
      </c>
      <c r="K477" s="4" t="s">
        <v>19</v>
      </c>
      <c r="L477" s="4" t="s">
        <v>20</v>
      </c>
    </row>
    <row r="478" customFormat="false" ht="22.35" hidden="false" customHeight="false" outlineLevel="0" collapsed="false">
      <c r="A478" s="7" t="s">
        <v>500</v>
      </c>
      <c r="B478" s="7" t="s">
        <v>14</v>
      </c>
      <c r="C478" s="7" t="s">
        <v>15</v>
      </c>
      <c r="D478" s="7" t="s">
        <v>16</v>
      </c>
      <c r="E478" s="7" t="s">
        <v>17</v>
      </c>
      <c r="F478" s="8" t="n">
        <v>2.58</v>
      </c>
      <c r="G478" s="9" t="n">
        <v>0</v>
      </c>
      <c r="H478" s="9" t="n">
        <v>0</v>
      </c>
      <c r="I478" s="9" t="n">
        <v>0</v>
      </c>
      <c r="J478" s="7" t="s">
        <v>18</v>
      </c>
      <c r="K478" s="7" t="s">
        <v>19</v>
      </c>
      <c r="L478" s="7" t="s">
        <v>20</v>
      </c>
    </row>
    <row r="479" customFormat="false" ht="22.35" hidden="false" customHeight="false" outlineLevel="0" collapsed="false">
      <c r="A479" s="4" t="s">
        <v>501</v>
      </c>
      <c r="B479" s="4" t="s">
        <v>14</v>
      </c>
      <c r="C479" s="4" t="s">
        <v>15</v>
      </c>
      <c r="D479" s="4" t="s">
        <v>16</v>
      </c>
      <c r="E479" s="4" t="s">
        <v>17</v>
      </c>
      <c r="F479" s="5" t="n">
        <v>7.09</v>
      </c>
      <c r="G479" s="6" t="n">
        <v>0</v>
      </c>
      <c r="H479" s="6" t="n">
        <v>0</v>
      </c>
      <c r="I479" s="6" t="n">
        <v>0</v>
      </c>
      <c r="J479" s="4" t="s">
        <v>18</v>
      </c>
      <c r="K479" s="4" t="s">
        <v>19</v>
      </c>
      <c r="L479" s="4" t="s">
        <v>20</v>
      </c>
    </row>
    <row r="480" customFormat="false" ht="22.35" hidden="false" customHeight="false" outlineLevel="0" collapsed="false">
      <c r="A480" s="7" t="s">
        <v>502</v>
      </c>
      <c r="B480" s="7" t="s">
        <v>14</v>
      </c>
      <c r="C480" s="7" t="s">
        <v>15</v>
      </c>
      <c r="D480" s="7" t="s">
        <v>16</v>
      </c>
      <c r="E480" s="7" t="s">
        <v>17</v>
      </c>
      <c r="F480" s="8" t="n">
        <v>4.78</v>
      </c>
      <c r="G480" s="9" t="n">
        <v>0</v>
      </c>
      <c r="H480" s="9" t="n">
        <v>0</v>
      </c>
      <c r="I480" s="9" t="n">
        <v>0</v>
      </c>
      <c r="J480" s="7" t="s">
        <v>18</v>
      </c>
      <c r="K480" s="7" t="s">
        <v>19</v>
      </c>
      <c r="L480" s="7" t="s">
        <v>20</v>
      </c>
    </row>
    <row r="481" customFormat="false" ht="22.35" hidden="false" customHeight="false" outlineLevel="0" collapsed="false">
      <c r="A481" s="4" t="s">
        <v>503</v>
      </c>
      <c r="B481" s="4" t="s">
        <v>14</v>
      </c>
      <c r="C481" s="4" t="s">
        <v>15</v>
      </c>
      <c r="D481" s="4" t="s">
        <v>16</v>
      </c>
      <c r="E481" s="4" t="s">
        <v>17</v>
      </c>
      <c r="F481" s="5" t="n">
        <v>18.3</v>
      </c>
      <c r="G481" s="6" t="n">
        <v>0</v>
      </c>
      <c r="H481" s="6" t="n">
        <v>0</v>
      </c>
      <c r="I481" s="6" t="n">
        <v>0</v>
      </c>
      <c r="J481" s="4" t="s">
        <v>18</v>
      </c>
      <c r="K481" s="4" t="s">
        <v>19</v>
      </c>
      <c r="L481" s="4" t="s">
        <v>20</v>
      </c>
    </row>
    <row r="482" customFormat="false" ht="22.35" hidden="false" customHeight="false" outlineLevel="0" collapsed="false">
      <c r="A482" s="7" t="s">
        <v>504</v>
      </c>
      <c r="B482" s="7" t="s">
        <v>14</v>
      </c>
      <c r="C482" s="7" t="s">
        <v>15</v>
      </c>
      <c r="D482" s="7" t="s">
        <v>16</v>
      </c>
      <c r="E482" s="7" t="s">
        <v>17</v>
      </c>
      <c r="F482" s="8" t="n">
        <v>2.74</v>
      </c>
      <c r="G482" s="9" t="n">
        <v>0</v>
      </c>
      <c r="H482" s="9" t="n">
        <v>0</v>
      </c>
      <c r="I482" s="9" t="n">
        <v>0</v>
      </c>
      <c r="J482" s="7" t="s">
        <v>18</v>
      </c>
      <c r="K482" s="7" t="s">
        <v>19</v>
      </c>
      <c r="L482" s="7" t="s">
        <v>20</v>
      </c>
    </row>
    <row r="483" customFormat="false" ht="22.35" hidden="false" customHeight="false" outlineLevel="0" collapsed="false">
      <c r="A483" s="4" t="s">
        <v>505</v>
      </c>
      <c r="B483" s="4" t="s">
        <v>14</v>
      </c>
      <c r="C483" s="4" t="s">
        <v>15</v>
      </c>
      <c r="D483" s="4" t="s">
        <v>16</v>
      </c>
      <c r="E483" s="4" t="s">
        <v>17</v>
      </c>
      <c r="F483" s="5" t="n">
        <v>3.44</v>
      </c>
      <c r="G483" s="6" t="n">
        <v>0</v>
      </c>
      <c r="H483" s="6" t="n">
        <v>0</v>
      </c>
      <c r="I483" s="6" t="n">
        <v>0</v>
      </c>
      <c r="J483" s="4" t="s">
        <v>18</v>
      </c>
      <c r="K483" s="4" t="s">
        <v>19</v>
      </c>
      <c r="L483" s="4" t="s">
        <v>20</v>
      </c>
    </row>
    <row r="484" customFormat="false" ht="22.35" hidden="false" customHeight="false" outlineLevel="0" collapsed="false">
      <c r="A484" s="7" t="s">
        <v>506</v>
      </c>
      <c r="B484" s="7" t="s">
        <v>14</v>
      </c>
      <c r="C484" s="7" t="s">
        <v>15</v>
      </c>
      <c r="D484" s="7" t="s">
        <v>16</v>
      </c>
      <c r="E484" s="7" t="s">
        <v>17</v>
      </c>
      <c r="F484" s="8" t="n">
        <v>1.76</v>
      </c>
      <c r="G484" s="9" t="n">
        <v>0</v>
      </c>
      <c r="H484" s="9" t="n">
        <v>0</v>
      </c>
      <c r="I484" s="9" t="n">
        <v>0</v>
      </c>
      <c r="J484" s="7" t="s">
        <v>18</v>
      </c>
      <c r="K484" s="7" t="s">
        <v>19</v>
      </c>
      <c r="L484" s="7" t="s">
        <v>20</v>
      </c>
    </row>
    <row r="485" customFormat="false" ht="22.35" hidden="false" customHeight="false" outlineLevel="0" collapsed="false">
      <c r="A485" s="4" t="s">
        <v>507</v>
      </c>
      <c r="B485" s="4" t="s">
        <v>14</v>
      </c>
      <c r="C485" s="4" t="s">
        <v>15</v>
      </c>
      <c r="D485" s="4" t="s">
        <v>16</v>
      </c>
      <c r="E485" s="4" t="s">
        <v>17</v>
      </c>
      <c r="F485" s="5" t="n">
        <v>39.9</v>
      </c>
      <c r="G485" s="6" t="n">
        <v>0</v>
      </c>
      <c r="H485" s="6" t="n">
        <v>0</v>
      </c>
      <c r="I485" s="6" t="n">
        <v>0</v>
      </c>
      <c r="J485" s="4" t="s">
        <v>18</v>
      </c>
      <c r="K485" s="4" t="s">
        <v>19</v>
      </c>
      <c r="L485" s="4" t="s">
        <v>20</v>
      </c>
    </row>
    <row r="486" customFormat="false" ht="22.35" hidden="false" customHeight="false" outlineLevel="0" collapsed="false">
      <c r="A486" s="7" t="s">
        <v>508</v>
      </c>
      <c r="B486" s="7" t="s">
        <v>14</v>
      </c>
      <c r="C486" s="7" t="s">
        <v>15</v>
      </c>
      <c r="D486" s="7" t="s">
        <v>16</v>
      </c>
      <c r="E486" s="7" t="s">
        <v>17</v>
      </c>
      <c r="F486" s="8" t="n">
        <v>39</v>
      </c>
      <c r="G486" s="9" t="n">
        <v>0</v>
      </c>
      <c r="H486" s="9" t="n">
        <v>0</v>
      </c>
      <c r="I486" s="9" t="n">
        <v>0</v>
      </c>
      <c r="J486" s="7" t="s">
        <v>18</v>
      </c>
      <c r="K486" s="7" t="s">
        <v>19</v>
      </c>
      <c r="L486" s="7" t="s">
        <v>20</v>
      </c>
    </row>
    <row r="487" customFormat="false" ht="22.35" hidden="false" customHeight="false" outlineLevel="0" collapsed="false">
      <c r="A487" s="4" t="s">
        <v>509</v>
      </c>
      <c r="B487" s="4" t="s">
        <v>14</v>
      </c>
      <c r="C487" s="4" t="s">
        <v>15</v>
      </c>
      <c r="D487" s="4" t="s">
        <v>16</v>
      </c>
      <c r="E487" s="4" t="s">
        <v>17</v>
      </c>
      <c r="F487" s="5" t="n">
        <v>9.2</v>
      </c>
      <c r="G487" s="6" t="n">
        <v>0</v>
      </c>
      <c r="H487" s="6" t="n">
        <v>0</v>
      </c>
      <c r="I487" s="6" t="n">
        <v>0</v>
      </c>
      <c r="J487" s="4" t="s">
        <v>18</v>
      </c>
      <c r="K487" s="4" t="s">
        <v>19</v>
      </c>
      <c r="L487" s="4" t="s">
        <v>20</v>
      </c>
    </row>
    <row r="488" customFormat="false" ht="22.35" hidden="false" customHeight="false" outlineLevel="0" collapsed="false">
      <c r="A488" s="7" t="s">
        <v>510</v>
      </c>
      <c r="B488" s="7" t="s">
        <v>14</v>
      </c>
      <c r="C488" s="7" t="s">
        <v>15</v>
      </c>
      <c r="D488" s="7" t="s">
        <v>16</v>
      </c>
      <c r="E488" s="7" t="s">
        <v>17</v>
      </c>
      <c r="F488" s="8" t="n">
        <v>11.36</v>
      </c>
      <c r="G488" s="9" t="n">
        <v>0</v>
      </c>
      <c r="H488" s="9" t="n">
        <v>0</v>
      </c>
      <c r="I488" s="9" t="n">
        <v>0</v>
      </c>
      <c r="J488" s="7" t="s">
        <v>18</v>
      </c>
      <c r="K488" s="7" t="s">
        <v>19</v>
      </c>
      <c r="L488" s="7" t="s">
        <v>20</v>
      </c>
    </row>
    <row r="489" customFormat="false" ht="22.35" hidden="false" customHeight="false" outlineLevel="0" collapsed="false">
      <c r="A489" s="4" t="s">
        <v>511</v>
      </c>
      <c r="B489" s="4" t="s">
        <v>14</v>
      </c>
      <c r="C489" s="4" t="s">
        <v>15</v>
      </c>
      <c r="D489" s="4" t="s">
        <v>16</v>
      </c>
      <c r="E489" s="4" t="s">
        <v>17</v>
      </c>
      <c r="F489" s="5" t="n">
        <v>13.92</v>
      </c>
      <c r="G489" s="6" t="n">
        <v>0</v>
      </c>
      <c r="H489" s="6" t="n">
        <v>0</v>
      </c>
      <c r="I489" s="6" t="n">
        <v>0</v>
      </c>
      <c r="J489" s="4" t="s">
        <v>18</v>
      </c>
      <c r="K489" s="4" t="s">
        <v>19</v>
      </c>
      <c r="L489" s="4" t="s">
        <v>20</v>
      </c>
    </row>
    <row r="490" customFormat="false" ht="22.35" hidden="false" customHeight="false" outlineLevel="0" collapsed="false">
      <c r="A490" s="7" t="s">
        <v>512</v>
      </c>
      <c r="B490" s="7" t="s">
        <v>14</v>
      </c>
      <c r="C490" s="7" t="s">
        <v>15</v>
      </c>
      <c r="D490" s="7" t="s">
        <v>16</v>
      </c>
      <c r="E490" s="7" t="s">
        <v>17</v>
      </c>
      <c r="F490" s="8" t="n">
        <v>8.62</v>
      </c>
      <c r="G490" s="9" t="n">
        <v>0</v>
      </c>
      <c r="H490" s="9" t="n">
        <v>0</v>
      </c>
      <c r="I490" s="9" t="n">
        <v>0</v>
      </c>
      <c r="J490" s="7" t="s">
        <v>18</v>
      </c>
      <c r="K490" s="7" t="s">
        <v>19</v>
      </c>
      <c r="L490" s="7" t="s">
        <v>20</v>
      </c>
    </row>
    <row r="491" customFormat="false" ht="22.35" hidden="false" customHeight="false" outlineLevel="0" collapsed="false">
      <c r="A491" s="4" t="s">
        <v>513</v>
      </c>
      <c r="B491" s="4" t="s">
        <v>14</v>
      </c>
      <c r="C491" s="4" t="s">
        <v>15</v>
      </c>
      <c r="D491" s="4" t="s">
        <v>16</v>
      </c>
      <c r="E491" s="4" t="s">
        <v>17</v>
      </c>
      <c r="F491" s="5" t="n">
        <v>10.28</v>
      </c>
      <c r="G491" s="6" t="n">
        <v>0</v>
      </c>
      <c r="H491" s="6" t="n">
        <v>0</v>
      </c>
      <c r="I491" s="6" t="n">
        <v>0</v>
      </c>
      <c r="J491" s="4" t="s">
        <v>18</v>
      </c>
      <c r="K491" s="4" t="s">
        <v>19</v>
      </c>
      <c r="L491" s="4" t="s">
        <v>20</v>
      </c>
    </row>
    <row r="492" customFormat="false" ht="22.35" hidden="false" customHeight="false" outlineLevel="0" collapsed="false">
      <c r="A492" s="7" t="s">
        <v>514</v>
      </c>
      <c r="B492" s="7" t="s">
        <v>14</v>
      </c>
      <c r="C492" s="7" t="s">
        <v>15</v>
      </c>
      <c r="D492" s="7" t="s">
        <v>16</v>
      </c>
      <c r="E492" s="7" t="s">
        <v>44</v>
      </c>
      <c r="F492" s="8" t="n">
        <v>3.85</v>
      </c>
      <c r="G492" s="9" t="n">
        <v>0</v>
      </c>
      <c r="H492" s="9" t="n">
        <v>0</v>
      </c>
      <c r="I492" s="9" t="n">
        <v>0</v>
      </c>
      <c r="J492" s="7" t="s">
        <v>18</v>
      </c>
      <c r="K492" s="7" t="s">
        <v>19</v>
      </c>
      <c r="L492" s="7" t="s">
        <v>20</v>
      </c>
    </row>
    <row r="493" customFormat="false" ht="22.35" hidden="false" customHeight="false" outlineLevel="0" collapsed="false">
      <c r="A493" s="4" t="s">
        <v>515</v>
      </c>
      <c r="B493" s="4" t="s">
        <v>14</v>
      </c>
      <c r="C493" s="4" t="s">
        <v>15</v>
      </c>
      <c r="D493" s="4" t="s">
        <v>16</v>
      </c>
      <c r="E493" s="4" t="s">
        <v>17</v>
      </c>
      <c r="F493" s="5" t="n">
        <v>42.73</v>
      </c>
      <c r="G493" s="6" t="n">
        <v>0</v>
      </c>
      <c r="H493" s="6" t="n">
        <v>0</v>
      </c>
      <c r="I493" s="6" t="n">
        <v>0</v>
      </c>
      <c r="J493" s="4" t="s">
        <v>18</v>
      </c>
      <c r="K493" s="4" t="s">
        <v>19</v>
      </c>
      <c r="L493" s="4" t="s">
        <v>20</v>
      </c>
    </row>
    <row r="494" customFormat="false" ht="22.35" hidden="false" customHeight="false" outlineLevel="0" collapsed="false">
      <c r="A494" s="7" t="s">
        <v>516</v>
      </c>
      <c r="B494" s="7" t="s">
        <v>14</v>
      </c>
      <c r="C494" s="7" t="s">
        <v>15</v>
      </c>
      <c r="D494" s="7" t="s">
        <v>16</v>
      </c>
      <c r="E494" s="7" t="s">
        <v>17</v>
      </c>
      <c r="F494" s="8" t="n">
        <v>5.745</v>
      </c>
      <c r="G494" s="9" t="n">
        <v>0</v>
      </c>
      <c r="H494" s="9" t="n">
        <v>0</v>
      </c>
      <c r="I494" s="9" t="n">
        <v>0</v>
      </c>
      <c r="J494" s="7" t="s">
        <v>18</v>
      </c>
      <c r="K494" s="7" t="s">
        <v>19</v>
      </c>
      <c r="L494" s="7" t="s">
        <v>20</v>
      </c>
    </row>
    <row r="495" customFormat="false" ht="22.35" hidden="false" customHeight="false" outlineLevel="0" collapsed="false">
      <c r="A495" s="4" t="s">
        <v>517</v>
      </c>
      <c r="B495" s="4" t="s">
        <v>14</v>
      </c>
      <c r="C495" s="4" t="s">
        <v>15</v>
      </c>
      <c r="D495" s="4" t="s">
        <v>16</v>
      </c>
      <c r="E495" s="4" t="s">
        <v>17</v>
      </c>
      <c r="F495" s="5" t="n">
        <v>16.79</v>
      </c>
      <c r="G495" s="6" t="n">
        <v>0</v>
      </c>
      <c r="H495" s="6" t="n">
        <v>0</v>
      </c>
      <c r="I495" s="6" t="n">
        <v>0</v>
      </c>
      <c r="J495" s="4" t="s">
        <v>18</v>
      </c>
      <c r="K495" s="4" t="s">
        <v>19</v>
      </c>
      <c r="L495" s="4" t="s">
        <v>20</v>
      </c>
    </row>
    <row r="496" customFormat="false" ht="22.35" hidden="false" customHeight="false" outlineLevel="0" collapsed="false">
      <c r="A496" s="7" t="s">
        <v>518</v>
      </c>
      <c r="B496" s="7" t="s">
        <v>14</v>
      </c>
      <c r="C496" s="7" t="s">
        <v>15</v>
      </c>
      <c r="D496" s="7" t="s">
        <v>16</v>
      </c>
      <c r="E496" s="7" t="s">
        <v>17</v>
      </c>
      <c r="F496" s="8" t="n">
        <v>4.27</v>
      </c>
      <c r="G496" s="9" t="n">
        <v>0</v>
      </c>
      <c r="H496" s="9" t="n">
        <v>0</v>
      </c>
      <c r="I496" s="9" t="n">
        <v>0</v>
      </c>
      <c r="J496" s="7" t="s">
        <v>18</v>
      </c>
      <c r="K496" s="7" t="s">
        <v>19</v>
      </c>
      <c r="L496" s="7" t="s">
        <v>20</v>
      </c>
    </row>
    <row r="497" customFormat="false" ht="22.35" hidden="false" customHeight="false" outlineLevel="0" collapsed="false">
      <c r="A497" s="4" t="s">
        <v>519</v>
      </c>
      <c r="B497" s="4" t="s">
        <v>14</v>
      </c>
      <c r="C497" s="4" t="s">
        <v>15</v>
      </c>
      <c r="D497" s="4" t="s">
        <v>16</v>
      </c>
      <c r="E497" s="4" t="s">
        <v>17</v>
      </c>
      <c r="F497" s="5" t="n">
        <v>3</v>
      </c>
      <c r="G497" s="6" t="n">
        <v>0</v>
      </c>
      <c r="H497" s="6" t="n">
        <v>0</v>
      </c>
      <c r="I497" s="6" t="n">
        <v>0</v>
      </c>
      <c r="J497" s="4" t="s">
        <v>18</v>
      </c>
      <c r="K497" s="4" t="s">
        <v>19</v>
      </c>
      <c r="L497" s="4" t="s">
        <v>20</v>
      </c>
    </row>
    <row r="498" customFormat="false" ht="22.35" hidden="false" customHeight="false" outlineLevel="0" collapsed="false">
      <c r="A498" s="7" t="s">
        <v>520</v>
      </c>
      <c r="B498" s="7" t="s">
        <v>14</v>
      </c>
      <c r="C498" s="7" t="s">
        <v>15</v>
      </c>
      <c r="D498" s="7" t="s">
        <v>16</v>
      </c>
      <c r="E498" s="7" t="s">
        <v>17</v>
      </c>
      <c r="F498" s="8" t="n">
        <v>6.55</v>
      </c>
      <c r="G498" s="9" t="n">
        <v>0</v>
      </c>
      <c r="H498" s="9" t="n">
        <v>0</v>
      </c>
      <c r="I498" s="9" t="n">
        <v>0</v>
      </c>
      <c r="J498" s="7" t="s">
        <v>18</v>
      </c>
      <c r="K498" s="7" t="s">
        <v>19</v>
      </c>
      <c r="L498" s="7" t="s">
        <v>20</v>
      </c>
    </row>
    <row r="499" customFormat="false" ht="22.35" hidden="false" customHeight="false" outlineLevel="0" collapsed="false">
      <c r="A499" s="4" t="s">
        <v>521</v>
      </c>
      <c r="B499" s="4" t="s">
        <v>14</v>
      </c>
      <c r="C499" s="4" t="s">
        <v>15</v>
      </c>
      <c r="D499" s="4" t="s">
        <v>16</v>
      </c>
      <c r="E499" s="4" t="s">
        <v>17</v>
      </c>
      <c r="F499" s="5" t="n">
        <v>24.86</v>
      </c>
      <c r="G499" s="6" t="n">
        <v>0</v>
      </c>
      <c r="H499" s="6" t="n">
        <v>0</v>
      </c>
      <c r="I499" s="6" t="n">
        <v>0</v>
      </c>
      <c r="J499" s="4" t="s">
        <v>18</v>
      </c>
      <c r="K499" s="4" t="s">
        <v>19</v>
      </c>
      <c r="L499" s="4" t="s">
        <v>20</v>
      </c>
    </row>
    <row r="500" customFormat="false" ht="22.35" hidden="false" customHeight="false" outlineLevel="0" collapsed="false">
      <c r="A500" s="7" t="s">
        <v>522</v>
      </c>
      <c r="B500" s="7" t="s">
        <v>14</v>
      </c>
      <c r="C500" s="7" t="s">
        <v>15</v>
      </c>
      <c r="D500" s="7" t="s">
        <v>16</v>
      </c>
      <c r="E500" s="7" t="s">
        <v>17</v>
      </c>
      <c r="F500" s="8" t="n">
        <v>2.97</v>
      </c>
      <c r="G500" s="9" t="n">
        <v>0</v>
      </c>
      <c r="H500" s="9" t="n">
        <v>0</v>
      </c>
      <c r="I500" s="9" t="n">
        <v>0</v>
      </c>
      <c r="J500" s="7" t="s">
        <v>18</v>
      </c>
      <c r="K500" s="7" t="s">
        <v>19</v>
      </c>
      <c r="L500" s="7" t="s">
        <v>20</v>
      </c>
    </row>
    <row r="501" customFormat="false" ht="22.35" hidden="false" customHeight="false" outlineLevel="0" collapsed="false">
      <c r="A501" s="4" t="s">
        <v>523</v>
      </c>
      <c r="B501" s="4" t="s">
        <v>14</v>
      </c>
      <c r="C501" s="4" t="s">
        <v>15</v>
      </c>
      <c r="D501" s="4" t="s">
        <v>16</v>
      </c>
      <c r="E501" s="4" t="s">
        <v>17</v>
      </c>
      <c r="F501" s="5" t="n">
        <v>4.77</v>
      </c>
      <c r="G501" s="6" t="n">
        <v>0</v>
      </c>
      <c r="H501" s="6" t="n">
        <v>0</v>
      </c>
      <c r="I501" s="6" t="n">
        <v>0</v>
      </c>
      <c r="J501" s="4" t="s">
        <v>18</v>
      </c>
      <c r="K501" s="4" t="s">
        <v>19</v>
      </c>
      <c r="L501" s="4" t="s">
        <v>20</v>
      </c>
    </row>
    <row r="502" customFormat="false" ht="22.35" hidden="false" customHeight="false" outlineLevel="0" collapsed="false">
      <c r="A502" s="7" t="s">
        <v>524</v>
      </c>
      <c r="B502" s="7" t="s">
        <v>14</v>
      </c>
      <c r="C502" s="7" t="s">
        <v>15</v>
      </c>
      <c r="D502" s="7" t="s">
        <v>16</v>
      </c>
      <c r="E502" s="7" t="s">
        <v>17</v>
      </c>
      <c r="F502" s="8" t="n">
        <v>7.58</v>
      </c>
      <c r="G502" s="9" t="n">
        <v>0</v>
      </c>
      <c r="H502" s="9" t="n">
        <v>0</v>
      </c>
      <c r="I502" s="9" t="n">
        <v>0</v>
      </c>
      <c r="J502" s="7" t="s">
        <v>18</v>
      </c>
      <c r="K502" s="7" t="s">
        <v>19</v>
      </c>
      <c r="L502" s="7" t="s">
        <v>20</v>
      </c>
    </row>
    <row r="503" customFormat="false" ht="22.35" hidden="false" customHeight="false" outlineLevel="0" collapsed="false">
      <c r="A503" s="4" t="s">
        <v>525</v>
      </c>
      <c r="B503" s="4" t="s">
        <v>14</v>
      </c>
      <c r="C503" s="4" t="s">
        <v>15</v>
      </c>
      <c r="D503" s="4" t="s">
        <v>16</v>
      </c>
      <c r="E503" s="4" t="s">
        <v>17</v>
      </c>
      <c r="F503" s="5" t="n">
        <v>2.15</v>
      </c>
      <c r="G503" s="6" t="n">
        <v>0</v>
      </c>
      <c r="H503" s="6" t="n">
        <v>0</v>
      </c>
      <c r="I503" s="6" t="n">
        <v>0</v>
      </c>
      <c r="J503" s="4" t="s">
        <v>18</v>
      </c>
      <c r="K503" s="4" t="s">
        <v>19</v>
      </c>
      <c r="L503" s="4" t="s">
        <v>20</v>
      </c>
    </row>
    <row r="504" customFormat="false" ht="22.35" hidden="false" customHeight="false" outlineLevel="0" collapsed="false">
      <c r="A504" s="7" t="s">
        <v>526</v>
      </c>
      <c r="B504" s="7" t="s">
        <v>14</v>
      </c>
      <c r="C504" s="7" t="s">
        <v>15</v>
      </c>
      <c r="D504" s="7" t="s">
        <v>16</v>
      </c>
      <c r="E504" s="7" t="s">
        <v>17</v>
      </c>
      <c r="F504" s="8" t="n">
        <v>4.02</v>
      </c>
      <c r="G504" s="9" t="n">
        <v>0</v>
      </c>
      <c r="H504" s="9" t="n">
        <v>0</v>
      </c>
      <c r="I504" s="9" t="n">
        <v>0</v>
      </c>
      <c r="J504" s="7" t="s">
        <v>18</v>
      </c>
      <c r="K504" s="7" t="s">
        <v>19</v>
      </c>
      <c r="L504" s="7" t="s">
        <v>20</v>
      </c>
    </row>
    <row r="505" customFormat="false" ht="22.35" hidden="false" customHeight="false" outlineLevel="0" collapsed="false">
      <c r="A505" s="4" t="s">
        <v>527</v>
      </c>
      <c r="B505" s="4" t="s">
        <v>14</v>
      </c>
      <c r="C505" s="4" t="s">
        <v>15</v>
      </c>
      <c r="D505" s="4" t="s">
        <v>16</v>
      </c>
      <c r="E505" s="4" t="s">
        <v>17</v>
      </c>
      <c r="F505" s="5" t="n">
        <v>16.7</v>
      </c>
      <c r="G505" s="6" t="n">
        <v>0</v>
      </c>
      <c r="H505" s="6" t="n">
        <v>0</v>
      </c>
      <c r="I505" s="6" t="n">
        <v>0</v>
      </c>
      <c r="J505" s="4" t="s">
        <v>18</v>
      </c>
      <c r="K505" s="4" t="s">
        <v>19</v>
      </c>
      <c r="L505" s="4" t="s">
        <v>20</v>
      </c>
    </row>
    <row r="506" customFormat="false" ht="22.35" hidden="false" customHeight="false" outlineLevel="0" collapsed="false">
      <c r="A506" s="7" t="s">
        <v>528</v>
      </c>
      <c r="B506" s="7" t="s">
        <v>14</v>
      </c>
      <c r="C506" s="7" t="s">
        <v>15</v>
      </c>
      <c r="D506" s="7" t="s">
        <v>16</v>
      </c>
      <c r="E506" s="7" t="s">
        <v>286</v>
      </c>
      <c r="F506" s="8" t="n">
        <v>0.75</v>
      </c>
      <c r="G506" s="9" t="n">
        <v>0</v>
      </c>
      <c r="H506" s="9" t="n">
        <v>0</v>
      </c>
      <c r="I506" s="9" t="n">
        <v>0</v>
      </c>
      <c r="J506" s="7" t="s">
        <v>18</v>
      </c>
      <c r="K506" s="7" t="s">
        <v>19</v>
      </c>
      <c r="L506" s="7" t="s">
        <v>20</v>
      </c>
    </row>
    <row r="507" customFormat="false" ht="22.35" hidden="false" customHeight="false" outlineLevel="0" collapsed="false">
      <c r="A507" s="4" t="s">
        <v>529</v>
      </c>
      <c r="B507" s="4" t="s">
        <v>14</v>
      </c>
      <c r="C507" s="4" t="s">
        <v>15</v>
      </c>
      <c r="D507" s="4" t="s">
        <v>16</v>
      </c>
      <c r="E507" s="4" t="s">
        <v>17</v>
      </c>
      <c r="F507" s="5" t="n">
        <v>2.18</v>
      </c>
      <c r="G507" s="6" t="n">
        <v>0</v>
      </c>
      <c r="H507" s="6" t="n">
        <v>0</v>
      </c>
      <c r="I507" s="6" t="n">
        <v>0</v>
      </c>
      <c r="J507" s="4" t="s">
        <v>18</v>
      </c>
      <c r="K507" s="4" t="s">
        <v>19</v>
      </c>
      <c r="L507" s="4" t="s">
        <v>20</v>
      </c>
    </row>
    <row r="508" customFormat="false" ht="22.35" hidden="false" customHeight="false" outlineLevel="0" collapsed="false">
      <c r="A508" s="7" t="s">
        <v>530</v>
      </c>
      <c r="B508" s="7" t="s">
        <v>14</v>
      </c>
      <c r="C508" s="7" t="s">
        <v>15</v>
      </c>
      <c r="D508" s="7" t="s">
        <v>16</v>
      </c>
      <c r="E508" s="7" t="s">
        <v>44</v>
      </c>
      <c r="F508" s="8" t="n">
        <v>1.57</v>
      </c>
      <c r="G508" s="9" t="n">
        <v>0</v>
      </c>
      <c r="H508" s="9" t="n">
        <v>0</v>
      </c>
      <c r="I508" s="9" t="n">
        <v>0</v>
      </c>
      <c r="J508" s="7" t="s">
        <v>18</v>
      </c>
      <c r="K508" s="7" t="s">
        <v>19</v>
      </c>
      <c r="L508" s="7" t="s">
        <v>20</v>
      </c>
    </row>
    <row r="509" customFormat="false" ht="22.35" hidden="false" customHeight="false" outlineLevel="0" collapsed="false">
      <c r="A509" s="4" t="s">
        <v>531</v>
      </c>
      <c r="B509" s="4" t="s">
        <v>14</v>
      </c>
      <c r="C509" s="4" t="s">
        <v>15</v>
      </c>
      <c r="D509" s="4" t="s">
        <v>16</v>
      </c>
      <c r="E509" s="4" t="s">
        <v>17</v>
      </c>
      <c r="F509" s="5" t="n">
        <v>8.3</v>
      </c>
      <c r="G509" s="6" t="n">
        <v>0</v>
      </c>
      <c r="H509" s="6" t="n">
        <v>0</v>
      </c>
      <c r="I509" s="6" t="n">
        <v>0</v>
      </c>
      <c r="J509" s="4" t="s">
        <v>18</v>
      </c>
      <c r="K509" s="4" t="s">
        <v>19</v>
      </c>
      <c r="L509" s="4" t="s">
        <v>20</v>
      </c>
    </row>
    <row r="510" customFormat="false" ht="22.35" hidden="false" customHeight="false" outlineLevel="0" collapsed="false">
      <c r="A510" s="7" t="s">
        <v>532</v>
      </c>
      <c r="B510" s="7" t="s">
        <v>14</v>
      </c>
      <c r="C510" s="7" t="s">
        <v>15</v>
      </c>
      <c r="D510" s="7" t="s">
        <v>16</v>
      </c>
      <c r="E510" s="7" t="s">
        <v>17</v>
      </c>
      <c r="F510" s="8" t="n">
        <v>6.68</v>
      </c>
      <c r="G510" s="9" t="n">
        <v>0</v>
      </c>
      <c r="H510" s="9" t="n">
        <v>0</v>
      </c>
      <c r="I510" s="9" t="n">
        <v>0</v>
      </c>
      <c r="J510" s="7" t="s">
        <v>18</v>
      </c>
      <c r="K510" s="7" t="s">
        <v>19</v>
      </c>
      <c r="L510" s="7" t="s">
        <v>20</v>
      </c>
    </row>
    <row r="511" customFormat="false" ht="22.35" hidden="false" customHeight="false" outlineLevel="0" collapsed="false">
      <c r="A511" s="4" t="s">
        <v>533</v>
      </c>
      <c r="B511" s="4" t="s">
        <v>14</v>
      </c>
      <c r="C511" s="4" t="s">
        <v>15</v>
      </c>
      <c r="D511" s="4" t="s">
        <v>16</v>
      </c>
      <c r="E511" s="4" t="s">
        <v>17</v>
      </c>
      <c r="F511" s="5" t="n">
        <v>0.88</v>
      </c>
      <c r="G511" s="6" t="n">
        <v>0</v>
      </c>
      <c r="H511" s="6" t="n">
        <v>0</v>
      </c>
      <c r="I511" s="6" t="n">
        <v>0</v>
      </c>
      <c r="J511" s="4" t="s">
        <v>18</v>
      </c>
      <c r="K511" s="4" t="s">
        <v>19</v>
      </c>
      <c r="L511" s="4" t="s">
        <v>20</v>
      </c>
    </row>
    <row r="512" customFormat="false" ht="22.35" hidden="false" customHeight="false" outlineLevel="0" collapsed="false">
      <c r="A512" s="7" t="s">
        <v>534</v>
      </c>
      <c r="B512" s="7" t="s">
        <v>14</v>
      </c>
      <c r="C512" s="7" t="s">
        <v>15</v>
      </c>
      <c r="D512" s="7" t="s">
        <v>16</v>
      </c>
      <c r="E512" s="7" t="s">
        <v>17</v>
      </c>
      <c r="F512" s="8" t="n">
        <v>4.66</v>
      </c>
      <c r="G512" s="9" t="n">
        <v>0</v>
      </c>
      <c r="H512" s="9" t="n">
        <v>0</v>
      </c>
      <c r="I512" s="9" t="n">
        <v>0</v>
      </c>
      <c r="J512" s="7" t="s">
        <v>18</v>
      </c>
      <c r="K512" s="7" t="s">
        <v>19</v>
      </c>
      <c r="L512" s="7" t="s">
        <v>20</v>
      </c>
    </row>
    <row r="513" customFormat="false" ht="22.35" hidden="false" customHeight="false" outlineLevel="0" collapsed="false">
      <c r="A513" s="4" t="s">
        <v>535</v>
      </c>
      <c r="B513" s="4" t="s">
        <v>14</v>
      </c>
      <c r="C513" s="4" t="s">
        <v>15</v>
      </c>
      <c r="D513" s="4" t="s">
        <v>16</v>
      </c>
      <c r="E513" s="4" t="s">
        <v>17</v>
      </c>
      <c r="F513" s="5" t="n">
        <v>3.4</v>
      </c>
      <c r="G513" s="6" t="n">
        <v>0</v>
      </c>
      <c r="H513" s="6" t="n">
        <v>0</v>
      </c>
      <c r="I513" s="6" t="n">
        <v>0</v>
      </c>
      <c r="J513" s="4" t="s">
        <v>18</v>
      </c>
      <c r="K513" s="4" t="s">
        <v>19</v>
      </c>
      <c r="L513" s="4" t="s">
        <v>20</v>
      </c>
    </row>
    <row r="514" customFormat="false" ht="22.35" hidden="false" customHeight="false" outlineLevel="0" collapsed="false">
      <c r="A514" s="7" t="s">
        <v>536</v>
      </c>
      <c r="B514" s="7" t="s">
        <v>14</v>
      </c>
      <c r="C514" s="7" t="s">
        <v>15</v>
      </c>
      <c r="D514" s="7" t="s">
        <v>16</v>
      </c>
      <c r="E514" s="7" t="s">
        <v>17</v>
      </c>
      <c r="F514" s="8" t="n">
        <v>0.59</v>
      </c>
      <c r="G514" s="9" t="n">
        <v>0</v>
      </c>
      <c r="H514" s="9" t="n">
        <v>0</v>
      </c>
      <c r="I514" s="9" t="n">
        <v>0</v>
      </c>
      <c r="J514" s="7" t="s">
        <v>18</v>
      </c>
      <c r="K514" s="7" t="s">
        <v>19</v>
      </c>
      <c r="L514" s="7" t="s">
        <v>20</v>
      </c>
    </row>
    <row r="515" customFormat="false" ht="22.35" hidden="false" customHeight="false" outlineLevel="0" collapsed="false">
      <c r="A515" s="4" t="s">
        <v>537</v>
      </c>
      <c r="B515" s="4" t="s">
        <v>14</v>
      </c>
      <c r="C515" s="4" t="s">
        <v>15</v>
      </c>
      <c r="D515" s="4" t="s">
        <v>16</v>
      </c>
      <c r="E515" s="4" t="s">
        <v>286</v>
      </c>
      <c r="F515" s="5" t="n">
        <v>0.83</v>
      </c>
      <c r="G515" s="6" t="n">
        <v>0</v>
      </c>
      <c r="H515" s="6" t="n">
        <v>0</v>
      </c>
      <c r="I515" s="6" t="n">
        <v>0</v>
      </c>
      <c r="J515" s="4" t="s">
        <v>18</v>
      </c>
      <c r="K515" s="4" t="s">
        <v>19</v>
      </c>
      <c r="L515" s="4" t="s">
        <v>20</v>
      </c>
    </row>
    <row r="516" customFormat="false" ht="22.35" hidden="false" customHeight="false" outlineLevel="0" collapsed="false">
      <c r="A516" s="7" t="s">
        <v>538</v>
      </c>
      <c r="B516" s="7" t="s">
        <v>14</v>
      </c>
      <c r="C516" s="7" t="s">
        <v>15</v>
      </c>
      <c r="D516" s="7" t="s">
        <v>16</v>
      </c>
      <c r="E516" s="7" t="s">
        <v>17</v>
      </c>
      <c r="F516" s="8" t="n">
        <v>0.05</v>
      </c>
      <c r="G516" s="9" t="n">
        <v>0</v>
      </c>
      <c r="H516" s="9" t="n">
        <v>0</v>
      </c>
      <c r="I516" s="9" t="n">
        <v>0</v>
      </c>
      <c r="J516" s="7" t="s">
        <v>18</v>
      </c>
      <c r="K516" s="7" t="s">
        <v>19</v>
      </c>
      <c r="L516" s="7" t="s">
        <v>20</v>
      </c>
    </row>
    <row r="517" customFormat="false" ht="22.35" hidden="false" customHeight="false" outlineLevel="0" collapsed="false">
      <c r="A517" s="4" t="s">
        <v>539</v>
      </c>
      <c r="B517" s="4" t="s">
        <v>14</v>
      </c>
      <c r="C517" s="4" t="s">
        <v>15</v>
      </c>
      <c r="D517" s="4" t="s">
        <v>16</v>
      </c>
      <c r="E517" s="4" t="s">
        <v>17</v>
      </c>
      <c r="F517" s="5" t="n">
        <v>3.02</v>
      </c>
      <c r="G517" s="6" t="n">
        <v>0</v>
      </c>
      <c r="H517" s="6" t="n">
        <v>0</v>
      </c>
      <c r="I517" s="6" t="n">
        <v>0</v>
      </c>
      <c r="J517" s="4" t="s">
        <v>18</v>
      </c>
      <c r="K517" s="4" t="s">
        <v>19</v>
      </c>
      <c r="L517" s="4" t="s">
        <v>20</v>
      </c>
    </row>
    <row r="518" customFormat="false" ht="22.35" hidden="false" customHeight="false" outlineLevel="0" collapsed="false">
      <c r="A518" s="7" t="s">
        <v>540</v>
      </c>
      <c r="B518" s="7" t="s">
        <v>14</v>
      </c>
      <c r="C518" s="7" t="s">
        <v>15</v>
      </c>
      <c r="D518" s="7" t="s">
        <v>16</v>
      </c>
      <c r="E518" s="7" t="s">
        <v>17</v>
      </c>
      <c r="F518" s="8" t="n">
        <v>9.79</v>
      </c>
      <c r="G518" s="9" t="n">
        <v>0</v>
      </c>
      <c r="H518" s="9" t="n">
        <v>0</v>
      </c>
      <c r="I518" s="9" t="n">
        <v>0</v>
      </c>
      <c r="J518" s="7" t="s">
        <v>18</v>
      </c>
      <c r="K518" s="7" t="s">
        <v>19</v>
      </c>
      <c r="L518" s="7" t="s">
        <v>20</v>
      </c>
    </row>
    <row r="519" customFormat="false" ht="22.35" hidden="false" customHeight="false" outlineLevel="0" collapsed="false">
      <c r="A519" s="4" t="s">
        <v>541</v>
      </c>
      <c r="B519" s="4" t="s">
        <v>14</v>
      </c>
      <c r="C519" s="4" t="s">
        <v>15</v>
      </c>
      <c r="D519" s="4" t="s">
        <v>16</v>
      </c>
      <c r="E519" s="4" t="s">
        <v>17</v>
      </c>
      <c r="F519" s="5" t="n">
        <v>1.57</v>
      </c>
      <c r="G519" s="6" t="n">
        <v>0</v>
      </c>
      <c r="H519" s="6" t="n">
        <v>0</v>
      </c>
      <c r="I519" s="6" t="n">
        <v>0</v>
      </c>
      <c r="J519" s="4" t="s">
        <v>18</v>
      </c>
      <c r="K519" s="4" t="s">
        <v>19</v>
      </c>
      <c r="L519" s="4" t="s">
        <v>20</v>
      </c>
    </row>
    <row r="520" customFormat="false" ht="22.35" hidden="false" customHeight="false" outlineLevel="0" collapsed="false">
      <c r="A520" s="7" t="s">
        <v>542</v>
      </c>
      <c r="B520" s="7" t="s">
        <v>14</v>
      </c>
      <c r="C520" s="7" t="s">
        <v>15</v>
      </c>
      <c r="D520" s="7" t="s">
        <v>16</v>
      </c>
      <c r="E520" s="7" t="s">
        <v>17</v>
      </c>
      <c r="F520" s="8" t="n">
        <v>3.41</v>
      </c>
      <c r="G520" s="9" t="n">
        <v>0</v>
      </c>
      <c r="H520" s="9" t="n">
        <v>0</v>
      </c>
      <c r="I520" s="9" t="n">
        <v>0</v>
      </c>
      <c r="J520" s="7" t="s">
        <v>18</v>
      </c>
      <c r="K520" s="7" t="s">
        <v>19</v>
      </c>
      <c r="L520" s="7" t="s">
        <v>20</v>
      </c>
    </row>
    <row r="521" customFormat="false" ht="22.35" hidden="false" customHeight="false" outlineLevel="0" collapsed="false">
      <c r="A521" s="4" t="s">
        <v>543</v>
      </c>
      <c r="B521" s="4" t="s">
        <v>14</v>
      </c>
      <c r="C521" s="4" t="s">
        <v>15</v>
      </c>
      <c r="D521" s="4" t="s">
        <v>16</v>
      </c>
      <c r="E521" s="4" t="s">
        <v>44</v>
      </c>
      <c r="F521" s="5" t="n">
        <v>1.9682</v>
      </c>
      <c r="G521" s="6" t="n">
        <v>0</v>
      </c>
      <c r="H521" s="6" t="n">
        <v>0</v>
      </c>
      <c r="I521" s="6" t="n">
        <v>0</v>
      </c>
      <c r="J521" s="4" t="s">
        <v>18</v>
      </c>
      <c r="K521" s="4" t="s">
        <v>19</v>
      </c>
      <c r="L521" s="4" t="s">
        <v>20</v>
      </c>
    </row>
    <row r="522" customFormat="false" ht="22.35" hidden="false" customHeight="false" outlineLevel="0" collapsed="false">
      <c r="A522" s="7" t="s">
        <v>544</v>
      </c>
      <c r="B522" s="7" t="s">
        <v>14</v>
      </c>
      <c r="C522" s="7" t="s">
        <v>15</v>
      </c>
      <c r="D522" s="7" t="s">
        <v>16</v>
      </c>
      <c r="E522" s="7" t="s">
        <v>44</v>
      </c>
      <c r="F522" s="8" t="n">
        <v>3.178</v>
      </c>
      <c r="G522" s="9" t="n">
        <v>0</v>
      </c>
      <c r="H522" s="9" t="n">
        <v>0</v>
      </c>
      <c r="I522" s="9" t="n">
        <v>0</v>
      </c>
      <c r="J522" s="7" t="s">
        <v>18</v>
      </c>
      <c r="K522" s="7" t="s">
        <v>19</v>
      </c>
      <c r="L522" s="7" t="s">
        <v>20</v>
      </c>
    </row>
    <row r="523" customFormat="false" ht="22.35" hidden="false" customHeight="false" outlineLevel="0" collapsed="false">
      <c r="A523" s="4" t="s">
        <v>545</v>
      </c>
      <c r="B523" s="4" t="s">
        <v>14</v>
      </c>
      <c r="C523" s="4" t="s">
        <v>15</v>
      </c>
      <c r="D523" s="4" t="s">
        <v>16</v>
      </c>
      <c r="E523" s="4" t="s">
        <v>17</v>
      </c>
      <c r="F523" s="5" t="n">
        <v>27.43</v>
      </c>
      <c r="G523" s="6" t="n">
        <v>0</v>
      </c>
      <c r="H523" s="6" t="n">
        <v>0</v>
      </c>
      <c r="I523" s="6" t="n">
        <v>0</v>
      </c>
      <c r="J523" s="4" t="s">
        <v>18</v>
      </c>
      <c r="K523" s="4" t="s">
        <v>19</v>
      </c>
      <c r="L523" s="4" t="s">
        <v>20</v>
      </c>
    </row>
    <row r="524" customFormat="false" ht="22.35" hidden="false" customHeight="false" outlineLevel="0" collapsed="false">
      <c r="A524" s="7" t="s">
        <v>546</v>
      </c>
      <c r="B524" s="7" t="s">
        <v>14</v>
      </c>
      <c r="C524" s="7" t="s">
        <v>15</v>
      </c>
      <c r="D524" s="7" t="s">
        <v>16</v>
      </c>
      <c r="E524" s="7" t="s">
        <v>17</v>
      </c>
      <c r="F524" s="8" t="n">
        <v>9.95</v>
      </c>
      <c r="G524" s="9" t="n">
        <v>0</v>
      </c>
      <c r="H524" s="9" t="n">
        <v>0</v>
      </c>
      <c r="I524" s="9" t="n">
        <v>0</v>
      </c>
      <c r="J524" s="7" t="s">
        <v>18</v>
      </c>
      <c r="K524" s="7" t="s">
        <v>19</v>
      </c>
      <c r="L524" s="7" t="s">
        <v>20</v>
      </c>
    </row>
    <row r="525" customFormat="false" ht="22.35" hidden="false" customHeight="false" outlineLevel="0" collapsed="false">
      <c r="A525" s="4" t="s">
        <v>547</v>
      </c>
      <c r="B525" s="4" t="s">
        <v>14</v>
      </c>
      <c r="C525" s="4" t="s">
        <v>15</v>
      </c>
      <c r="D525" s="4" t="s">
        <v>16</v>
      </c>
      <c r="E525" s="4" t="s">
        <v>17</v>
      </c>
      <c r="F525" s="5" t="n">
        <v>0.83</v>
      </c>
      <c r="G525" s="6" t="n">
        <v>0</v>
      </c>
      <c r="H525" s="6" t="n">
        <v>0</v>
      </c>
      <c r="I525" s="6" t="n">
        <v>0</v>
      </c>
      <c r="J525" s="4" t="s">
        <v>18</v>
      </c>
      <c r="K525" s="4" t="s">
        <v>19</v>
      </c>
      <c r="L525" s="4" t="s">
        <v>20</v>
      </c>
    </row>
    <row r="526" customFormat="false" ht="22.35" hidden="false" customHeight="false" outlineLevel="0" collapsed="false">
      <c r="A526" s="7" t="s">
        <v>548</v>
      </c>
      <c r="B526" s="7" t="s">
        <v>14</v>
      </c>
      <c r="C526" s="7" t="s">
        <v>15</v>
      </c>
      <c r="D526" s="7" t="s">
        <v>16</v>
      </c>
      <c r="E526" s="7" t="s">
        <v>17</v>
      </c>
      <c r="F526" s="8" t="n">
        <v>0.34</v>
      </c>
      <c r="G526" s="9" t="n">
        <v>0</v>
      </c>
      <c r="H526" s="9" t="n">
        <v>0</v>
      </c>
      <c r="I526" s="9" t="n">
        <v>0</v>
      </c>
      <c r="J526" s="7" t="s">
        <v>18</v>
      </c>
      <c r="K526" s="7" t="s">
        <v>19</v>
      </c>
      <c r="L526" s="7" t="s">
        <v>20</v>
      </c>
    </row>
    <row r="527" customFormat="false" ht="22.35" hidden="false" customHeight="false" outlineLevel="0" collapsed="false">
      <c r="A527" s="4" t="s">
        <v>549</v>
      </c>
      <c r="B527" s="4" t="s">
        <v>14</v>
      </c>
      <c r="C527" s="4" t="s">
        <v>15</v>
      </c>
      <c r="D527" s="4" t="s">
        <v>16</v>
      </c>
      <c r="E527" s="4" t="s">
        <v>17</v>
      </c>
      <c r="F527" s="5" t="n">
        <v>0.13</v>
      </c>
      <c r="G527" s="6" t="n">
        <v>0</v>
      </c>
      <c r="H527" s="6" t="n">
        <v>0</v>
      </c>
      <c r="I527" s="6" t="n">
        <v>0</v>
      </c>
      <c r="J527" s="4" t="s">
        <v>18</v>
      </c>
      <c r="K527" s="4" t="s">
        <v>19</v>
      </c>
      <c r="L527" s="4" t="s">
        <v>20</v>
      </c>
    </row>
    <row r="528" customFormat="false" ht="22.35" hidden="false" customHeight="false" outlineLevel="0" collapsed="false">
      <c r="A528" s="7" t="s">
        <v>550</v>
      </c>
      <c r="B528" s="7" t="s">
        <v>14</v>
      </c>
      <c r="C528" s="7" t="s">
        <v>15</v>
      </c>
      <c r="D528" s="7" t="s">
        <v>16</v>
      </c>
      <c r="E528" s="7" t="s">
        <v>17</v>
      </c>
      <c r="F528" s="8" t="n">
        <v>0.48</v>
      </c>
      <c r="G528" s="9" t="n">
        <v>0</v>
      </c>
      <c r="H528" s="9" t="n">
        <v>0</v>
      </c>
      <c r="I528" s="9" t="n">
        <v>0</v>
      </c>
      <c r="J528" s="7" t="s">
        <v>18</v>
      </c>
      <c r="K528" s="7" t="s">
        <v>19</v>
      </c>
      <c r="L528" s="7" t="s">
        <v>20</v>
      </c>
    </row>
    <row r="529" customFormat="false" ht="22.35" hidden="false" customHeight="false" outlineLevel="0" collapsed="false">
      <c r="A529" s="4" t="s">
        <v>551</v>
      </c>
      <c r="B529" s="4" t="s">
        <v>14</v>
      </c>
      <c r="C529" s="4" t="s">
        <v>15</v>
      </c>
      <c r="D529" s="4" t="s">
        <v>16</v>
      </c>
      <c r="E529" s="4" t="s">
        <v>17</v>
      </c>
      <c r="F529" s="5" t="n">
        <v>23.97</v>
      </c>
      <c r="G529" s="6" t="n">
        <v>0</v>
      </c>
      <c r="H529" s="6" t="n">
        <v>0</v>
      </c>
      <c r="I529" s="6" t="n">
        <v>0</v>
      </c>
      <c r="J529" s="4" t="s">
        <v>18</v>
      </c>
      <c r="K529" s="4" t="s">
        <v>19</v>
      </c>
      <c r="L529" s="4" t="s">
        <v>20</v>
      </c>
    </row>
    <row r="530" customFormat="false" ht="22.35" hidden="false" customHeight="false" outlineLevel="0" collapsed="false">
      <c r="A530" s="7" t="s">
        <v>552</v>
      </c>
      <c r="B530" s="7" t="s">
        <v>14</v>
      </c>
      <c r="C530" s="7" t="s">
        <v>15</v>
      </c>
      <c r="D530" s="7" t="s">
        <v>16</v>
      </c>
      <c r="E530" s="7" t="s">
        <v>17</v>
      </c>
      <c r="F530" s="8" t="n">
        <v>0.0605</v>
      </c>
      <c r="G530" s="9" t="n">
        <v>0</v>
      </c>
      <c r="H530" s="9" t="n">
        <v>0</v>
      </c>
      <c r="I530" s="9" t="n">
        <v>0</v>
      </c>
      <c r="J530" s="7" t="s">
        <v>18</v>
      </c>
      <c r="K530" s="7" t="s">
        <v>19</v>
      </c>
      <c r="L530" s="7" t="s">
        <v>20</v>
      </c>
    </row>
    <row r="531" customFormat="false" ht="22.35" hidden="false" customHeight="false" outlineLevel="0" collapsed="false">
      <c r="A531" s="4" t="s">
        <v>553</v>
      </c>
      <c r="B531" s="4" t="s">
        <v>14</v>
      </c>
      <c r="C531" s="4" t="s">
        <v>15</v>
      </c>
      <c r="D531" s="4" t="s">
        <v>16</v>
      </c>
      <c r="E531" s="4" t="s">
        <v>17</v>
      </c>
      <c r="F531" s="5" t="n">
        <v>0.14</v>
      </c>
      <c r="G531" s="6" t="n">
        <v>0</v>
      </c>
      <c r="H531" s="6" t="n">
        <v>0</v>
      </c>
      <c r="I531" s="6" t="n">
        <v>0</v>
      </c>
      <c r="J531" s="4" t="s">
        <v>18</v>
      </c>
      <c r="K531" s="4" t="s">
        <v>19</v>
      </c>
      <c r="L531" s="4" t="s">
        <v>20</v>
      </c>
    </row>
    <row r="532" customFormat="false" ht="22.35" hidden="false" customHeight="false" outlineLevel="0" collapsed="false">
      <c r="A532" s="7" t="s">
        <v>554</v>
      </c>
      <c r="B532" s="7" t="s">
        <v>14</v>
      </c>
      <c r="C532" s="7" t="s">
        <v>15</v>
      </c>
      <c r="D532" s="7" t="s">
        <v>16</v>
      </c>
      <c r="E532" s="7" t="s">
        <v>17</v>
      </c>
      <c r="F532" s="8" t="n">
        <v>0.14</v>
      </c>
      <c r="G532" s="9" t="n">
        <v>0</v>
      </c>
      <c r="H532" s="9" t="n">
        <v>0</v>
      </c>
      <c r="I532" s="9" t="n">
        <v>0</v>
      </c>
      <c r="J532" s="7" t="s">
        <v>18</v>
      </c>
      <c r="K532" s="7" t="s">
        <v>19</v>
      </c>
      <c r="L532" s="7" t="s">
        <v>20</v>
      </c>
    </row>
    <row r="533" customFormat="false" ht="22.35" hidden="false" customHeight="false" outlineLevel="0" collapsed="false">
      <c r="A533" s="4" t="s">
        <v>555</v>
      </c>
      <c r="B533" s="4" t="s">
        <v>14</v>
      </c>
      <c r="C533" s="4" t="s">
        <v>15</v>
      </c>
      <c r="D533" s="4" t="s">
        <v>16</v>
      </c>
      <c r="E533" s="4" t="s">
        <v>17</v>
      </c>
      <c r="F533" s="5" t="n">
        <v>0.1</v>
      </c>
      <c r="G533" s="6" t="n">
        <v>0</v>
      </c>
      <c r="H533" s="6" t="n">
        <v>0</v>
      </c>
      <c r="I533" s="6" t="n">
        <v>0</v>
      </c>
      <c r="J533" s="4" t="s">
        <v>18</v>
      </c>
      <c r="K533" s="4" t="s">
        <v>19</v>
      </c>
      <c r="L533" s="4" t="s">
        <v>20</v>
      </c>
    </row>
    <row r="534" customFormat="false" ht="22.35" hidden="false" customHeight="false" outlineLevel="0" collapsed="false">
      <c r="A534" s="7" t="s">
        <v>556</v>
      </c>
      <c r="B534" s="7" t="s">
        <v>14</v>
      </c>
      <c r="C534" s="7" t="s">
        <v>15</v>
      </c>
      <c r="D534" s="7" t="s">
        <v>16</v>
      </c>
      <c r="E534" s="7" t="s">
        <v>17</v>
      </c>
      <c r="F534" s="8" t="n">
        <v>0.56</v>
      </c>
      <c r="G534" s="9" t="n">
        <v>0</v>
      </c>
      <c r="H534" s="9" t="n">
        <v>0</v>
      </c>
      <c r="I534" s="9" t="n">
        <v>0</v>
      </c>
      <c r="J534" s="7" t="s">
        <v>18</v>
      </c>
      <c r="K534" s="7" t="s">
        <v>19</v>
      </c>
      <c r="L534" s="7" t="s">
        <v>20</v>
      </c>
    </row>
    <row r="535" customFormat="false" ht="22.35" hidden="false" customHeight="false" outlineLevel="0" collapsed="false">
      <c r="A535" s="4" t="s">
        <v>557</v>
      </c>
      <c r="B535" s="4" t="s">
        <v>14</v>
      </c>
      <c r="C535" s="4" t="s">
        <v>15</v>
      </c>
      <c r="D535" s="4" t="s">
        <v>16</v>
      </c>
      <c r="E535" s="4" t="s">
        <v>17</v>
      </c>
      <c r="F535" s="5" t="n">
        <v>2.62</v>
      </c>
      <c r="G535" s="6" t="n">
        <v>0</v>
      </c>
      <c r="H535" s="6" t="n">
        <v>0</v>
      </c>
      <c r="I535" s="6" t="n">
        <v>0</v>
      </c>
      <c r="J535" s="4" t="s">
        <v>18</v>
      </c>
      <c r="K535" s="4" t="s">
        <v>19</v>
      </c>
      <c r="L535" s="4" t="s">
        <v>20</v>
      </c>
    </row>
    <row r="536" customFormat="false" ht="22.35" hidden="false" customHeight="false" outlineLevel="0" collapsed="false">
      <c r="A536" s="7" t="s">
        <v>558</v>
      </c>
      <c r="B536" s="7" t="s">
        <v>14</v>
      </c>
      <c r="C536" s="7" t="s">
        <v>15</v>
      </c>
      <c r="D536" s="7" t="s">
        <v>16</v>
      </c>
      <c r="E536" s="7" t="s">
        <v>17</v>
      </c>
      <c r="F536" s="8" t="n">
        <v>2.18</v>
      </c>
      <c r="G536" s="9" t="n">
        <v>0</v>
      </c>
      <c r="H536" s="9" t="n">
        <v>0</v>
      </c>
      <c r="I536" s="9" t="n">
        <v>0</v>
      </c>
      <c r="J536" s="7" t="s">
        <v>18</v>
      </c>
      <c r="K536" s="7" t="s">
        <v>19</v>
      </c>
      <c r="L536" s="7" t="s">
        <v>20</v>
      </c>
    </row>
    <row r="537" customFormat="false" ht="22.35" hidden="false" customHeight="false" outlineLevel="0" collapsed="false">
      <c r="A537" s="4" t="s">
        <v>559</v>
      </c>
      <c r="B537" s="4" t="s">
        <v>14</v>
      </c>
      <c r="C537" s="4" t="s">
        <v>15</v>
      </c>
      <c r="D537" s="4" t="s">
        <v>16</v>
      </c>
      <c r="E537" s="4" t="s">
        <v>17</v>
      </c>
      <c r="F537" s="5" t="n">
        <v>1.85</v>
      </c>
      <c r="G537" s="6" t="n">
        <v>0</v>
      </c>
      <c r="H537" s="6" t="n">
        <v>0</v>
      </c>
      <c r="I537" s="6" t="n">
        <v>0</v>
      </c>
      <c r="J537" s="4" t="s">
        <v>18</v>
      </c>
      <c r="K537" s="4" t="s">
        <v>19</v>
      </c>
      <c r="L537" s="4" t="s">
        <v>20</v>
      </c>
    </row>
    <row r="538" customFormat="false" ht="22.35" hidden="false" customHeight="false" outlineLevel="0" collapsed="false">
      <c r="A538" s="7" t="s">
        <v>560</v>
      </c>
      <c r="B538" s="7" t="s">
        <v>14</v>
      </c>
      <c r="C538" s="7" t="s">
        <v>15</v>
      </c>
      <c r="D538" s="7" t="s">
        <v>16</v>
      </c>
      <c r="E538" s="7" t="s">
        <v>17</v>
      </c>
      <c r="F538" s="8" t="n">
        <v>1.52</v>
      </c>
      <c r="G538" s="9" t="n">
        <v>0</v>
      </c>
      <c r="H538" s="9" t="n">
        <v>0</v>
      </c>
      <c r="I538" s="9" t="n">
        <v>0</v>
      </c>
      <c r="J538" s="7" t="s">
        <v>18</v>
      </c>
      <c r="K538" s="7" t="s">
        <v>19</v>
      </c>
      <c r="L538" s="7" t="s">
        <v>20</v>
      </c>
    </row>
    <row r="539" customFormat="false" ht="22.35" hidden="false" customHeight="false" outlineLevel="0" collapsed="false">
      <c r="A539" s="4" t="s">
        <v>561</v>
      </c>
      <c r="B539" s="4" t="s">
        <v>14</v>
      </c>
      <c r="C539" s="4" t="s">
        <v>15</v>
      </c>
      <c r="D539" s="4" t="s">
        <v>16</v>
      </c>
      <c r="E539" s="4" t="s">
        <v>17</v>
      </c>
      <c r="F539" s="5" t="n">
        <v>0.37</v>
      </c>
      <c r="G539" s="6" t="n">
        <v>0</v>
      </c>
      <c r="H539" s="6" t="n">
        <v>0</v>
      </c>
      <c r="I539" s="6" t="n">
        <v>0</v>
      </c>
      <c r="J539" s="4" t="s">
        <v>18</v>
      </c>
      <c r="K539" s="4" t="s">
        <v>19</v>
      </c>
      <c r="L539" s="4" t="s">
        <v>20</v>
      </c>
    </row>
    <row r="540" customFormat="false" ht="22.35" hidden="false" customHeight="false" outlineLevel="0" collapsed="false">
      <c r="A540" s="7" t="s">
        <v>562</v>
      </c>
      <c r="B540" s="7" t="s">
        <v>14</v>
      </c>
      <c r="C540" s="7" t="s">
        <v>15</v>
      </c>
      <c r="D540" s="7" t="s">
        <v>16</v>
      </c>
      <c r="E540" s="7" t="s">
        <v>17</v>
      </c>
      <c r="F540" s="8" t="n">
        <v>0.18</v>
      </c>
      <c r="G540" s="9" t="n">
        <v>0</v>
      </c>
      <c r="H540" s="9" t="n">
        <v>0</v>
      </c>
      <c r="I540" s="9" t="n">
        <v>0</v>
      </c>
      <c r="J540" s="7" t="s">
        <v>18</v>
      </c>
      <c r="K540" s="7" t="s">
        <v>19</v>
      </c>
      <c r="L540" s="7" t="s">
        <v>20</v>
      </c>
    </row>
    <row r="541" customFormat="false" ht="22.35" hidden="false" customHeight="false" outlineLevel="0" collapsed="false">
      <c r="A541" s="4" t="s">
        <v>563</v>
      </c>
      <c r="B541" s="4" t="s">
        <v>14</v>
      </c>
      <c r="C541" s="4" t="s">
        <v>15</v>
      </c>
      <c r="D541" s="4" t="s">
        <v>16</v>
      </c>
      <c r="E541" s="4" t="s">
        <v>17</v>
      </c>
      <c r="F541" s="5" t="n">
        <v>3.59</v>
      </c>
      <c r="G541" s="6" t="n">
        <v>0</v>
      </c>
      <c r="H541" s="6" t="n">
        <v>0</v>
      </c>
      <c r="I541" s="6" t="n">
        <v>0</v>
      </c>
      <c r="J541" s="4" t="s">
        <v>18</v>
      </c>
      <c r="K541" s="4" t="s">
        <v>19</v>
      </c>
      <c r="L541" s="4" t="s">
        <v>20</v>
      </c>
    </row>
    <row r="542" customFormat="false" ht="22.35" hidden="false" customHeight="false" outlineLevel="0" collapsed="false">
      <c r="A542" s="7" t="s">
        <v>564</v>
      </c>
      <c r="B542" s="7" t="s">
        <v>14</v>
      </c>
      <c r="C542" s="7" t="s">
        <v>15</v>
      </c>
      <c r="D542" s="7" t="s">
        <v>16</v>
      </c>
      <c r="E542" s="7" t="s">
        <v>17</v>
      </c>
      <c r="F542" s="8" t="n">
        <v>0.65</v>
      </c>
      <c r="G542" s="9" t="n">
        <v>0</v>
      </c>
      <c r="H542" s="9" t="n">
        <v>0</v>
      </c>
      <c r="I542" s="9" t="n">
        <v>0</v>
      </c>
      <c r="J542" s="7" t="s">
        <v>18</v>
      </c>
      <c r="K542" s="7" t="s">
        <v>19</v>
      </c>
      <c r="L542" s="7" t="s">
        <v>20</v>
      </c>
    </row>
    <row r="543" customFormat="false" ht="22.35" hidden="false" customHeight="false" outlineLevel="0" collapsed="false">
      <c r="A543" s="4" t="s">
        <v>565</v>
      </c>
      <c r="B543" s="4" t="s">
        <v>14</v>
      </c>
      <c r="C543" s="4" t="s">
        <v>15</v>
      </c>
      <c r="D543" s="4" t="s">
        <v>16</v>
      </c>
      <c r="E543" s="4" t="s">
        <v>17</v>
      </c>
      <c r="F543" s="5" t="n">
        <v>3.78</v>
      </c>
      <c r="G543" s="6" t="n">
        <v>0</v>
      </c>
      <c r="H543" s="6" t="n">
        <v>0</v>
      </c>
      <c r="I543" s="6" t="n">
        <v>0</v>
      </c>
      <c r="J543" s="4" t="s">
        <v>18</v>
      </c>
      <c r="K543" s="4" t="s">
        <v>19</v>
      </c>
      <c r="L543" s="4" t="s">
        <v>20</v>
      </c>
    </row>
    <row r="544" customFormat="false" ht="22.35" hidden="false" customHeight="false" outlineLevel="0" collapsed="false">
      <c r="A544" s="7" t="s">
        <v>566</v>
      </c>
      <c r="B544" s="7" t="s">
        <v>14</v>
      </c>
      <c r="C544" s="7" t="s">
        <v>15</v>
      </c>
      <c r="D544" s="7" t="s">
        <v>16</v>
      </c>
      <c r="E544" s="7" t="s">
        <v>17</v>
      </c>
      <c r="F544" s="8" t="n">
        <v>0.04</v>
      </c>
      <c r="G544" s="9" t="n">
        <v>0</v>
      </c>
      <c r="H544" s="9" t="n">
        <v>0</v>
      </c>
      <c r="I544" s="9" t="n">
        <v>0</v>
      </c>
      <c r="J544" s="7" t="s">
        <v>18</v>
      </c>
      <c r="K544" s="7" t="s">
        <v>19</v>
      </c>
      <c r="L544" s="7" t="s">
        <v>20</v>
      </c>
    </row>
    <row r="545" customFormat="false" ht="22.35" hidden="false" customHeight="false" outlineLevel="0" collapsed="false">
      <c r="A545" s="4" t="s">
        <v>567</v>
      </c>
      <c r="B545" s="4" t="s">
        <v>14</v>
      </c>
      <c r="C545" s="4" t="s">
        <v>15</v>
      </c>
      <c r="D545" s="4" t="s">
        <v>16</v>
      </c>
      <c r="E545" s="4" t="s">
        <v>17</v>
      </c>
      <c r="F545" s="5" t="n">
        <v>2.69</v>
      </c>
      <c r="G545" s="6" t="n">
        <v>0</v>
      </c>
      <c r="H545" s="6" t="n">
        <v>0</v>
      </c>
      <c r="I545" s="6" t="n">
        <v>0</v>
      </c>
      <c r="J545" s="4" t="s">
        <v>18</v>
      </c>
      <c r="K545" s="4" t="s">
        <v>19</v>
      </c>
      <c r="L545" s="4" t="s">
        <v>20</v>
      </c>
    </row>
    <row r="546" customFormat="false" ht="22.35" hidden="false" customHeight="false" outlineLevel="0" collapsed="false">
      <c r="A546" s="7" t="s">
        <v>568</v>
      </c>
      <c r="B546" s="7" t="s">
        <v>14</v>
      </c>
      <c r="C546" s="7" t="s">
        <v>15</v>
      </c>
      <c r="D546" s="7" t="s">
        <v>16</v>
      </c>
      <c r="E546" s="7" t="s">
        <v>17</v>
      </c>
      <c r="F546" s="8" t="n">
        <v>6.88</v>
      </c>
      <c r="G546" s="9" t="n">
        <v>0</v>
      </c>
      <c r="H546" s="9" t="n">
        <v>0</v>
      </c>
      <c r="I546" s="9" t="n">
        <v>0</v>
      </c>
      <c r="J546" s="7" t="s">
        <v>18</v>
      </c>
      <c r="K546" s="7" t="s">
        <v>19</v>
      </c>
      <c r="L546" s="7" t="s">
        <v>20</v>
      </c>
    </row>
    <row r="547" customFormat="false" ht="22.35" hidden="false" customHeight="false" outlineLevel="0" collapsed="false">
      <c r="A547" s="4" t="s">
        <v>569</v>
      </c>
      <c r="B547" s="4" t="s">
        <v>14</v>
      </c>
      <c r="C547" s="4" t="s">
        <v>15</v>
      </c>
      <c r="D547" s="4" t="s">
        <v>16</v>
      </c>
      <c r="E547" s="4" t="s">
        <v>17</v>
      </c>
      <c r="F547" s="5" t="n">
        <v>0.92</v>
      </c>
      <c r="G547" s="6" t="n">
        <v>0</v>
      </c>
      <c r="H547" s="6" t="n">
        <v>0</v>
      </c>
      <c r="I547" s="6" t="n">
        <v>0</v>
      </c>
      <c r="J547" s="4" t="s">
        <v>18</v>
      </c>
      <c r="K547" s="4" t="s">
        <v>19</v>
      </c>
      <c r="L547" s="4" t="s">
        <v>20</v>
      </c>
    </row>
    <row r="548" customFormat="false" ht="22.35" hidden="false" customHeight="false" outlineLevel="0" collapsed="false">
      <c r="A548" s="7" t="s">
        <v>570</v>
      </c>
      <c r="B548" s="7" t="s">
        <v>14</v>
      </c>
      <c r="C548" s="7" t="s">
        <v>15</v>
      </c>
      <c r="D548" s="7" t="s">
        <v>16</v>
      </c>
      <c r="E548" s="7" t="s">
        <v>17</v>
      </c>
      <c r="F548" s="8" t="n">
        <v>0.62</v>
      </c>
      <c r="G548" s="9" t="n">
        <v>0</v>
      </c>
      <c r="H548" s="9" t="n">
        <v>0</v>
      </c>
      <c r="I548" s="9" t="n">
        <v>0</v>
      </c>
      <c r="J548" s="7" t="s">
        <v>18</v>
      </c>
      <c r="K548" s="7" t="s">
        <v>19</v>
      </c>
      <c r="L548" s="7" t="s">
        <v>20</v>
      </c>
    </row>
    <row r="549" customFormat="false" ht="22.35" hidden="false" customHeight="false" outlineLevel="0" collapsed="false">
      <c r="A549" s="4" t="s">
        <v>571</v>
      </c>
      <c r="B549" s="4" t="s">
        <v>14</v>
      </c>
      <c r="C549" s="4" t="s">
        <v>15</v>
      </c>
      <c r="D549" s="4" t="s">
        <v>16</v>
      </c>
      <c r="E549" s="4" t="s">
        <v>17</v>
      </c>
      <c r="F549" s="5" t="n">
        <v>3.27</v>
      </c>
      <c r="G549" s="6" t="n">
        <v>0</v>
      </c>
      <c r="H549" s="6" t="n">
        <v>0</v>
      </c>
      <c r="I549" s="6" t="n">
        <v>0</v>
      </c>
      <c r="J549" s="4" t="s">
        <v>18</v>
      </c>
      <c r="K549" s="4" t="s">
        <v>19</v>
      </c>
      <c r="L549" s="4" t="s">
        <v>20</v>
      </c>
    </row>
    <row r="550" customFormat="false" ht="22.35" hidden="false" customHeight="false" outlineLevel="0" collapsed="false">
      <c r="A550" s="7" t="s">
        <v>572</v>
      </c>
      <c r="B550" s="7" t="s">
        <v>14</v>
      </c>
      <c r="C550" s="7" t="s">
        <v>15</v>
      </c>
      <c r="D550" s="7" t="s">
        <v>16</v>
      </c>
      <c r="E550" s="7" t="s">
        <v>17</v>
      </c>
      <c r="F550" s="8" t="n">
        <v>9.88</v>
      </c>
      <c r="G550" s="9" t="n">
        <v>0</v>
      </c>
      <c r="H550" s="9" t="n">
        <v>0</v>
      </c>
      <c r="I550" s="9" t="n">
        <v>0</v>
      </c>
      <c r="J550" s="7" t="s">
        <v>18</v>
      </c>
      <c r="K550" s="7" t="s">
        <v>19</v>
      </c>
      <c r="L550" s="7" t="s">
        <v>20</v>
      </c>
    </row>
    <row r="551" customFormat="false" ht="22.35" hidden="false" customHeight="false" outlineLevel="0" collapsed="false">
      <c r="A551" s="4" t="s">
        <v>573</v>
      </c>
      <c r="B551" s="4" t="s">
        <v>14</v>
      </c>
      <c r="C551" s="4" t="s">
        <v>15</v>
      </c>
      <c r="D551" s="4" t="s">
        <v>16</v>
      </c>
      <c r="E551" s="4" t="s">
        <v>44</v>
      </c>
      <c r="F551" s="5" t="n">
        <v>1.7</v>
      </c>
      <c r="G551" s="6" t="n">
        <v>0</v>
      </c>
      <c r="H551" s="6" t="n">
        <v>0</v>
      </c>
      <c r="I551" s="6" t="n">
        <v>0</v>
      </c>
      <c r="J551" s="4" t="s">
        <v>18</v>
      </c>
      <c r="K551" s="4" t="s">
        <v>19</v>
      </c>
      <c r="L551" s="4" t="s">
        <v>20</v>
      </c>
    </row>
    <row r="552" customFormat="false" ht="22.35" hidden="false" customHeight="false" outlineLevel="0" collapsed="false">
      <c r="A552" s="7" t="s">
        <v>574</v>
      </c>
      <c r="B552" s="7" t="s">
        <v>14</v>
      </c>
      <c r="C552" s="7" t="s">
        <v>15</v>
      </c>
      <c r="D552" s="7" t="s">
        <v>16</v>
      </c>
      <c r="E552" s="7" t="s">
        <v>44</v>
      </c>
      <c r="F552" s="8" t="n">
        <v>1.67</v>
      </c>
      <c r="G552" s="9" t="n">
        <v>0</v>
      </c>
      <c r="H552" s="9" t="n">
        <v>0</v>
      </c>
      <c r="I552" s="9" t="n">
        <v>0</v>
      </c>
      <c r="J552" s="7" t="s">
        <v>18</v>
      </c>
      <c r="K552" s="7" t="s">
        <v>19</v>
      </c>
      <c r="L552" s="7" t="s">
        <v>20</v>
      </c>
    </row>
    <row r="553" customFormat="false" ht="22.35" hidden="false" customHeight="false" outlineLevel="0" collapsed="false">
      <c r="A553" s="4" t="s">
        <v>575</v>
      </c>
      <c r="B553" s="4" t="s">
        <v>14</v>
      </c>
      <c r="C553" s="4" t="s">
        <v>15</v>
      </c>
      <c r="D553" s="4" t="s">
        <v>16</v>
      </c>
      <c r="E553" s="4" t="s">
        <v>44</v>
      </c>
      <c r="F553" s="5" t="n">
        <v>0</v>
      </c>
      <c r="G553" s="6" t="n">
        <v>0</v>
      </c>
      <c r="H553" s="6" t="n">
        <v>0</v>
      </c>
      <c r="I553" s="6" t="n">
        <v>0</v>
      </c>
      <c r="J553" s="4" t="s">
        <v>18</v>
      </c>
      <c r="K553" s="4" t="s">
        <v>19</v>
      </c>
      <c r="L553" s="4" t="s">
        <v>20</v>
      </c>
    </row>
    <row r="554" customFormat="false" ht="22.35" hidden="false" customHeight="false" outlineLevel="0" collapsed="false">
      <c r="A554" s="7" t="s">
        <v>576</v>
      </c>
      <c r="B554" s="7" t="s">
        <v>14</v>
      </c>
      <c r="C554" s="7" t="s">
        <v>15</v>
      </c>
      <c r="D554" s="7" t="s">
        <v>16</v>
      </c>
      <c r="E554" s="7" t="s">
        <v>17</v>
      </c>
      <c r="F554" s="8" t="n">
        <v>0.19</v>
      </c>
      <c r="G554" s="9" t="n">
        <v>0</v>
      </c>
      <c r="H554" s="9" t="n">
        <v>0</v>
      </c>
      <c r="I554" s="9" t="n">
        <v>0</v>
      </c>
      <c r="J554" s="7" t="s">
        <v>18</v>
      </c>
      <c r="K554" s="7" t="s">
        <v>19</v>
      </c>
      <c r="L554" s="7" t="s">
        <v>20</v>
      </c>
    </row>
    <row r="555" customFormat="false" ht="22.35" hidden="false" customHeight="false" outlineLevel="0" collapsed="false">
      <c r="A555" s="4" t="s">
        <v>577</v>
      </c>
      <c r="B555" s="4" t="s">
        <v>14</v>
      </c>
      <c r="C555" s="4" t="s">
        <v>15</v>
      </c>
      <c r="D555" s="4" t="s">
        <v>16</v>
      </c>
      <c r="E555" s="4" t="s">
        <v>17</v>
      </c>
      <c r="F555" s="5" t="n">
        <v>0.27</v>
      </c>
      <c r="G555" s="6" t="n">
        <v>0</v>
      </c>
      <c r="H555" s="6" t="n">
        <v>0</v>
      </c>
      <c r="I555" s="6" t="n">
        <v>0</v>
      </c>
      <c r="J555" s="4" t="s">
        <v>18</v>
      </c>
      <c r="K555" s="4" t="s">
        <v>19</v>
      </c>
      <c r="L555" s="4" t="s">
        <v>20</v>
      </c>
    </row>
    <row r="556" customFormat="false" ht="22.35" hidden="false" customHeight="false" outlineLevel="0" collapsed="false">
      <c r="A556" s="7" t="s">
        <v>578</v>
      </c>
      <c r="B556" s="7" t="s">
        <v>14</v>
      </c>
      <c r="C556" s="7" t="s">
        <v>15</v>
      </c>
      <c r="D556" s="7" t="s">
        <v>16</v>
      </c>
      <c r="E556" s="7" t="s">
        <v>17</v>
      </c>
      <c r="F556" s="8" t="n">
        <v>1.05</v>
      </c>
      <c r="G556" s="9" t="n">
        <v>0</v>
      </c>
      <c r="H556" s="9" t="n">
        <v>0</v>
      </c>
      <c r="I556" s="9" t="n">
        <v>0</v>
      </c>
      <c r="J556" s="7" t="s">
        <v>18</v>
      </c>
      <c r="K556" s="7" t="s">
        <v>19</v>
      </c>
      <c r="L556" s="7" t="s">
        <v>20</v>
      </c>
    </row>
    <row r="557" customFormat="false" ht="22.35" hidden="false" customHeight="false" outlineLevel="0" collapsed="false">
      <c r="A557" s="4" t="s">
        <v>579</v>
      </c>
      <c r="B557" s="4" t="s">
        <v>14</v>
      </c>
      <c r="C557" s="4" t="s">
        <v>15</v>
      </c>
      <c r="D557" s="4" t="s">
        <v>16</v>
      </c>
      <c r="E557" s="4" t="s">
        <v>44</v>
      </c>
      <c r="F557" s="5" t="n">
        <v>0.51</v>
      </c>
      <c r="G557" s="6" t="n">
        <v>0</v>
      </c>
      <c r="H557" s="6" t="n">
        <v>0</v>
      </c>
      <c r="I557" s="6" t="n">
        <v>0</v>
      </c>
      <c r="J557" s="4" t="s">
        <v>18</v>
      </c>
      <c r="K557" s="4" t="s">
        <v>19</v>
      </c>
      <c r="L557" s="4" t="s">
        <v>20</v>
      </c>
    </row>
    <row r="558" customFormat="false" ht="22.35" hidden="false" customHeight="false" outlineLevel="0" collapsed="false">
      <c r="A558" s="7" t="s">
        <v>580</v>
      </c>
      <c r="B558" s="7" t="s">
        <v>14</v>
      </c>
      <c r="C558" s="7" t="s">
        <v>15</v>
      </c>
      <c r="D558" s="7" t="s">
        <v>16</v>
      </c>
      <c r="E558" s="7" t="s">
        <v>17</v>
      </c>
      <c r="F558" s="8" t="n">
        <v>0.15</v>
      </c>
      <c r="G558" s="9" t="n">
        <v>0</v>
      </c>
      <c r="H558" s="9" t="n">
        <v>0</v>
      </c>
      <c r="I558" s="9" t="n">
        <v>0</v>
      </c>
      <c r="J558" s="7" t="s">
        <v>18</v>
      </c>
      <c r="K558" s="7" t="s">
        <v>19</v>
      </c>
      <c r="L558" s="7" t="s">
        <v>20</v>
      </c>
    </row>
    <row r="559" customFormat="false" ht="22.35" hidden="false" customHeight="false" outlineLevel="0" collapsed="false">
      <c r="A559" s="4" t="s">
        <v>581</v>
      </c>
      <c r="B559" s="4" t="s">
        <v>14</v>
      </c>
      <c r="C559" s="4" t="s">
        <v>15</v>
      </c>
      <c r="D559" s="4" t="s">
        <v>16</v>
      </c>
      <c r="E559" s="4" t="s">
        <v>17</v>
      </c>
      <c r="F559" s="5" t="n">
        <v>3.76</v>
      </c>
      <c r="G559" s="6" t="n">
        <v>0</v>
      </c>
      <c r="H559" s="6" t="n">
        <v>0</v>
      </c>
      <c r="I559" s="6" t="n">
        <v>0</v>
      </c>
      <c r="J559" s="4" t="s">
        <v>18</v>
      </c>
      <c r="K559" s="4" t="s">
        <v>19</v>
      </c>
      <c r="L559" s="4" t="s">
        <v>20</v>
      </c>
    </row>
    <row r="560" customFormat="false" ht="22.35" hidden="false" customHeight="false" outlineLevel="0" collapsed="false">
      <c r="A560" s="7" t="s">
        <v>582</v>
      </c>
      <c r="B560" s="7" t="s">
        <v>14</v>
      </c>
      <c r="C560" s="7" t="s">
        <v>15</v>
      </c>
      <c r="D560" s="7" t="s">
        <v>16</v>
      </c>
      <c r="E560" s="7" t="s">
        <v>17</v>
      </c>
      <c r="F560" s="8" t="n">
        <v>0.09</v>
      </c>
      <c r="G560" s="9" t="n">
        <v>0</v>
      </c>
      <c r="H560" s="9" t="n">
        <v>0</v>
      </c>
      <c r="I560" s="9" t="n">
        <v>0</v>
      </c>
      <c r="J560" s="7" t="s">
        <v>18</v>
      </c>
      <c r="K560" s="7" t="s">
        <v>19</v>
      </c>
      <c r="L560" s="7" t="s">
        <v>20</v>
      </c>
    </row>
    <row r="561" customFormat="false" ht="22.35" hidden="false" customHeight="false" outlineLevel="0" collapsed="false">
      <c r="A561" s="4" t="s">
        <v>583</v>
      </c>
      <c r="B561" s="4" t="s">
        <v>14</v>
      </c>
      <c r="C561" s="4" t="s">
        <v>15</v>
      </c>
      <c r="D561" s="4" t="s">
        <v>16</v>
      </c>
      <c r="E561" s="4" t="s">
        <v>17</v>
      </c>
      <c r="F561" s="5" t="n">
        <v>0.26</v>
      </c>
      <c r="G561" s="6" t="n">
        <v>0</v>
      </c>
      <c r="H561" s="6" t="n">
        <v>0</v>
      </c>
      <c r="I561" s="6" t="n">
        <v>0</v>
      </c>
      <c r="J561" s="4" t="s">
        <v>18</v>
      </c>
      <c r="K561" s="4" t="s">
        <v>19</v>
      </c>
      <c r="L561" s="4" t="s">
        <v>20</v>
      </c>
    </row>
    <row r="562" customFormat="false" ht="22.35" hidden="false" customHeight="false" outlineLevel="0" collapsed="false">
      <c r="A562" s="7" t="s">
        <v>584</v>
      </c>
      <c r="B562" s="7" t="s">
        <v>14</v>
      </c>
      <c r="C562" s="7" t="s">
        <v>15</v>
      </c>
      <c r="D562" s="7" t="s">
        <v>16</v>
      </c>
      <c r="E562" s="7" t="s">
        <v>44</v>
      </c>
      <c r="F562" s="8" t="n">
        <v>0.72</v>
      </c>
      <c r="G562" s="9" t="n">
        <v>0</v>
      </c>
      <c r="H562" s="9" t="n">
        <v>0</v>
      </c>
      <c r="I562" s="9" t="n">
        <v>0</v>
      </c>
      <c r="J562" s="7" t="s">
        <v>18</v>
      </c>
      <c r="K562" s="7" t="s">
        <v>19</v>
      </c>
      <c r="L562" s="7" t="s">
        <v>20</v>
      </c>
    </row>
    <row r="563" customFormat="false" ht="22.35" hidden="false" customHeight="false" outlineLevel="0" collapsed="false">
      <c r="A563" s="4" t="s">
        <v>585</v>
      </c>
      <c r="B563" s="4" t="s">
        <v>14</v>
      </c>
      <c r="C563" s="4" t="s">
        <v>15</v>
      </c>
      <c r="D563" s="4" t="s">
        <v>16</v>
      </c>
      <c r="E563" s="4" t="s">
        <v>17</v>
      </c>
      <c r="F563" s="5" t="n">
        <v>1</v>
      </c>
      <c r="G563" s="6" t="n">
        <v>0</v>
      </c>
      <c r="H563" s="6" t="n">
        <v>0</v>
      </c>
      <c r="I563" s="6" t="n">
        <v>0</v>
      </c>
      <c r="J563" s="4" t="s">
        <v>18</v>
      </c>
      <c r="K563" s="4" t="s">
        <v>19</v>
      </c>
      <c r="L563" s="4" t="s">
        <v>20</v>
      </c>
    </row>
    <row r="564" customFormat="false" ht="22.35" hidden="false" customHeight="false" outlineLevel="0" collapsed="false">
      <c r="A564" s="7" t="s">
        <v>586</v>
      </c>
      <c r="B564" s="7" t="s">
        <v>14</v>
      </c>
      <c r="C564" s="7" t="s">
        <v>15</v>
      </c>
      <c r="D564" s="7" t="s">
        <v>16</v>
      </c>
      <c r="E564" s="7" t="s">
        <v>17</v>
      </c>
      <c r="F564" s="8" t="n">
        <v>1.06</v>
      </c>
      <c r="G564" s="9" t="n">
        <v>0</v>
      </c>
      <c r="H564" s="9" t="n">
        <v>0</v>
      </c>
      <c r="I564" s="9" t="n">
        <v>0</v>
      </c>
      <c r="J564" s="7" t="s">
        <v>18</v>
      </c>
      <c r="K564" s="7" t="s">
        <v>19</v>
      </c>
      <c r="L564" s="7" t="s">
        <v>20</v>
      </c>
    </row>
    <row r="565" customFormat="false" ht="22.35" hidden="false" customHeight="false" outlineLevel="0" collapsed="false">
      <c r="A565" s="4" t="s">
        <v>587</v>
      </c>
      <c r="B565" s="4" t="s">
        <v>14</v>
      </c>
      <c r="C565" s="4" t="s">
        <v>15</v>
      </c>
      <c r="D565" s="4" t="s">
        <v>16</v>
      </c>
      <c r="E565" s="4" t="s">
        <v>17</v>
      </c>
      <c r="F565" s="5" t="n">
        <v>0.92</v>
      </c>
      <c r="G565" s="6" t="n">
        <v>0</v>
      </c>
      <c r="H565" s="6" t="n">
        <v>0</v>
      </c>
      <c r="I565" s="6" t="n">
        <v>0</v>
      </c>
      <c r="J565" s="4" t="s">
        <v>18</v>
      </c>
      <c r="K565" s="4" t="s">
        <v>19</v>
      </c>
      <c r="L565" s="4" t="s">
        <v>20</v>
      </c>
    </row>
    <row r="566" customFormat="false" ht="22.35" hidden="false" customHeight="false" outlineLevel="0" collapsed="false">
      <c r="A566" s="7" t="s">
        <v>588</v>
      </c>
      <c r="B566" s="7" t="s">
        <v>14</v>
      </c>
      <c r="C566" s="7" t="s">
        <v>15</v>
      </c>
      <c r="D566" s="7" t="s">
        <v>16</v>
      </c>
      <c r="E566" s="7" t="s">
        <v>17</v>
      </c>
      <c r="F566" s="8" t="n">
        <v>0.07</v>
      </c>
      <c r="G566" s="9" t="n">
        <v>0</v>
      </c>
      <c r="H566" s="9" t="n">
        <v>0</v>
      </c>
      <c r="I566" s="9" t="n">
        <v>0</v>
      </c>
      <c r="J566" s="7" t="s">
        <v>18</v>
      </c>
      <c r="K566" s="7" t="s">
        <v>19</v>
      </c>
      <c r="L566" s="7" t="s">
        <v>20</v>
      </c>
    </row>
    <row r="567" customFormat="false" ht="22.35" hidden="false" customHeight="false" outlineLevel="0" collapsed="false">
      <c r="A567" s="4" t="s">
        <v>589</v>
      </c>
      <c r="B567" s="4" t="s">
        <v>14</v>
      </c>
      <c r="C567" s="4" t="s">
        <v>15</v>
      </c>
      <c r="D567" s="4" t="s">
        <v>16</v>
      </c>
      <c r="E567" s="4" t="s">
        <v>17</v>
      </c>
      <c r="F567" s="5" t="n">
        <v>1.27</v>
      </c>
      <c r="G567" s="6" t="n">
        <v>0</v>
      </c>
      <c r="H567" s="6" t="n">
        <v>0</v>
      </c>
      <c r="I567" s="6" t="n">
        <v>0</v>
      </c>
      <c r="J567" s="4" t="s">
        <v>18</v>
      </c>
      <c r="K567" s="4" t="s">
        <v>19</v>
      </c>
      <c r="L567" s="4" t="s">
        <v>20</v>
      </c>
    </row>
    <row r="568" customFormat="false" ht="22.35" hidden="false" customHeight="false" outlineLevel="0" collapsed="false">
      <c r="A568" s="7" t="s">
        <v>590</v>
      </c>
      <c r="B568" s="7" t="s">
        <v>14</v>
      </c>
      <c r="C568" s="7" t="s">
        <v>15</v>
      </c>
      <c r="D568" s="7" t="s">
        <v>16</v>
      </c>
      <c r="E568" s="7" t="s">
        <v>17</v>
      </c>
      <c r="F568" s="8" t="n">
        <v>2.99</v>
      </c>
      <c r="G568" s="9" t="n">
        <v>0</v>
      </c>
      <c r="H568" s="9" t="n">
        <v>0</v>
      </c>
      <c r="I568" s="9" t="n">
        <v>0</v>
      </c>
      <c r="J568" s="7" t="s">
        <v>18</v>
      </c>
      <c r="K568" s="7" t="s">
        <v>19</v>
      </c>
      <c r="L568" s="7" t="s">
        <v>20</v>
      </c>
    </row>
    <row r="569" customFormat="false" ht="22.35" hidden="false" customHeight="false" outlineLevel="0" collapsed="false">
      <c r="A569" s="4" t="s">
        <v>591</v>
      </c>
      <c r="B569" s="4" t="s">
        <v>14</v>
      </c>
      <c r="C569" s="4" t="s">
        <v>15</v>
      </c>
      <c r="D569" s="4" t="s">
        <v>16</v>
      </c>
      <c r="E569" s="4" t="s">
        <v>17</v>
      </c>
      <c r="F569" s="5" t="n">
        <v>4.97</v>
      </c>
      <c r="G569" s="6" t="n">
        <v>0</v>
      </c>
      <c r="H569" s="6" t="n">
        <v>0</v>
      </c>
      <c r="I569" s="6" t="n">
        <v>0</v>
      </c>
      <c r="J569" s="4" t="s">
        <v>18</v>
      </c>
      <c r="K569" s="4" t="s">
        <v>19</v>
      </c>
      <c r="L569" s="4" t="s">
        <v>20</v>
      </c>
    </row>
    <row r="570" customFormat="false" ht="22.35" hidden="false" customHeight="false" outlineLevel="0" collapsed="false">
      <c r="A570" s="7" t="s">
        <v>592</v>
      </c>
      <c r="B570" s="7" t="s">
        <v>14</v>
      </c>
      <c r="C570" s="7" t="s">
        <v>15</v>
      </c>
      <c r="D570" s="7" t="s">
        <v>16</v>
      </c>
      <c r="E570" s="7" t="s">
        <v>17</v>
      </c>
      <c r="F570" s="8" t="n">
        <v>2.97</v>
      </c>
      <c r="G570" s="9" t="n">
        <v>0</v>
      </c>
      <c r="H570" s="9" t="n">
        <v>0</v>
      </c>
      <c r="I570" s="9" t="n">
        <v>0</v>
      </c>
      <c r="J570" s="7" t="s">
        <v>18</v>
      </c>
      <c r="K570" s="7" t="s">
        <v>19</v>
      </c>
      <c r="L570" s="7" t="s">
        <v>20</v>
      </c>
    </row>
    <row r="571" customFormat="false" ht="22.35" hidden="false" customHeight="false" outlineLevel="0" collapsed="false">
      <c r="A571" s="4" t="s">
        <v>593</v>
      </c>
      <c r="B571" s="4" t="s">
        <v>14</v>
      </c>
      <c r="C571" s="4" t="s">
        <v>15</v>
      </c>
      <c r="D571" s="4" t="s">
        <v>16</v>
      </c>
      <c r="E571" s="4" t="s">
        <v>44</v>
      </c>
      <c r="F571" s="5" t="n">
        <v>1.45</v>
      </c>
      <c r="G571" s="6" t="n">
        <v>0</v>
      </c>
      <c r="H571" s="6" t="n">
        <v>0</v>
      </c>
      <c r="I571" s="6" t="n">
        <v>0</v>
      </c>
      <c r="J571" s="4" t="s">
        <v>18</v>
      </c>
      <c r="K571" s="4" t="s">
        <v>19</v>
      </c>
      <c r="L571" s="4" t="s">
        <v>20</v>
      </c>
    </row>
    <row r="572" customFormat="false" ht="22.35" hidden="false" customHeight="false" outlineLevel="0" collapsed="false">
      <c r="A572" s="7" t="s">
        <v>594</v>
      </c>
      <c r="B572" s="7" t="s">
        <v>14</v>
      </c>
      <c r="C572" s="7" t="s">
        <v>15</v>
      </c>
      <c r="D572" s="7" t="s">
        <v>16</v>
      </c>
      <c r="E572" s="7" t="s">
        <v>44</v>
      </c>
      <c r="F572" s="8" t="n">
        <v>2.36</v>
      </c>
      <c r="G572" s="9" t="n">
        <v>0</v>
      </c>
      <c r="H572" s="9" t="n">
        <v>0</v>
      </c>
      <c r="I572" s="9" t="n">
        <v>0</v>
      </c>
      <c r="J572" s="7" t="s">
        <v>18</v>
      </c>
      <c r="K572" s="7" t="s">
        <v>19</v>
      </c>
      <c r="L572" s="7" t="s">
        <v>20</v>
      </c>
    </row>
    <row r="573" customFormat="false" ht="22.35" hidden="false" customHeight="false" outlineLevel="0" collapsed="false">
      <c r="A573" s="4" t="s">
        <v>595</v>
      </c>
      <c r="B573" s="4" t="s">
        <v>14</v>
      </c>
      <c r="C573" s="4" t="s">
        <v>15</v>
      </c>
      <c r="D573" s="4" t="s">
        <v>16</v>
      </c>
      <c r="E573" s="4" t="s">
        <v>596</v>
      </c>
      <c r="F573" s="5" t="n">
        <v>3.3</v>
      </c>
      <c r="G573" s="6" t="n">
        <v>0</v>
      </c>
      <c r="H573" s="6" t="n">
        <v>0</v>
      </c>
      <c r="I573" s="6" t="n">
        <v>0</v>
      </c>
      <c r="J573" s="4" t="s">
        <v>18</v>
      </c>
      <c r="K573" s="4" t="s">
        <v>19</v>
      </c>
      <c r="L573" s="4" t="s">
        <v>20</v>
      </c>
    </row>
    <row r="574" customFormat="false" ht="22.35" hidden="false" customHeight="false" outlineLevel="0" collapsed="false">
      <c r="A574" s="7" t="s">
        <v>597</v>
      </c>
      <c r="B574" s="7" t="s">
        <v>14</v>
      </c>
      <c r="C574" s="7" t="s">
        <v>15</v>
      </c>
      <c r="D574" s="7" t="s">
        <v>16</v>
      </c>
      <c r="E574" s="7" t="s">
        <v>17</v>
      </c>
      <c r="F574" s="8" t="n">
        <v>0.16</v>
      </c>
      <c r="G574" s="9" t="n">
        <v>0</v>
      </c>
      <c r="H574" s="9" t="n">
        <v>0</v>
      </c>
      <c r="I574" s="9" t="n">
        <v>0</v>
      </c>
      <c r="J574" s="7" t="s">
        <v>18</v>
      </c>
      <c r="K574" s="7" t="s">
        <v>19</v>
      </c>
      <c r="L574" s="7" t="s">
        <v>20</v>
      </c>
    </row>
    <row r="575" customFormat="false" ht="22.35" hidden="false" customHeight="false" outlineLevel="0" collapsed="false">
      <c r="A575" s="4" t="s">
        <v>598</v>
      </c>
      <c r="B575" s="4" t="s">
        <v>14</v>
      </c>
      <c r="C575" s="4" t="s">
        <v>15</v>
      </c>
      <c r="D575" s="4" t="s">
        <v>16</v>
      </c>
      <c r="E575" s="4" t="s">
        <v>596</v>
      </c>
      <c r="F575" s="5" t="n">
        <v>0.475</v>
      </c>
      <c r="G575" s="6" t="n">
        <v>0</v>
      </c>
      <c r="H575" s="6" t="n">
        <v>0</v>
      </c>
      <c r="I575" s="6" t="n">
        <v>0</v>
      </c>
      <c r="J575" s="4" t="s">
        <v>18</v>
      </c>
      <c r="K575" s="4" t="s">
        <v>19</v>
      </c>
      <c r="L575" s="4" t="s">
        <v>20</v>
      </c>
    </row>
    <row r="576" customFormat="false" ht="22.35" hidden="false" customHeight="false" outlineLevel="0" collapsed="false">
      <c r="A576" s="7" t="s">
        <v>599</v>
      </c>
      <c r="B576" s="7" t="s">
        <v>14</v>
      </c>
      <c r="C576" s="7" t="s">
        <v>15</v>
      </c>
      <c r="D576" s="7" t="s">
        <v>16</v>
      </c>
      <c r="E576" s="7" t="s">
        <v>596</v>
      </c>
      <c r="F576" s="8" t="n">
        <v>0.821</v>
      </c>
      <c r="G576" s="9" t="n">
        <v>0</v>
      </c>
      <c r="H576" s="9" t="n">
        <v>0</v>
      </c>
      <c r="I576" s="9" t="n">
        <v>0</v>
      </c>
      <c r="J576" s="7" t="s">
        <v>18</v>
      </c>
      <c r="K576" s="7" t="s">
        <v>19</v>
      </c>
      <c r="L576" s="7" t="s">
        <v>20</v>
      </c>
    </row>
    <row r="577" customFormat="false" ht="22.35" hidden="false" customHeight="false" outlineLevel="0" collapsed="false">
      <c r="A577" s="4" t="s">
        <v>600</v>
      </c>
      <c r="B577" s="4" t="s">
        <v>14</v>
      </c>
      <c r="C577" s="4" t="s">
        <v>15</v>
      </c>
      <c r="D577" s="4" t="s">
        <v>16</v>
      </c>
      <c r="E577" s="4" t="s">
        <v>596</v>
      </c>
      <c r="F577" s="5" t="n">
        <v>0.87</v>
      </c>
      <c r="G577" s="6" t="n">
        <v>0</v>
      </c>
      <c r="H577" s="6" t="n">
        <v>0</v>
      </c>
      <c r="I577" s="6" t="n">
        <v>0</v>
      </c>
      <c r="J577" s="4" t="s">
        <v>18</v>
      </c>
      <c r="K577" s="4" t="s">
        <v>19</v>
      </c>
      <c r="L577" s="4" t="s">
        <v>20</v>
      </c>
    </row>
    <row r="578" customFormat="false" ht="22.35" hidden="false" customHeight="false" outlineLevel="0" collapsed="false">
      <c r="A578" s="7" t="s">
        <v>601</v>
      </c>
      <c r="B578" s="7" t="s">
        <v>14</v>
      </c>
      <c r="C578" s="7" t="s">
        <v>15</v>
      </c>
      <c r="D578" s="7" t="s">
        <v>16</v>
      </c>
      <c r="E578" s="7" t="s">
        <v>17</v>
      </c>
      <c r="F578" s="8" t="n">
        <v>0.07</v>
      </c>
      <c r="G578" s="9" t="n">
        <v>0</v>
      </c>
      <c r="H578" s="9" t="n">
        <v>0</v>
      </c>
      <c r="I578" s="9" t="n">
        <v>0</v>
      </c>
      <c r="J578" s="7" t="s">
        <v>18</v>
      </c>
      <c r="K578" s="7" t="s">
        <v>19</v>
      </c>
      <c r="L578" s="7" t="s">
        <v>20</v>
      </c>
    </row>
    <row r="579" customFormat="false" ht="22.35" hidden="false" customHeight="false" outlineLevel="0" collapsed="false">
      <c r="A579" s="4" t="s">
        <v>602</v>
      </c>
      <c r="B579" s="4" t="s">
        <v>14</v>
      </c>
      <c r="C579" s="4" t="s">
        <v>15</v>
      </c>
      <c r="D579" s="4" t="s">
        <v>16</v>
      </c>
      <c r="E579" s="4" t="s">
        <v>17</v>
      </c>
      <c r="F579" s="5" t="n">
        <v>0.06</v>
      </c>
      <c r="G579" s="6" t="n">
        <v>0</v>
      </c>
      <c r="H579" s="6" t="n">
        <v>0</v>
      </c>
      <c r="I579" s="6" t="n">
        <v>0</v>
      </c>
      <c r="J579" s="4" t="s">
        <v>18</v>
      </c>
      <c r="K579" s="4" t="s">
        <v>19</v>
      </c>
      <c r="L579" s="4" t="s">
        <v>20</v>
      </c>
    </row>
    <row r="580" customFormat="false" ht="22.35" hidden="false" customHeight="false" outlineLevel="0" collapsed="false">
      <c r="A580" s="7" t="s">
        <v>603</v>
      </c>
      <c r="B580" s="7" t="s">
        <v>14</v>
      </c>
      <c r="C580" s="7" t="s">
        <v>15</v>
      </c>
      <c r="D580" s="7" t="s">
        <v>16</v>
      </c>
      <c r="E580" s="7" t="s">
        <v>17</v>
      </c>
      <c r="F580" s="8" t="n">
        <v>0.06</v>
      </c>
      <c r="G580" s="9" t="n">
        <v>0</v>
      </c>
      <c r="H580" s="9" t="n">
        <v>0</v>
      </c>
      <c r="I580" s="9" t="n">
        <v>0</v>
      </c>
      <c r="J580" s="7" t="s">
        <v>18</v>
      </c>
      <c r="K580" s="7" t="s">
        <v>19</v>
      </c>
      <c r="L580" s="7" t="s">
        <v>20</v>
      </c>
    </row>
    <row r="581" customFormat="false" ht="22.35" hidden="false" customHeight="false" outlineLevel="0" collapsed="false">
      <c r="A581" s="4" t="s">
        <v>604</v>
      </c>
      <c r="B581" s="4" t="s">
        <v>14</v>
      </c>
      <c r="C581" s="4" t="s">
        <v>15</v>
      </c>
      <c r="D581" s="4" t="s">
        <v>16</v>
      </c>
      <c r="E581" s="4" t="s">
        <v>17</v>
      </c>
      <c r="F581" s="5" t="n">
        <v>2.7</v>
      </c>
      <c r="G581" s="6" t="n">
        <v>0</v>
      </c>
      <c r="H581" s="6" t="n">
        <v>0</v>
      </c>
      <c r="I581" s="6" t="n">
        <v>0</v>
      </c>
      <c r="J581" s="4" t="s">
        <v>18</v>
      </c>
      <c r="K581" s="4" t="s">
        <v>19</v>
      </c>
      <c r="L581" s="4" t="s">
        <v>20</v>
      </c>
    </row>
    <row r="582" customFormat="false" ht="22.35" hidden="false" customHeight="false" outlineLevel="0" collapsed="false">
      <c r="A582" s="7" t="s">
        <v>605</v>
      </c>
      <c r="B582" s="7" t="s">
        <v>14</v>
      </c>
      <c r="C582" s="7" t="s">
        <v>15</v>
      </c>
      <c r="D582" s="7" t="s">
        <v>16</v>
      </c>
      <c r="E582" s="7" t="s">
        <v>17</v>
      </c>
      <c r="F582" s="8" t="n">
        <v>6.6</v>
      </c>
      <c r="G582" s="9" t="n">
        <v>0</v>
      </c>
      <c r="H582" s="9" t="n">
        <v>0</v>
      </c>
      <c r="I582" s="9" t="n">
        <v>0</v>
      </c>
      <c r="J582" s="7" t="s">
        <v>18</v>
      </c>
      <c r="K582" s="7" t="s">
        <v>19</v>
      </c>
      <c r="L582" s="7" t="s">
        <v>20</v>
      </c>
    </row>
    <row r="583" customFormat="false" ht="22.35" hidden="false" customHeight="false" outlineLevel="0" collapsed="false">
      <c r="A583" s="4" t="s">
        <v>606</v>
      </c>
      <c r="B583" s="4" t="s">
        <v>14</v>
      </c>
      <c r="C583" s="4" t="s">
        <v>15</v>
      </c>
      <c r="D583" s="4" t="s">
        <v>16</v>
      </c>
      <c r="E583" s="4" t="s">
        <v>17</v>
      </c>
      <c r="F583" s="5" t="n">
        <v>0.2</v>
      </c>
      <c r="G583" s="6" t="n">
        <v>0</v>
      </c>
      <c r="H583" s="6" t="n">
        <v>0</v>
      </c>
      <c r="I583" s="6" t="n">
        <v>0</v>
      </c>
      <c r="J583" s="4" t="s">
        <v>18</v>
      </c>
      <c r="K583" s="4" t="s">
        <v>19</v>
      </c>
      <c r="L583" s="4" t="s">
        <v>20</v>
      </c>
    </row>
    <row r="584" customFormat="false" ht="22.35" hidden="false" customHeight="false" outlineLevel="0" collapsed="false">
      <c r="A584" s="7" t="s">
        <v>607</v>
      </c>
      <c r="B584" s="7" t="s">
        <v>14</v>
      </c>
      <c r="C584" s="7" t="s">
        <v>15</v>
      </c>
      <c r="D584" s="7" t="s">
        <v>16</v>
      </c>
      <c r="E584" s="7" t="s">
        <v>17</v>
      </c>
      <c r="F584" s="8" t="n">
        <v>0.31</v>
      </c>
      <c r="G584" s="9" t="n">
        <v>0</v>
      </c>
      <c r="H584" s="9" t="n">
        <v>0</v>
      </c>
      <c r="I584" s="9" t="n">
        <v>0</v>
      </c>
      <c r="J584" s="7" t="s">
        <v>18</v>
      </c>
      <c r="K584" s="7" t="s">
        <v>19</v>
      </c>
      <c r="L584" s="7" t="s">
        <v>20</v>
      </c>
    </row>
    <row r="585" customFormat="false" ht="22.35" hidden="false" customHeight="false" outlineLevel="0" collapsed="false">
      <c r="A585" s="4" t="s">
        <v>608</v>
      </c>
      <c r="B585" s="4" t="s">
        <v>14</v>
      </c>
      <c r="C585" s="4" t="s">
        <v>15</v>
      </c>
      <c r="D585" s="4" t="s">
        <v>16</v>
      </c>
      <c r="E585" s="4" t="s">
        <v>17</v>
      </c>
      <c r="F585" s="5" t="n">
        <v>0.09</v>
      </c>
      <c r="G585" s="6" t="n">
        <v>0</v>
      </c>
      <c r="H585" s="6" t="n">
        <v>0</v>
      </c>
      <c r="I585" s="6" t="n">
        <v>0</v>
      </c>
      <c r="J585" s="4" t="s">
        <v>18</v>
      </c>
      <c r="K585" s="4" t="s">
        <v>19</v>
      </c>
      <c r="L585" s="4" t="s">
        <v>20</v>
      </c>
    </row>
    <row r="586" customFormat="false" ht="22.35" hidden="false" customHeight="false" outlineLevel="0" collapsed="false">
      <c r="A586" s="7" t="s">
        <v>609</v>
      </c>
      <c r="B586" s="7" t="s">
        <v>14</v>
      </c>
      <c r="C586" s="7" t="s">
        <v>15</v>
      </c>
      <c r="D586" s="7" t="s">
        <v>16</v>
      </c>
      <c r="E586" s="7" t="s">
        <v>17</v>
      </c>
      <c r="F586" s="8" t="n">
        <v>3.08</v>
      </c>
      <c r="G586" s="9" t="n">
        <v>0</v>
      </c>
      <c r="H586" s="9" t="n">
        <v>0</v>
      </c>
      <c r="I586" s="9" t="n">
        <v>0</v>
      </c>
      <c r="J586" s="7" t="s">
        <v>18</v>
      </c>
      <c r="K586" s="7" t="s">
        <v>19</v>
      </c>
      <c r="L586" s="7" t="s">
        <v>20</v>
      </c>
    </row>
    <row r="587" customFormat="false" ht="22.35" hidden="false" customHeight="false" outlineLevel="0" collapsed="false">
      <c r="A587" s="4" t="s">
        <v>610</v>
      </c>
      <c r="B587" s="4" t="s">
        <v>14</v>
      </c>
      <c r="C587" s="4" t="s">
        <v>15</v>
      </c>
      <c r="D587" s="4" t="s">
        <v>16</v>
      </c>
      <c r="E587" s="4" t="s">
        <v>17</v>
      </c>
      <c r="F587" s="5" t="n">
        <v>0.26</v>
      </c>
      <c r="G587" s="6" t="n">
        <v>0</v>
      </c>
      <c r="H587" s="6" t="n">
        <v>0</v>
      </c>
      <c r="I587" s="6" t="n">
        <v>0</v>
      </c>
      <c r="J587" s="4" t="s">
        <v>18</v>
      </c>
      <c r="K587" s="4" t="s">
        <v>19</v>
      </c>
      <c r="L587" s="4" t="s">
        <v>20</v>
      </c>
    </row>
    <row r="588" customFormat="false" ht="22.35" hidden="false" customHeight="false" outlineLevel="0" collapsed="false">
      <c r="A588" s="7" t="s">
        <v>611</v>
      </c>
      <c r="B588" s="7" t="s">
        <v>14</v>
      </c>
      <c r="C588" s="7" t="s">
        <v>15</v>
      </c>
      <c r="D588" s="7" t="s">
        <v>16</v>
      </c>
      <c r="E588" s="7" t="s">
        <v>17</v>
      </c>
      <c r="F588" s="8" t="n">
        <v>1.72</v>
      </c>
      <c r="G588" s="9" t="n">
        <v>0</v>
      </c>
      <c r="H588" s="9" t="n">
        <v>0</v>
      </c>
      <c r="I588" s="9" t="n">
        <v>0</v>
      </c>
      <c r="J588" s="7" t="s">
        <v>18</v>
      </c>
      <c r="K588" s="7" t="s">
        <v>19</v>
      </c>
      <c r="L588" s="7" t="s">
        <v>20</v>
      </c>
    </row>
    <row r="589" customFormat="false" ht="22.35" hidden="false" customHeight="false" outlineLevel="0" collapsed="false">
      <c r="A589" s="4" t="s">
        <v>612</v>
      </c>
      <c r="B589" s="4" t="s">
        <v>14</v>
      </c>
      <c r="C589" s="4" t="s">
        <v>15</v>
      </c>
      <c r="D589" s="4" t="s">
        <v>16</v>
      </c>
      <c r="E589" s="4" t="s">
        <v>17</v>
      </c>
      <c r="F589" s="5" t="n">
        <v>35</v>
      </c>
      <c r="G589" s="6" t="n">
        <v>0</v>
      </c>
      <c r="H589" s="6" t="n">
        <v>0</v>
      </c>
      <c r="I589" s="6" t="n">
        <v>0</v>
      </c>
      <c r="J589" s="4" t="s">
        <v>18</v>
      </c>
      <c r="K589" s="4" t="s">
        <v>19</v>
      </c>
      <c r="L589" s="4" t="s">
        <v>20</v>
      </c>
    </row>
    <row r="590" customFormat="false" ht="22.35" hidden="false" customHeight="false" outlineLevel="0" collapsed="false">
      <c r="A590" s="7" t="s">
        <v>613</v>
      </c>
      <c r="B590" s="7" t="s">
        <v>14</v>
      </c>
      <c r="C590" s="7" t="s">
        <v>15</v>
      </c>
      <c r="D590" s="7" t="s">
        <v>16</v>
      </c>
      <c r="E590" s="7" t="s">
        <v>17</v>
      </c>
      <c r="F590" s="8" t="n">
        <v>0.35</v>
      </c>
      <c r="G590" s="9" t="n">
        <v>0</v>
      </c>
      <c r="H590" s="9" t="n">
        <v>0</v>
      </c>
      <c r="I590" s="9" t="n">
        <v>0</v>
      </c>
      <c r="J590" s="7" t="s">
        <v>18</v>
      </c>
      <c r="K590" s="7" t="s">
        <v>19</v>
      </c>
      <c r="L590" s="7" t="s">
        <v>20</v>
      </c>
    </row>
    <row r="591" customFormat="false" ht="22.35" hidden="false" customHeight="false" outlineLevel="0" collapsed="false">
      <c r="A591" s="4" t="s">
        <v>614</v>
      </c>
      <c r="B591" s="4" t="s">
        <v>14</v>
      </c>
      <c r="C591" s="4" t="s">
        <v>15</v>
      </c>
      <c r="D591" s="4" t="s">
        <v>16</v>
      </c>
      <c r="E591" s="4" t="s">
        <v>17</v>
      </c>
      <c r="F591" s="5" t="n">
        <v>0.54</v>
      </c>
      <c r="G591" s="6" t="n">
        <v>0</v>
      </c>
      <c r="H591" s="6" t="n">
        <v>0</v>
      </c>
      <c r="I591" s="6" t="n">
        <v>0</v>
      </c>
      <c r="J591" s="4" t="s">
        <v>18</v>
      </c>
      <c r="K591" s="4" t="s">
        <v>19</v>
      </c>
      <c r="L591" s="4" t="s">
        <v>20</v>
      </c>
    </row>
    <row r="592" customFormat="false" ht="22.35" hidden="false" customHeight="false" outlineLevel="0" collapsed="false">
      <c r="A592" s="7" t="s">
        <v>615</v>
      </c>
      <c r="B592" s="7" t="s">
        <v>14</v>
      </c>
      <c r="C592" s="7" t="s">
        <v>15</v>
      </c>
      <c r="D592" s="7" t="s">
        <v>16</v>
      </c>
      <c r="E592" s="7" t="s">
        <v>17</v>
      </c>
      <c r="F592" s="8" t="n">
        <v>0.79</v>
      </c>
      <c r="G592" s="9" t="n">
        <v>0</v>
      </c>
      <c r="H592" s="9" t="n">
        <v>0</v>
      </c>
      <c r="I592" s="9" t="n">
        <v>0</v>
      </c>
      <c r="J592" s="7" t="s">
        <v>18</v>
      </c>
      <c r="K592" s="7" t="s">
        <v>19</v>
      </c>
      <c r="L592" s="7" t="s">
        <v>20</v>
      </c>
    </row>
    <row r="593" customFormat="false" ht="22.35" hidden="false" customHeight="false" outlineLevel="0" collapsed="false">
      <c r="A593" s="4" t="s">
        <v>616</v>
      </c>
      <c r="B593" s="4" t="s">
        <v>14</v>
      </c>
      <c r="C593" s="4" t="s">
        <v>15</v>
      </c>
      <c r="D593" s="4" t="s">
        <v>16</v>
      </c>
      <c r="E593" s="4" t="s">
        <v>17</v>
      </c>
      <c r="F593" s="5" t="n">
        <v>3.48</v>
      </c>
      <c r="G593" s="6" t="n">
        <v>0</v>
      </c>
      <c r="H593" s="6" t="n">
        <v>0</v>
      </c>
      <c r="I593" s="6" t="n">
        <v>0</v>
      </c>
      <c r="J593" s="4" t="s">
        <v>18</v>
      </c>
      <c r="K593" s="4" t="s">
        <v>19</v>
      </c>
      <c r="L593" s="4" t="s">
        <v>20</v>
      </c>
    </row>
    <row r="594" customFormat="false" ht="22.35" hidden="false" customHeight="false" outlineLevel="0" collapsed="false">
      <c r="A594" s="7" t="s">
        <v>617</v>
      </c>
      <c r="B594" s="7" t="s">
        <v>14</v>
      </c>
      <c r="C594" s="7" t="s">
        <v>15</v>
      </c>
      <c r="D594" s="7" t="s">
        <v>16</v>
      </c>
      <c r="E594" s="7" t="s">
        <v>17</v>
      </c>
      <c r="F594" s="8" t="n">
        <v>0.47</v>
      </c>
      <c r="G594" s="9" t="n">
        <v>0</v>
      </c>
      <c r="H594" s="9" t="n">
        <v>0</v>
      </c>
      <c r="I594" s="9" t="n">
        <v>0</v>
      </c>
      <c r="J594" s="7" t="s">
        <v>18</v>
      </c>
      <c r="K594" s="7" t="s">
        <v>19</v>
      </c>
      <c r="L594" s="7" t="s">
        <v>20</v>
      </c>
    </row>
    <row r="595" customFormat="false" ht="22.35" hidden="false" customHeight="false" outlineLevel="0" collapsed="false">
      <c r="A595" s="4" t="s">
        <v>618</v>
      </c>
      <c r="B595" s="4" t="s">
        <v>14</v>
      </c>
      <c r="C595" s="4" t="s">
        <v>15</v>
      </c>
      <c r="D595" s="4" t="s">
        <v>16</v>
      </c>
      <c r="E595" s="4" t="s">
        <v>17</v>
      </c>
      <c r="F595" s="5" t="n">
        <v>5.28</v>
      </c>
      <c r="G595" s="6" t="n">
        <v>0</v>
      </c>
      <c r="H595" s="6" t="n">
        <v>0</v>
      </c>
      <c r="I595" s="6" t="n">
        <v>0</v>
      </c>
      <c r="J595" s="4" t="s">
        <v>18</v>
      </c>
      <c r="K595" s="4" t="s">
        <v>19</v>
      </c>
      <c r="L595" s="4" t="s">
        <v>20</v>
      </c>
    </row>
    <row r="596" customFormat="false" ht="22.35" hidden="false" customHeight="false" outlineLevel="0" collapsed="false">
      <c r="A596" s="7" t="s">
        <v>619</v>
      </c>
      <c r="B596" s="7" t="s">
        <v>14</v>
      </c>
      <c r="C596" s="7" t="s">
        <v>15</v>
      </c>
      <c r="D596" s="7" t="s">
        <v>16</v>
      </c>
      <c r="E596" s="7" t="s">
        <v>17</v>
      </c>
      <c r="F596" s="8" t="n">
        <v>1.24</v>
      </c>
      <c r="G596" s="9" t="n">
        <v>0</v>
      </c>
      <c r="H596" s="9" t="n">
        <v>0</v>
      </c>
      <c r="I596" s="9" t="n">
        <v>0</v>
      </c>
      <c r="J596" s="7" t="s">
        <v>18</v>
      </c>
      <c r="K596" s="7" t="s">
        <v>19</v>
      </c>
      <c r="L596" s="7" t="s">
        <v>20</v>
      </c>
    </row>
    <row r="597" customFormat="false" ht="22.35" hidden="false" customHeight="false" outlineLevel="0" collapsed="false">
      <c r="A597" s="4" t="s">
        <v>620</v>
      </c>
      <c r="B597" s="4" t="s">
        <v>14</v>
      </c>
      <c r="C597" s="4" t="s">
        <v>15</v>
      </c>
      <c r="D597" s="4" t="s">
        <v>16</v>
      </c>
      <c r="E597" s="4" t="s">
        <v>17</v>
      </c>
      <c r="F597" s="5" t="n">
        <v>1.79</v>
      </c>
      <c r="G597" s="6" t="n">
        <v>0</v>
      </c>
      <c r="H597" s="6" t="n">
        <v>0</v>
      </c>
      <c r="I597" s="6" t="n">
        <v>0</v>
      </c>
      <c r="J597" s="4" t="s">
        <v>18</v>
      </c>
      <c r="K597" s="4" t="s">
        <v>19</v>
      </c>
      <c r="L597" s="4" t="s">
        <v>20</v>
      </c>
    </row>
    <row r="598" customFormat="false" ht="22.35" hidden="false" customHeight="false" outlineLevel="0" collapsed="false">
      <c r="A598" s="7" t="s">
        <v>621</v>
      </c>
      <c r="B598" s="7" t="s">
        <v>14</v>
      </c>
      <c r="C598" s="7" t="s">
        <v>15</v>
      </c>
      <c r="D598" s="7" t="s">
        <v>16</v>
      </c>
      <c r="E598" s="7" t="s">
        <v>17</v>
      </c>
      <c r="F598" s="8" t="n">
        <v>0.36</v>
      </c>
      <c r="G598" s="9" t="n">
        <v>0</v>
      </c>
      <c r="H598" s="9" t="n">
        <v>0</v>
      </c>
      <c r="I598" s="9" t="n">
        <v>0</v>
      </c>
      <c r="J598" s="7" t="s">
        <v>18</v>
      </c>
      <c r="K598" s="7" t="s">
        <v>19</v>
      </c>
      <c r="L598" s="7" t="s">
        <v>20</v>
      </c>
    </row>
    <row r="599" customFormat="false" ht="22.35" hidden="false" customHeight="false" outlineLevel="0" collapsed="false">
      <c r="A599" s="4" t="s">
        <v>622</v>
      </c>
      <c r="B599" s="4" t="s">
        <v>14</v>
      </c>
      <c r="C599" s="4" t="s">
        <v>15</v>
      </c>
      <c r="D599" s="4" t="s">
        <v>16</v>
      </c>
      <c r="E599" s="4" t="s">
        <v>17</v>
      </c>
      <c r="F599" s="5" t="n">
        <v>0</v>
      </c>
      <c r="G599" s="6" t="n">
        <v>0</v>
      </c>
      <c r="H599" s="6" t="n">
        <v>0</v>
      </c>
      <c r="I599" s="6" t="n">
        <v>0</v>
      </c>
      <c r="J599" s="4" t="s">
        <v>18</v>
      </c>
      <c r="K599" s="4" t="s">
        <v>19</v>
      </c>
      <c r="L599" s="4" t="s">
        <v>20</v>
      </c>
    </row>
    <row r="600" customFormat="false" ht="22.35" hidden="false" customHeight="false" outlineLevel="0" collapsed="false">
      <c r="A600" s="7" t="s">
        <v>623</v>
      </c>
      <c r="B600" s="7" t="s">
        <v>14</v>
      </c>
      <c r="C600" s="7" t="s">
        <v>15</v>
      </c>
      <c r="D600" s="7" t="s">
        <v>16</v>
      </c>
      <c r="E600" s="7" t="s">
        <v>17</v>
      </c>
      <c r="F600" s="8" t="n">
        <v>0.29</v>
      </c>
      <c r="G600" s="9" t="n">
        <v>0</v>
      </c>
      <c r="H600" s="9" t="n">
        <v>0</v>
      </c>
      <c r="I600" s="9" t="n">
        <v>0</v>
      </c>
      <c r="J600" s="7" t="s">
        <v>18</v>
      </c>
      <c r="K600" s="7" t="s">
        <v>19</v>
      </c>
      <c r="L600" s="7" t="s">
        <v>20</v>
      </c>
    </row>
    <row r="601" customFormat="false" ht="22.35" hidden="false" customHeight="false" outlineLevel="0" collapsed="false">
      <c r="A601" s="4" t="s">
        <v>624</v>
      </c>
      <c r="B601" s="4" t="s">
        <v>14</v>
      </c>
      <c r="C601" s="4" t="s">
        <v>15</v>
      </c>
      <c r="D601" s="4" t="s">
        <v>16</v>
      </c>
      <c r="E601" s="4" t="s">
        <v>17</v>
      </c>
      <c r="F601" s="5" t="n">
        <v>6.36</v>
      </c>
      <c r="G601" s="6" t="n">
        <v>0</v>
      </c>
      <c r="H601" s="6" t="n">
        <v>0</v>
      </c>
      <c r="I601" s="6" t="n">
        <v>0</v>
      </c>
      <c r="J601" s="4" t="s">
        <v>18</v>
      </c>
      <c r="K601" s="4" t="s">
        <v>19</v>
      </c>
      <c r="L601" s="4" t="s">
        <v>20</v>
      </c>
    </row>
    <row r="602" customFormat="false" ht="22.35" hidden="false" customHeight="false" outlineLevel="0" collapsed="false">
      <c r="A602" s="7" t="s">
        <v>625</v>
      </c>
      <c r="B602" s="7" t="s">
        <v>14</v>
      </c>
      <c r="C602" s="7" t="s">
        <v>15</v>
      </c>
      <c r="D602" s="7" t="s">
        <v>16</v>
      </c>
      <c r="E602" s="7" t="s">
        <v>17</v>
      </c>
      <c r="F602" s="8" t="n">
        <v>0.5655</v>
      </c>
      <c r="G602" s="9" t="n">
        <v>0</v>
      </c>
      <c r="H602" s="9" t="n">
        <v>0</v>
      </c>
      <c r="I602" s="9" t="n">
        <v>0</v>
      </c>
      <c r="J602" s="7" t="s">
        <v>18</v>
      </c>
      <c r="K602" s="7" t="s">
        <v>19</v>
      </c>
      <c r="L602" s="7" t="s">
        <v>20</v>
      </c>
    </row>
    <row r="603" customFormat="false" ht="22.35" hidden="false" customHeight="false" outlineLevel="0" collapsed="false">
      <c r="A603" s="4" t="s">
        <v>626</v>
      </c>
      <c r="B603" s="4" t="s">
        <v>14</v>
      </c>
      <c r="C603" s="4" t="s">
        <v>15</v>
      </c>
      <c r="D603" s="4" t="s">
        <v>16</v>
      </c>
      <c r="E603" s="4" t="s">
        <v>17</v>
      </c>
      <c r="F603" s="5" t="n">
        <v>2.7</v>
      </c>
      <c r="G603" s="6" t="n">
        <v>0</v>
      </c>
      <c r="H603" s="6" t="n">
        <v>0</v>
      </c>
      <c r="I603" s="6" t="n">
        <v>0</v>
      </c>
      <c r="J603" s="4" t="s">
        <v>18</v>
      </c>
      <c r="K603" s="4" t="s">
        <v>19</v>
      </c>
      <c r="L603" s="4" t="s">
        <v>20</v>
      </c>
    </row>
    <row r="604" customFormat="false" ht="22.35" hidden="false" customHeight="false" outlineLevel="0" collapsed="false">
      <c r="A604" s="7" t="s">
        <v>627</v>
      </c>
      <c r="B604" s="7" t="s">
        <v>14</v>
      </c>
      <c r="C604" s="7" t="s">
        <v>15</v>
      </c>
      <c r="D604" s="7" t="s">
        <v>16</v>
      </c>
      <c r="E604" s="7" t="s">
        <v>17</v>
      </c>
      <c r="F604" s="8" t="n">
        <v>29</v>
      </c>
      <c r="G604" s="9" t="n">
        <v>0</v>
      </c>
      <c r="H604" s="9" t="n">
        <v>0</v>
      </c>
      <c r="I604" s="9" t="n">
        <v>0</v>
      </c>
      <c r="J604" s="7" t="s">
        <v>18</v>
      </c>
      <c r="K604" s="7" t="s">
        <v>19</v>
      </c>
      <c r="L604" s="7" t="s">
        <v>20</v>
      </c>
    </row>
    <row r="605" customFormat="false" ht="22.35" hidden="false" customHeight="false" outlineLevel="0" collapsed="false">
      <c r="A605" s="4" t="s">
        <v>628</v>
      </c>
      <c r="B605" s="4" t="s">
        <v>14</v>
      </c>
      <c r="C605" s="4" t="s">
        <v>15</v>
      </c>
      <c r="D605" s="4" t="s">
        <v>16</v>
      </c>
      <c r="E605" s="4" t="s">
        <v>17</v>
      </c>
      <c r="F605" s="5" t="n">
        <v>0.41</v>
      </c>
      <c r="G605" s="6" t="n">
        <v>0</v>
      </c>
      <c r="H605" s="6" t="n">
        <v>0</v>
      </c>
      <c r="I605" s="6" t="n">
        <v>0</v>
      </c>
      <c r="J605" s="4" t="s">
        <v>18</v>
      </c>
      <c r="K605" s="4" t="s">
        <v>19</v>
      </c>
      <c r="L605" s="4" t="s">
        <v>20</v>
      </c>
    </row>
    <row r="606" customFormat="false" ht="22.35" hidden="false" customHeight="false" outlineLevel="0" collapsed="false">
      <c r="A606" s="7" t="s">
        <v>629</v>
      </c>
      <c r="B606" s="7" t="s">
        <v>14</v>
      </c>
      <c r="C606" s="7" t="s">
        <v>15</v>
      </c>
      <c r="D606" s="7" t="s">
        <v>16</v>
      </c>
      <c r="E606" s="7" t="s">
        <v>17</v>
      </c>
      <c r="F606" s="8" t="n">
        <v>2.38</v>
      </c>
      <c r="G606" s="9" t="n">
        <v>0</v>
      </c>
      <c r="H606" s="9" t="n">
        <v>0</v>
      </c>
      <c r="I606" s="9" t="n">
        <v>0</v>
      </c>
      <c r="J606" s="7" t="s">
        <v>18</v>
      </c>
      <c r="K606" s="7" t="s">
        <v>19</v>
      </c>
      <c r="L606" s="7" t="s">
        <v>20</v>
      </c>
    </row>
    <row r="607" customFormat="false" ht="22.35" hidden="false" customHeight="false" outlineLevel="0" collapsed="false">
      <c r="A607" s="4" t="s">
        <v>630</v>
      </c>
      <c r="B607" s="4" t="s">
        <v>14</v>
      </c>
      <c r="C607" s="4" t="s">
        <v>15</v>
      </c>
      <c r="D607" s="4" t="s">
        <v>16</v>
      </c>
      <c r="E607" s="4" t="s">
        <v>17</v>
      </c>
      <c r="F607" s="5" t="n">
        <v>0.4</v>
      </c>
      <c r="G607" s="6" t="n">
        <v>0</v>
      </c>
      <c r="H607" s="6" t="n">
        <v>0</v>
      </c>
      <c r="I607" s="6" t="n">
        <v>0</v>
      </c>
      <c r="J607" s="4" t="s">
        <v>18</v>
      </c>
      <c r="K607" s="4" t="s">
        <v>19</v>
      </c>
      <c r="L607" s="4" t="s">
        <v>20</v>
      </c>
    </row>
    <row r="608" customFormat="false" ht="22.35" hidden="false" customHeight="false" outlineLevel="0" collapsed="false">
      <c r="A608" s="7" t="s">
        <v>631</v>
      </c>
      <c r="B608" s="7" t="s">
        <v>14</v>
      </c>
      <c r="C608" s="7" t="s">
        <v>15</v>
      </c>
      <c r="D608" s="7" t="s">
        <v>16</v>
      </c>
      <c r="E608" s="7" t="s">
        <v>17</v>
      </c>
      <c r="F608" s="8" t="n">
        <v>0.78</v>
      </c>
      <c r="G608" s="9" t="n">
        <v>0</v>
      </c>
      <c r="H608" s="9" t="n">
        <v>0</v>
      </c>
      <c r="I608" s="9" t="n">
        <v>0</v>
      </c>
      <c r="J608" s="7" t="s">
        <v>18</v>
      </c>
      <c r="K608" s="7" t="s">
        <v>19</v>
      </c>
      <c r="L608" s="7" t="s">
        <v>20</v>
      </c>
    </row>
    <row r="609" customFormat="false" ht="22.35" hidden="false" customHeight="false" outlineLevel="0" collapsed="false">
      <c r="A609" s="4" t="s">
        <v>632</v>
      </c>
      <c r="B609" s="4" t="s">
        <v>14</v>
      </c>
      <c r="C609" s="4" t="s">
        <v>15</v>
      </c>
      <c r="D609" s="4" t="s">
        <v>16</v>
      </c>
      <c r="E609" s="4" t="s">
        <v>17</v>
      </c>
      <c r="F609" s="5" t="n">
        <v>6.35</v>
      </c>
      <c r="G609" s="6" t="n">
        <v>0</v>
      </c>
      <c r="H609" s="6" t="n">
        <v>0</v>
      </c>
      <c r="I609" s="6" t="n">
        <v>0</v>
      </c>
      <c r="J609" s="4" t="s">
        <v>18</v>
      </c>
      <c r="K609" s="4" t="s">
        <v>19</v>
      </c>
      <c r="L609" s="4" t="s">
        <v>20</v>
      </c>
    </row>
    <row r="610" customFormat="false" ht="22.35" hidden="false" customHeight="false" outlineLevel="0" collapsed="false">
      <c r="A610" s="7" t="s">
        <v>633</v>
      </c>
      <c r="B610" s="7" t="s">
        <v>14</v>
      </c>
      <c r="C610" s="7" t="s">
        <v>15</v>
      </c>
      <c r="D610" s="7" t="s">
        <v>16</v>
      </c>
      <c r="E610" s="7" t="s">
        <v>17</v>
      </c>
      <c r="F610" s="8" t="n">
        <v>2.29</v>
      </c>
      <c r="G610" s="9" t="n">
        <v>0</v>
      </c>
      <c r="H610" s="9" t="n">
        <v>0</v>
      </c>
      <c r="I610" s="9" t="n">
        <v>0</v>
      </c>
      <c r="J610" s="7" t="s">
        <v>18</v>
      </c>
      <c r="K610" s="7" t="s">
        <v>19</v>
      </c>
      <c r="L610" s="7" t="s">
        <v>20</v>
      </c>
    </row>
    <row r="611" customFormat="false" ht="22.35" hidden="false" customHeight="false" outlineLevel="0" collapsed="false">
      <c r="A611" s="4" t="s">
        <v>634</v>
      </c>
      <c r="B611" s="4" t="s">
        <v>14</v>
      </c>
      <c r="C611" s="4" t="s">
        <v>15</v>
      </c>
      <c r="D611" s="4" t="s">
        <v>16</v>
      </c>
      <c r="E611" s="4" t="s">
        <v>17</v>
      </c>
      <c r="F611" s="5" t="n">
        <v>10.79</v>
      </c>
      <c r="G611" s="6" t="n">
        <v>0</v>
      </c>
      <c r="H611" s="6" t="n">
        <v>0</v>
      </c>
      <c r="I611" s="6" t="n">
        <v>0</v>
      </c>
      <c r="J611" s="4" t="s">
        <v>18</v>
      </c>
      <c r="K611" s="4" t="s">
        <v>19</v>
      </c>
      <c r="L611" s="4" t="s">
        <v>20</v>
      </c>
    </row>
    <row r="612" customFormat="false" ht="22.35" hidden="false" customHeight="false" outlineLevel="0" collapsed="false">
      <c r="A612" s="7" t="s">
        <v>635</v>
      </c>
      <c r="B612" s="7" t="s">
        <v>14</v>
      </c>
      <c r="C612" s="7" t="s">
        <v>15</v>
      </c>
      <c r="D612" s="7" t="s">
        <v>16</v>
      </c>
      <c r="E612" s="7" t="s">
        <v>17</v>
      </c>
      <c r="F612" s="8" t="n">
        <v>0.05</v>
      </c>
      <c r="G612" s="9" t="n">
        <v>0</v>
      </c>
      <c r="H612" s="9" t="n">
        <v>0</v>
      </c>
      <c r="I612" s="9" t="n">
        <v>0</v>
      </c>
      <c r="J612" s="7" t="s">
        <v>18</v>
      </c>
      <c r="K612" s="7" t="s">
        <v>19</v>
      </c>
      <c r="L612" s="7" t="s">
        <v>20</v>
      </c>
    </row>
    <row r="613" customFormat="false" ht="22.35" hidden="false" customHeight="false" outlineLevel="0" collapsed="false">
      <c r="A613" s="4" t="s">
        <v>636</v>
      </c>
      <c r="B613" s="4" t="s">
        <v>14</v>
      </c>
      <c r="C613" s="4" t="s">
        <v>15</v>
      </c>
      <c r="D613" s="4" t="s">
        <v>16</v>
      </c>
      <c r="E613" s="4" t="s">
        <v>17</v>
      </c>
      <c r="F613" s="5" t="n">
        <v>0.98</v>
      </c>
      <c r="G613" s="6" t="n">
        <v>0</v>
      </c>
      <c r="H613" s="6" t="n">
        <v>0</v>
      </c>
      <c r="I613" s="6" t="n">
        <v>0</v>
      </c>
      <c r="J613" s="4" t="s">
        <v>18</v>
      </c>
      <c r="K613" s="4" t="s">
        <v>19</v>
      </c>
      <c r="L613" s="4" t="s">
        <v>20</v>
      </c>
    </row>
    <row r="614" customFormat="false" ht="22.35" hidden="false" customHeight="false" outlineLevel="0" collapsed="false">
      <c r="A614" s="7" t="s">
        <v>637</v>
      </c>
      <c r="B614" s="7" t="s">
        <v>14</v>
      </c>
      <c r="C614" s="7" t="s">
        <v>15</v>
      </c>
      <c r="D614" s="7" t="s">
        <v>16</v>
      </c>
      <c r="E614" s="7" t="s">
        <v>17</v>
      </c>
      <c r="F614" s="8" t="n">
        <v>0.1581</v>
      </c>
      <c r="G614" s="9" t="n">
        <v>0</v>
      </c>
      <c r="H614" s="9" t="n">
        <v>0</v>
      </c>
      <c r="I614" s="9" t="n">
        <v>0</v>
      </c>
      <c r="J614" s="7" t="s">
        <v>18</v>
      </c>
      <c r="K614" s="7" t="s">
        <v>19</v>
      </c>
      <c r="L614" s="7" t="s">
        <v>20</v>
      </c>
    </row>
    <row r="615" customFormat="false" ht="22.35" hidden="false" customHeight="false" outlineLevel="0" collapsed="false">
      <c r="A615" s="4" t="s">
        <v>638</v>
      </c>
      <c r="B615" s="4" t="s">
        <v>14</v>
      </c>
      <c r="C615" s="4" t="s">
        <v>15</v>
      </c>
      <c r="D615" s="4" t="s">
        <v>16</v>
      </c>
      <c r="E615" s="4" t="s">
        <v>17</v>
      </c>
      <c r="F615" s="5" t="n">
        <v>0.62</v>
      </c>
      <c r="G615" s="6" t="n">
        <v>0</v>
      </c>
      <c r="H615" s="6" t="n">
        <v>0</v>
      </c>
      <c r="I615" s="6" t="n">
        <v>0</v>
      </c>
      <c r="J615" s="4" t="s">
        <v>18</v>
      </c>
      <c r="K615" s="4" t="s">
        <v>19</v>
      </c>
      <c r="L615" s="4" t="s">
        <v>20</v>
      </c>
    </row>
    <row r="616" customFormat="false" ht="22.35" hidden="false" customHeight="false" outlineLevel="0" collapsed="false">
      <c r="A616" s="7" t="s">
        <v>639</v>
      </c>
      <c r="B616" s="7" t="s">
        <v>14</v>
      </c>
      <c r="C616" s="7" t="s">
        <v>15</v>
      </c>
      <c r="D616" s="7" t="s">
        <v>16</v>
      </c>
      <c r="E616" s="7" t="s">
        <v>17</v>
      </c>
      <c r="F616" s="8" t="n">
        <v>0.46</v>
      </c>
      <c r="G616" s="9" t="n">
        <v>0</v>
      </c>
      <c r="H616" s="9" t="n">
        <v>0</v>
      </c>
      <c r="I616" s="9" t="n">
        <v>0</v>
      </c>
      <c r="J616" s="7" t="s">
        <v>18</v>
      </c>
      <c r="K616" s="7" t="s">
        <v>19</v>
      </c>
      <c r="L616" s="7" t="s">
        <v>20</v>
      </c>
    </row>
    <row r="617" customFormat="false" ht="22.35" hidden="false" customHeight="false" outlineLevel="0" collapsed="false">
      <c r="A617" s="4" t="s">
        <v>640</v>
      </c>
      <c r="B617" s="4" t="s">
        <v>14</v>
      </c>
      <c r="C617" s="4" t="s">
        <v>15</v>
      </c>
      <c r="D617" s="4" t="s">
        <v>16</v>
      </c>
      <c r="E617" s="4" t="s">
        <v>17</v>
      </c>
      <c r="F617" s="5" t="n">
        <v>0.5</v>
      </c>
      <c r="G617" s="6" t="n">
        <v>0</v>
      </c>
      <c r="H617" s="6" t="n">
        <v>0</v>
      </c>
      <c r="I617" s="6" t="n">
        <v>0</v>
      </c>
      <c r="J617" s="4" t="s">
        <v>18</v>
      </c>
      <c r="K617" s="4" t="s">
        <v>19</v>
      </c>
      <c r="L617" s="4" t="s">
        <v>20</v>
      </c>
    </row>
    <row r="618" customFormat="false" ht="22.35" hidden="false" customHeight="false" outlineLevel="0" collapsed="false">
      <c r="A618" s="7" t="s">
        <v>641</v>
      </c>
      <c r="B618" s="7" t="s">
        <v>14</v>
      </c>
      <c r="C618" s="7" t="s">
        <v>15</v>
      </c>
      <c r="D618" s="7" t="s">
        <v>16</v>
      </c>
      <c r="E618" s="7" t="s">
        <v>44</v>
      </c>
      <c r="F618" s="8" t="n">
        <v>1.109</v>
      </c>
      <c r="G618" s="9" t="n">
        <v>0</v>
      </c>
      <c r="H618" s="9" t="n">
        <v>0</v>
      </c>
      <c r="I618" s="9" t="n">
        <v>0</v>
      </c>
      <c r="J618" s="7" t="s">
        <v>18</v>
      </c>
      <c r="K618" s="7" t="s">
        <v>19</v>
      </c>
      <c r="L618" s="7" t="s">
        <v>20</v>
      </c>
    </row>
    <row r="619" customFormat="false" ht="22.35" hidden="false" customHeight="false" outlineLevel="0" collapsed="false">
      <c r="A619" s="4" t="s">
        <v>642</v>
      </c>
      <c r="B619" s="4" t="s">
        <v>14</v>
      </c>
      <c r="C619" s="4" t="s">
        <v>15</v>
      </c>
      <c r="D619" s="4" t="s">
        <v>16</v>
      </c>
      <c r="E619" s="4" t="s">
        <v>17</v>
      </c>
      <c r="F619" s="5" t="n">
        <v>0</v>
      </c>
      <c r="G619" s="6" t="n">
        <v>0</v>
      </c>
      <c r="H619" s="6" t="n">
        <v>0</v>
      </c>
      <c r="I619" s="6" t="n">
        <v>0</v>
      </c>
      <c r="J619" s="4" t="s">
        <v>18</v>
      </c>
      <c r="K619" s="4" t="s">
        <v>19</v>
      </c>
      <c r="L619" s="4" t="s">
        <v>20</v>
      </c>
    </row>
    <row r="620" customFormat="false" ht="22.35" hidden="false" customHeight="false" outlineLevel="0" collapsed="false">
      <c r="A620" s="7" t="s">
        <v>643</v>
      </c>
      <c r="B620" s="7" t="s">
        <v>14</v>
      </c>
      <c r="C620" s="7" t="s">
        <v>15</v>
      </c>
      <c r="D620" s="7" t="s">
        <v>16</v>
      </c>
      <c r="E620" s="7" t="s">
        <v>17</v>
      </c>
      <c r="F620" s="8" t="n">
        <v>0.35</v>
      </c>
      <c r="G620" s="9" t="n">
        <v>0</v>
      </c>
      <c r="H620" s="9" t="n">
        <v>0</v>
      </c>
      <c r="I620" s="9" t="n">
        <v>0</v>
      </c>
      <c r="J620" s="7" t="s">
        <v>18</v>
      </c>
      <c r="K620" s="7" t="s">
        <v>19</v>
      </c>
      <c r="L620" s="7" t="s">
        <v>20</v>
      </c>
    </row>
    <row r="621" customFormat="false" ht="22.35" hidden="false" customHeight="false" outlineLevel="0" collapsed="false">
      <c r="A621" s="4" t="s">
        <v>644</v>
      </c>
      <c r="B621" s="4" t="s">
        <v>14</v>
      </c>
      <c r="C621" s="4" t="s">
        <v>15</v>
      </c>
      <c r="D621" s="4" t="s">
        <v>16</v>
      </c>
      <c r="E621" s="4" t="s">
        <v>17</v>
      </c>
      <c r="F621" s="5" t="n">
        <v>0</v>
      </c>
      <c r="G621" s="6" t="n">
        <v>0</v>
      </c>
      <c r="H621" s="6" t="n">
        <v>0</v>
      </c>
      <c r="I621" s="6" t="n">
        <v>0</v>
      </c>
      <c r="J621" s="4" t="s">
        <v>18</v>
      </c>
      <c r="K621" s="4" t="s">
        <v>19</v>
      </c>
      <c r="L621" s="4" t="s">
        <v>20</v>
      </c>
    </row>
    <row r="622" customFormat="false" ht="22.35" hidden="false" customHeight="false" outlineLevel="0" collapsed="false">
      <c r="A622" s="7" t="s">
        <v>645</v>
      </c>
      <c r="B622" s="7" t="s">
        <v>14</v>
      </c>
      <c r="C622" s="7" t="s">
        <v>15</v>
      </c>
      <c r="D622" s="7" t="s">
        <v>16</v>
      </c>
      <c r="E622" s="7" t="s">
        <v>17</v>
      </c>
      <c r="F622" s="8" t="n">
        <v>8.41</v>
      </c>
      <c r="G622" s="9" t="n">
        <v>0</v>
      </c>
      <c r="H622" s="9" t="n">
        <v>0</v>
      </c>
      <c r="I622" s="9" t="n">
        <v>0</v>
      </c>
      <c r="J622" s="7" t="s">
        <v>18</v>
      </c>
      <c r="K622" s="7" t="s">
        <v>19</v>
      </c>
      <c r="L622" s="7" t="s">
        <v>20</v>
      </c>
    </row>
    <row r="623" customFormat="false" ht="22.35" hidden="false" customHeight="false" outlineLevel="0" collapsed="false">
      <c r="A623" s="4" t="s">
        <v>646</v>
      </c>
      <c r="B623" s="4" t="s">
        <v>14</v>
      </c>
      <c r="C623" s="4" t="s">
        <v>15</v>
      </c>
      <c r="D623" s="4" t="s">
        <v>16</v>
      </c>
      <c r="E623" s="4" t="s">
        <v>44</v>
      </c>
      <c r="F623" s="5" t="n">
        <v>7.6735</v>
      </c>
      <c r="G623" s="6" t="n">
        <v>0</v>
      </c>
      <c r="H623" s="6" t="n">
        <v>0</v>
      </c>
      <c r="I623" s="6" t="n">
        <v>0</v>
      </c>
      <c r="J623" s="4" t="s">
        <v>18</v>
      </c>
      <c r="K623" s="4" t="s">
        <v>19</v>
      </c>
      <c r="L623" s="4" t="s">
        <v>20</v>
      </c>
    </row>
    <row r="624" customFormat="false" ht="22.35" hidden="false" customHeight="false" outlineLevel="0" collapsed="false">
      <c r="A624" s="7" t="s">
        <v>647</v>
      </c>
      <c r="B624" s="7" t="s">
        <v>14</v>
      </c>
      <c r="C624" s="7" t="s">
        <v>15</v>
      </c>
      <c r="D624" s="7" t="s">
        <v>16</v>
      </c>
      <c r="E624" s="7" t="s">
        <v>44</v>
      </c>
      <c r="F624" s="8" t="n">
        <v>1.72</v>
      </c>
      <c r="G624" s="9" t="n">
        <v>0</v>
      </c>
      <c r="H624" s="9" t="n">
        <v>0</v>
      </c>
      <c r="I624" s="9" t="n">
        <v>0</v>
      </c>
      <c r="J624" s="7" t="s">
        <v>18</v>
      </c>
      <c r="K624" s="7" t="s">
        <v>19</v>
      </c>
      <c r="L624" s="7" t="s">
        <v>20</v>
      </c>
    </row>
    <row r="625" customFormat="false" ht="22.35" hidden="false" customHeight="false" outlineLevel="0" collapsed="false">
      <c r="A625" s="4" t="s">
        <v>648</v>
      </c>
      <c r="B625" s="4" t="s">
        <v>14</v>
      </c>
      <c r="C625" s="4" t="s">
        <v>15</v>
      </c>
      <c r="D625" s="4" t="s">
        <v>16</v>
      </c>
      <c r="E625" s="4" t="s">
        <v>44</v>
      </c>
      <c r="F625" s="5" t="n">
        <v>1.74</v>
      </c>
      <c r="G625" s="6" t="n">
        <v>0</v>
      </c>
      <c r="H625" s="6" t="n">
        <v>0</v>
      </c>
      <c r="I625" s="6" t="n">
        <v>0</v>
      </c>
      <c r="J625" s="4" t="s">
        <v>18</v>
      </c>
      <c r="K625" s="4" t="s">
        <v>19</v>
      </c>
      <c r="L625" s="4" t="s">
        <v>20</v>
      </c>
    </row>
    <row r="626" customFormat="false" ht="22.35" hidden="false" customHeight="false" outlineLevel="0" collapsed="false">
      <c r="A626" s="7" t="s">
        <v>649</v>
      </c>
      <c r="B626" s="7" t="s">
        <v>14</v>
      </c>
      <c r="C626" s="7" t="s">
        <v>15</v>
      </c>
      <c r="D626" s="7" t="s">
        <v>16</v>
      </c>
      <c r="E626" s="7" t="s">
        <v>44</v>
      </c>
      <c r="F626" s="8" t="n">
        <v>2.04</v>
      </c>
      <c r="G626" s="9" t="n">
        <v>0</v>
      </c>
      <c r="H626" s="9" t="n">
        <v>0</v>
      </c>
      <c r="I626" s="9" t="n">
        <v>0</v>
      </c>
      <c r="J626" s="7" t="s">
        <v>18</v>
      </c>
      <c r="K626" s="7" t="s">
        <v>19</v>
      </c>
      <c r="L626" s="7" t="s">
        <v>20</v>
      </c>
    </row>
    <row r="627" customFormat="false" ht="22.35" hidden="false" customHeight="false" outlineLevel="0" collapsed="false">
      <c r="A627" s="4" t="s">
        <v>650</v>
      </c>
      <c r="B627" s="4" t="s">
        <v>14</v>
      </c>
      <c r="C627" s="4" t="s">
        <v>15</v>
      </c>
      <c r="D627" s="4" t="s">
        <v>16</v>
      </c>
      <c r="E627" s="4" t="s">
        <v>44</v>
      </c>
      <c r="F627" s="5" t="n">
        <v>2.24</v>
      </c>
      <c r="G627" s="6" t="n">
        <v>0</v>
      </c>
      <c r="H627" s="6" t="n">
        <v>0</v>
      </c>
      <c r="I627" s="6" t="n">
        <v>0</v>
      </c>
      <c r="J627" s="4" t="s">
        <v>18</v>
      </c>
      <c r="K627" s="4" t="s">
        <v>19</v>
      </c>
      <c r="L627" s="4" t="s">
        <v>20</v>
      </c>
    </row>
    <row r="628" customFormat="false" ht="22.35" hidden="false" customHeight="false" outlineLevel="0" collapsed="false">
      <c r="A628" s="7" t="s">
        <v>651</v>
      </c>
      <c r="B628" s="7" t="s">
        <v>14</v>
      </c>
      <c r="C628" s="7" t="s">
        <v>15</v>
      </c>
      <c r="D628" s="7" t="s">
        <v>16</v>
      </c>
      <c r="E628" s="7" t="s">
        <v>44</v>
      </c>
      <c r="F628" s="8" t="n">
        <v>2.88</v>
      </c>
      <c r="G628" s="9" t="n">
        <v>0</v>
      </c>
      <c r="H628" s="9" t="n">
        <v>0</v>
      </c>
      <c r="I628" s="9" t="n">
        <v>0</v>
      </c>
      <c r="J628" s="7" t="s">
        <v>18</v>
      </c>
      <c r="K628" s="7" t="s">
        <v>19</v>
      </c>
      <c r="L628" s="7" t="s">
        <v>20</v>
      </c>
    </row>
    <row r="629" customFormat="false" ht="22.35" hidden="false" customHeight="false" outlineLevel="0" collapsed="false">
      <c r="A629" s="4" t="s">
        <v>652</v>
      </c>
      <c r="B629" s="4" t="s">
        <v>14</v>
      </c>
      <c r="C629" s="4" t="s">
        <v>15</v>
      </c>
      <c r="D629" s="4" t="s">
        <v>16</v>
      </c>
      <c r="E629" s="4" t="s">
        <v>17</v>
      </c>
      <c r="F629" s="5" t="n">
        <v>0.25</v>
      </c>
      <c r="G629" s="6" t="n">
        <v>0</v>
      </c>
      <c r="H629" s="6" t="n">
        <v>0</v>
      </c>
      <c r="I629" s="6" t="n">
        <v>0</v>
      </c>
      <c r="J629" s="4" t="s">
        <v>18</v>
      </c>
      <c r="K629" s="4" t="s">
        <v>19</v>
      </c>
      <c r="L629" s="4" t="s">
        <v>20</v>
      </c>
    </row>
    <row r="630" customFormat="false" ht="22.35" hidden="false" customHeight="false" outlineLevel="0" collapsed="false">
      <c r="A630" s="7" t="s">
        <v>653</v>
      </c>
      <c r="B630" s="7" t="s">
        <v>14</v>
      </c>
      <c r="C630" s="7" t="s">
        <v>15</v>
      </c>
      <c r="D630" s="7" t="s">
        <v>16</v>
      </c>
      <c r="E630" s="7" t="s">
        <v>17</v>
      </c>
      <c r="F630" s="8" t="n">
        <v>0.47</v>
      </c>
      <c r="G630" s="9" t="n">
        <v>0</v>
      </c>
      <c r="H630" s="9" t="n">
        <v>0</v>
      </c>
      <c r="I630" s="9" t="n">
        <v>0</v>
      </c>
      <c r="J630" s="7" t="s">
        <v>18</v>
      </c>
      <c r="K630" s="7" t="s">
        <v>19</v>
      </c>
      <c r="L630" s="7" t="s">
        <v>20</v>
      </c>
    </row>
    <row r="631" customFormat="false" ht="22.35" hidden="false" customHeight="false" outlineLevel="0" collapsed="false">
      <c r="A631" s="4" t="s">
        <v>654</v>
      </c>
      <c r="B631" s="4" t="s">
        <v>14</v>
      </c>
      <c r="C631" s="4" t="s">
        <v>15</v>
      </c>
      <c r="D631" s="4" t="s">
        <v>16</v>
      </c>
      <c r="E631" s="4" t="s">
        <v>17</v>
      </c>
      <c r="F631" s="5" t="n">
        <v>0.59</v>
      </c>
      <c r="G631" s="6" t="n">
        <v>0</v>
      </c>
      <c r="H631" s="6" t="n">
        <v>0</v>
      </c>
      <c r="I631" s="6" t="n">
        <v>0</v>
      </c>
      <c r="J631" s="4" t="s">
        <v>18</v>
      </c>
      <c r="K631" s="4" t="s">
        <v>19</v>
      </c>
      <c r="L631" s="4" t="s">
        <v>20</v>
      </c>
    </row>
    <row r="632" customFormat="false" ht="22.35" hidden="false" customHeight="false" outlineLevel="0" collapsed="false">
      <c r="A632" s="7" t="s">
        <v>655</v>
      </c>
      <c r="B632" s="7" t="s">
        <v>14</v>
      </c>
      <c r="C632" s="7" t="s">
        <v>15</v>
      </c>
      <c r="D632" s="7" t="s">
        <v>16</v>
      </c>
      <c r="E632" s="7" t="s">
        <v>17</v>
      </c>
      <c r="F632" s="8" t="n">
        <v>0.3</v>
      </c>
      <c r="G632" s="9" t="n">
        <v>0</v>
      </c>
      <c r="H632" s="9" t="n">
        <v>0</v>
      </c>
      <c r="I632" s="9" t="n">
        <v>0</v>
      </c>
      <c r="J632" s="7" t="s">
        <v>18</v>
      </c>
      <c r="K632" s="7" t="s">
        <v>19</v>
      </c>
      <c r="L632" s="7" t="s">
        <v>20</v>
      </c>
    </row>
    <row r="633" customFormat="false" ht="22.35" hidden="false" customHeight="false" outlineLevel="0" collapsed="false">
      <c r="A633" s="4" t="s">
        <v>656</v>
      </c>
      <c r="B633" s="4" t="s">
        <v>14</v>
      </c>
      <c r="C633" s="4" t="s">
        <v>15</v>
      </c>
      <c r="D633" s="4" t="s">
        <v>16</v>
      </c>
      <c r="E633" s="4" t="s">
        <v>17</v>
      </c>
      <c r="F633" s="5" t="n">
        <v>7.6</v>
      </c>
      <c r="G633" s="6" t="n">
        <v>0</v>
      </c>
      <c r="H633" s="6" t="n">
        <v>0</v>
      </c>
      <c r="I633" s="6" t="n">
        <v>0</v>
      </c>
      <c r="J633" s="4" t="s">
        <v>18</v>
      </c>
      <c r="K633" s="4" t="s">
        <v>19</v>
      </c>
      <c r="L633" s="4" t="s">
        <v>20</v>
      </c>
    </row>
    <row r="634" customFormat="false" ht="22.35" hidden="false" customHeight="false" outlineLevel="0" collapsed="false">
      <c r="A634" s="7" t="s">
        <v>657</v>
      </c>
      <c r="B634" s="7" t="s">
        <v>14</v>
      </c>
      <c r="C634" s="7" t="s">
        <v>15</v>
      </c>
      <c r="D634" s="7" t="s">
        <v>16</v>
      </c>
      <c r="E634" s="7" t="s">
        <v>17</v>
      </c>
      <c r="F634" s="8" t="n">
        <v>0.27</v>
      </c>
      <c r="G634" s="9" t="n">
        <v>0</v>
      </c>
      <c r="H634" s="9" t="n">
        <v>0</v>
      </c>
      <c r="I634" s="9" t="n">
        <v>0</v>
      </c>
      <c r="J634" s="7" t="s">
        <v>18</v>
      </c>
      <c r="K634" s="7" t="s">
        <v>19</v>
      </c>
      <c r="L634" s="7" t="s">
        <v>20</v>
      </c>
    </row>
    <row r="635" customFormat="false" ht="22.35" hidden="false" customHeight="false" outlineLevel="0" collapsed="false">
      <c r="A635" s="4" t="s">
        <v>658</v>
      </c>
      <c r="B635" s="4" t="s">
        <v>14</v>
      </c>
      <c r="C635" s="4" t="s">
        <v>15</v>
      </c>
      <c r="D635" s="4" t="s">
        <v>16</v>
      </c>
      <c r="E635" s="4" t="s">
        <v>17</v>
      </c>
      <c r="F635" s="5" t="n">
        <v>4.13</v>
      </c>
      <c r="G635" s="6" t="n">
        <v>0</v>
      </c>
      <c r="H635" s="6" t="n">
        <v>0</v>
      </c>
      <c r="I635" s="6" t="n">
        <v>0</v>
      </c>
      <c r="J635" s="4" t="s">
        <v>18</v>
      </c>
      <c r="K635" s="4" t="s">
        <v>19</v>
      </c>
      <c r="L635" s="4" t="s">
        <v>20</v>
      </c>
    </row>
    <row r="636" customFormat="false" ht="22.35" hidden="false" customHeight="false" outlineLevel="0" collapsed="false">
      <c r="A636" s="7" t="s">
        <v>659</v>
      </c>
      <c r="B636" s="7" t="s">
        <v>14</v>
      </c>
      <c r="C636" s="7" t="s">
        <v>15</v>
      </c>
      <c r="D636" s="7" t="s">
        <v>16</v>
      </c>
      <c r="E636" s="7" t="s">
        <v>17</v>
      </c>
      <c r="F636" s="8" t="n">
        <v>0.55</v>
      </c>
      <c r="G636" s="9" t="n">
        <v>0</v>
      </c>
      <c r="H636" s="9" t="n">
        <v>0</v>
      </c>
      <c r="I636" s="9" t="n">
        <v>0</v>
      </c>
      <c r="J636" s="7" t="s">
        <v>18</v>
      </c>
      <c r="K636" s="7" t="s">
        <v>19</v>
      </c>
      <c r="L636" s="7" t="s">
        <v>20</v>
      </c>
    </row>
    <row r="637" customFormat="false" ht="22.35" hidden="false" customHeight="false" outlineLevel="0" collapsed="false">
      <c r="A637" s="4" t="s">
        <v>660</v>
      </c>
      <c r="B637" s="4" t="s">
        <v>14</v>
      </c>
      <c r="C637" s="4" t="s">
        <v>15</v>
      </c>
      <c r="D637" s="4" t="s">
        <v>16</v>
      </c>
      <c r="E637" s="4" t="s">
        <v>17</v>
      </c>
      <c r="F637" s="5" t="n">
        <v>2.15</v>
      </c>
      <c r="G637" s="6" t="n">
        <v>0</v>
      </c>
      <c r="H637" s="6" t="n">
        <v>0</v>
      </c>
      <c r="I637" s="6" t="n">
        <v>0</v>
      </c>
      <c r="J637" s="4" t="s">
        <v>18</v>
      </c>
      <c r="K637" s="4" t="s">
        <v>19</v>
      </c>
      <c r="L637" s="4" t="s">
        <v>20</v>
      </c>
    </row>
    <row r="638" customFormat="false" ht="22.35" hidden="false" customHeight="false" outlineLevel="0" collapsed="false">
      <c r="A638" s="7" t="s">
        <v>661</v>
      </c>
      <c r="B638" s="7" t="s">
        <v>14</v>
      </c>
      <c r="C638" s="7" t="s">
        <v>15</v>
      </c>
      <c r="D638" s="7" t="s">
        <v>16</v>
      </c>
      <c r="E638" s="7" t="s">
        <v>17</v>
      </c>
      <c r="F638" s="8" t="n">
        <v>0.835</v>
      </c>
      <c r="G638" s="9" t="n">
        <v>0</v>
      </c>
      <c r="H638" s="9" t="n">
        <v>0</v>
      </c>
      <c r="I638" s="9" t="n">
        <v>0</v>
      </c>
      <c r="J638" s="7" t="s">
        <v>18</v>
      </c>
      <c r="K638" s="7" t="s">
        <v>19</v>
      </c>
      <c r="L638" s="7" t="s">
        <v>20</v>
      </c>
    </row>
    <row r="639" customFormat="false" ht="22.35" hidden="false" customHeight="false" outlineLevel="0" collapsed="false">
      <c r="A639" s="4" t="s">
        <v>662</v>
      </c>
      <c r="B639" s="4" t="s">
        <v>14</v>
      </c>
      <c r="C639" s="4" t="s">
        <v>15</v>
      </c>
      <c r="D639" s="4" t="s">
        <v>16</v>
      </c>
      <c r="E639" s="4" t="s">
        <v>17</v>
      </c>
      <c r="F639" s="5" t="n">
        <v>4.03</v>
      </c>
      <c r="G639" s="6" t="n">
        <v>0</v>
      </c>
      <c r="H639" s="6" t="n">
        <v>0</v>
      </c>
      <c r="I639" s="6" t="n">
        <v>0</v>
      </c>
      <c r="J639" s="4" t="s">
        <v>18</v>
      </c>
      <c r="K639" s="4" t="s">
        <v>19</v>
      </c>
      <c r="L639" s="4" t="s">
        <v>20</v>
      </c>
    </row>
    <row r="640" customFormat="false" ht="22.35" hidden="false" customHeight="false" outlineLevel="0" collapsed="false">
      <c r="A640" s="7" t="s">
        <v>663</v>
      </c>
      <c r="B640" s="7" t="s">
        <v>14</v>
      </c>
      <c r="C640" s="7" t="s">
        <v>15</v>
      </c>
      <c r="D640" s="7" t="s">
        <v>16</v>
      </c>
      <c r="E640" s="7" t="s">
        <v>17</v>
      </c>
      <c r="F640" s="8" t="n">
        <v>3.08</v>
      </c>
      <c r="G640" s="9" t="n">
        <v>0</v>
      </c>
      <c r="H640" s="9" t="n">
        <v>0</v>
      </c>
      <c r="I640" s="9" t="n">
        <v>0</v>
      </c>
      <c r="J640" s="7" t="s">
        <v>18</v>
      </c>
      <c r="K640" s="7" t="s">
        <v>19</v>
      </c>
      <c r="L640" s="7" t="s">
        <v>20</v>
      </c>
    </row>
    <row r="641" customFormat="false" ht="22.35" hidden="false" customHeight="false" outlineLevel="0" collapsed="false">
      <c r="A641" s="4" t="s">
        <v>664</v>
      </c>
      <c r="B641" s="4" t="s">
        <v>14</v>
      </c>
      <c r="C641" s="4" t="s">
        <v>15</v>
      </c>
      <c r="D641" s="4" t="s">
        <v>16</v>
      </c>
      <c r="E641" s="4" t="s">
        <v>17</v>
      </c>
      <c r="F641" s="5" t="n">
        <v>2.47</v>
      </c>
      <c r="G641" s="6" t="n">
        <v>0</v>
      </c>
      <c r="H641" s="6" t="n">
        <v>0</v>
      </c>
      <c r="I641" s="6" t="n">
        <v>0</v>
      </c>
      <c r="J641" s="4" t="s">
        <v>18</v>
      </c>
      <c r="K641" s="4" t="s">
        <v>19</v>
      </c>
      <c r="L641" s="4" t="s">
        <v>20</v>
      </c>
    </row>
    <row r="642" customFormat="false" ht="22.35" hidden="false" customHeight="false" outlineLevel="0" collapsed="false">
      <c r="A642" s="7" t="s">
        <v>665</v>
      </c>
      <c r="B642" s="7" t="s">
        <v>14</v>
      </c>
      <c r="C642" s="7" t="s">
        <v>15</v>
      </c>
      <c r="D642" s="7" t="s">
        <v>16</v>
      </c>
      <c r="E642" s="7" t="s">
        <v>17</v>
      </c>
      <c r="F642" s="8" t="n">
        <v>9.05</v>
      </c>
      <c r="G642" s="9" t="n">
        <v>0</v>
      </c>
      <c r="H642" s="9" t="n">
        <v>0</v>
      </c>
      <c r="I642" s="9" t="n">
        <v>0</v>
      </c>
      <c r="J642" s="7" t="s">
        <v>18</v>
      </c>
      <c r="K642" s="7" t="s">
        <v>19</v>
      </c>
      <c r="L642" s="7" t="s">
        <v>20</v>
      </c>
    </row>
    <row r="643" customFormat="false" ht="22.35" hidden="false" customHeight="false" outlineLevel="0" collapsed="false">
      <c r="A643" s="4" t="s">
        <v>666</v>
      </c>
      <c r="B643" s="4" t="s">
        <v>14</v>
      </c>
      <c r="C643" s="4" t="s">
        <v>15</v>
      </c>
      <c r="D643" s="4" t="s">
        <v>16</v>
      </c>
      <c r="E643" s="4" t="s">
        <v>17</v>
      </c>
      <c r="F643" s="5" t="n">
        <v>7.07</v>
      </c>
      <c r="G643" s="6" t="n">
        <v>0</v>
      </c>
      <c r="H643" s="6" t="n">
        <v>0</v>
      </c>
      <c r="I643" s="6" t="n">
        <v>0</v>
      </c>
      <c r="J643" s="4" t="s">
        <v>18</v>
      </c>
      <c r="K643" s="4" t="s">
        <v>19</v>
      </c>
      <c r="L643" s="4" t="s">
        <v>20</v>
      </c>
    </row>
    <row r="644" customFormat="false" ht="22.35" hidden="false" customHeight="false" outlineLevel="0" collapsed="false">
      <c r="A644" s="7" t="s">
        <v>667</v>
      </c>
      <c r="B644" s="7" t="s">
        <v>14</v>
      </c>
      <c r="C644" s="7" t="s">
        <v>15</v>
      </c>
      <c r="D644" s="7" t="s">
        <v>16</v>
      </c>
      <c r="E644" s="7" t="s">
        <v>17</v>
      </c>
      <c r="F644" s="8" t="n">
        <v>43.72</v>
      </c>
      <c r="G644" s="9" t="n">
        <v>0</v>
      </c>
      <c r="H644" s="9" t="n">
        <v>0</v>
      </c>
      <c r="I644" s="9" t="n">
        <v>0</v>
      </c>
      <c r="J644" s="7" t="s">
        <v>18</v>
      </c>
      <c r="K644" s="7" t="s">
        <v>19</v>
      </c>
      <c r="L644" s="7" t="s">
        <v>20</v>
      </c>
    </row>
    <row r="645" customFormat="false" ht="22.35" hidden="false" customHeight="false" outlineLevel="0" collapsed="false">
      <c r="A645" s="4" t="s">
        <v>668</v>
      </c>
      <c r="B645" s="4" t="s">
        <v>14</v>
      </c>
      <c r="C645" s="4" t="s">
        <v>15</v>
      </c>
      <c r="D645" s="4" t="s">
        <v>16</v>
      </c>
      <c r="E645" s="4" t="s">
        <v>44</v>
      </c>
      <c r="F645" s="5" t="n">
        <v>2.57</v>
      </c>
      <c r="G645" s="6" t="n">
        <v>0</v>
      </c>
      <c r="H645" s="6" t="n">
        <v>0</v>
      </c>
      <c r="I645" s="6" t="n">
        <v>0</v>
      </c>
      <c r="J645" s="4" t="s">
        <v>18</v>
      </c>
      <c r="K645" s="4" t="s">
        <v>19</v>
      </c>
      <c r="L645" s="4" t="s">
        <v>20</v>
      </c>
    </row>
    <row r="646" customFormat="false" ht="22.35" hidden="false" customHeight="false" outlineLevel="0" collapsed="false">
      <c r="A646" s="7" t="s">
        <v>669</v>
      </c>
      <c r="B646" s="7" t="s">
        <v>14</v>
      </c>
      <c r="C646" s="7" t="s">
        <v>15</v>
      </c>
      <c r="D646" s="7" t="s">
        <v>16</v>
      </c>
      <c r="E646" s="7" t="s">
        <v>17</v>
      </c>
      <c r="F646" s="8" t="n">
        <v>9.49</v>
      </c>
      <c r="G646" s="9" t="n">
        <v>0</v>
      </c>
      <c r="H646" s="9" t="n">
        <v>0</v>
      </c>
      <c r="I646" s="9" t="n">
        <v>0</v>
      </c>
      <c r="J646" s="7" t="s">
        <v>18</v>
      </c>
      <c r="K646" s="7" t="s">
        <v>19</v>
      </c>
      <c r="L646" s="7" t="s">
        <v>20</v>
      </c>
    </row>
    <row r="647" customFormat="false" ht="22.35" hidden="false" customHeight="false" outlineLevel="0" collapsed="false">
      <c r="A647" s="4" t="s">
        <v>670</v>
      </c>
      <c r="B647" s="4" t="s">
        <v>14</v>
      </c>
      <c r="C647" s="4" t="s">
        <v>15</v>
      </c>
      <c r="D647" s="4" t="s">
        <v>16</v>
      </c>
      <c r="E647" s="4" t="s">
        <v>17</v>
      </c>
      <c r="F647" s="5" t="n">
        <v>4.1</v>
      </c>
      <c r="G647" s="6" t="n">
        <v>0</v>
      </c>
      <c r="H647" s="6" t="n">
        <v>0</v>
      </c>
      <c r="I647" s="6" t="n">
        <v>0</v>
      </c>
      <c r="J647" s="4" t="s">
        <v>18</v>
      </c>
      <c r="K647" s="4" t="s">
        <v>19</v>
      </c>
      <c r="L647" s="4" t="s">
        <v>20</v>
      </c>
    </row>
    <row r="648" customFormat="false" ht="22.35" hidden="false" customHeight="false" outlineLevel="0" collapsed="false">
      <c r="A648" s="7" t="s">
        <v>671</v>
      </c>
      <c r="B648" s="7" t="s">
        <v>14</v>
      </c>
      <c r="C648" s="7" t="s">
        <v>15</v>
      </c>
      <c r="D648" s="7" t="s">
        <v>16</v>
      </c>
      <c r="E648" s="7" t="s">
        <v>17</v>
      </c>
      <c r="F648" s="8" t="n">
        <v>1.45</v>
      </c>
      <c r="G648" s="9" t="n">
        <v>0</v>
      </c>
      <c r="H648" s="9" t="n">
        <v>0</v>
      </c>
      <c r="I648" s="9" t="n">
        <v>0</v>
      </c>
      <c r="J648" s="7" t="s">
        <v>18</v>
      </c>
      <c r="K648" s="7" t="s">
        <v>19</v>
      </c>
      <c r="L648" s="7" t="s">
        <v>20</v>
      </c>
    </row>
    <row r="649" customFormat="false" ht="22.35" hidden="false" customHeight="false" outlineLevel="0" collapsed="false">
      <c r="A649" s="4" t="s">
        <v>672</v>
      </c>
      <c r="B649" s="4" t="s">
        <v>14</v>
      </c>
      <c r="C649" s="4" t="s">
        <v>15</v>
      </c>
      <c r="D649" s="4" t="s">
        <v>16</v>
      </c>
      <c r="E649" s="4" t="s">
        <v>27</v>
      </c>
      <c r="F649" s="5" t="n">
        <v>1.13</v>
      </c>
      <c r="G649" s="6" t="n">
        <v>0</v>
      </c>
      <c r="H649" s="6" t="n">
        <v>0</v>
      </c>
      <c r="I649" s="6" t="n">
        <v>0</v>
      </c>
      <c r="J649" s="4" t="s">
        <v>18</v>
      </c>
      <c r="K649" s="4" t="s">
        <v>19</v>
      </c>
      <c r="L649" s="4" t="s">
        <v>20</v>
      </c>
    </row>
    <row r="650" customFormat="false" ht="22.35" hidden="false" customHeight="false" outlineLevel="0" collapsed="false">
      <c r="A650" s="7" t="s">
        <v>673</v>
      </c>
      <c r="B650" s="7" t="s">
        <v>14</v>
      </c>
      <c r="C650" s="7" t="s">
        <v>15</v>
      </c>
      <c r="D650" s="7" t="s">
        <v>16</v>
      </c>
      <c r="E650" s="7" t="s">
        <v>17</v>
      </c>
      <c r="F650" s="8" t="n">
        <v>3.49</v>
      </c>
      <c r="G650" s="9" t="n">
        <v>0</v>
      </c>
      <c r="H650" s="9" t="n">
        <v>0</v>
      </c>
      <c r="I650" s="9" t="n">
        <v>0</v>
      </c>
      <c r="J650" s="7" t="s">
        <v>18</v>
      </c>
      <c r="K650" s="7" t="s">
        <v>19</v>
      </c>
      <c r="L650" s="7" t="s">
        <v>20</v>
      </c>
    </row>
    <row r="651" customFormat="false" ht="22.35" hidden="false" customHeight="false" outlineLevel="0" collapsed="false">
      <c r="A651" s="4" t="s">
        <v>674</v>
      </c>
      <c r="B651" s="4" t="s">
        <v>14</v>
      </c>
      <c r="C651" s="4" t="s">
        <v>15</v>
      </c>
      <c r="D651" s="4" t="s">
        <v>16</v>
      </c>
      <c r="E651" s="4" t="s">
        <v>17</v>
      </c>
      <c r="F651" s="5" t="n">
        <v>2.1</v>
      </c>
      <c r="G651" s="6" t="n">
        <v>0</v>
      </c>
      <c r="H651" s="6" t="n">
        <v>0</v>
      </c>
      <c r="I651" s="6" t="n">
        <v>0</v>
      </c>
      <c r="J651" s="4" t="s">
        <v>18</v>
      </c>
      <c r="K651" s="4" t="s">
        <v>19</v>
      </c>
      <c r="L651" s="4" t="s">
        <v>20</v>
      </c>
    </row>
    <row r="652" customFormat="false" ht="22.35" hidden="false" customHeight="false" outlineLevel="0" collapsed="false">
      <c r="A652" s="7" t="s">
        <v>675</v>
      </c>
      <c r="B652" s="7" t="s">
        <v>14</v>
      </c>
      <c r="C652" s="7" t="s">
        <v>15</v>
      </c>
      <c r="D652" s="7" t="s">
        <v>16</v>
      </c>
      <c r="E652" s="7" t="s">
        <v>17</v>
      </c>
      <c r="F652" s="8" t="n">
        <v>1.04</v>
      </c>
      <c r="G652" s="9" t="n">
        <v>0</v>
      </c>
      <c r="H652" s="9" t="n">
        <v>0</v>
      </c>
      <c r="I652" s="9" t="n">
        <v>0</v>
      </c>
      <c r="J652" s="7" t="s">
        <v>18</v>
      </c>
      <c r="K652" s="7" t="s">
        <v>19</v>
      </c>
      <c r="L652" s="7" t="s">
        <v>20</v>
      </c>
    </row>
    <row r="653" customFormat="false" ht="22.35" hidden="false" customHeight="false" outlineLevel="0" collapsed="false">
      <c r="A653" s="4" t="s">
        <v>676</v>
      </c>
      <c r="B653" s="4" t="s">
        <v>14</v>
      </c>
      <c r="C653" s="4" t="s">
        <v>15</v>
      </c>
      <c r="D653" s="4" t="s">
        <v>16</v>
      </c>
      <c r="E653" s="4" t="s">
        <v>17</v>
      </c>
      <c r="F653" s="5" t="n">
        <v>1.17</v>
      </c>
      <c r="G653" s="6" t="n">
        <v>0</v>
      </c>
      <c r="H653" s="6" t="n">
        <v>0</v>
      </c>
      <c r="I653" s="6" t="n">
        <v>0</v>
      </c>
      <c r="J653" s="4" t="s">
        <v>18</v>
      </c>
      <c r="K653" s="4" t="s">
        <v>19</v>
      </c>
      <c r="L653" s="4" t="s">
        <v>20</v>
      </c>
    </row>
    <row r="654" customFormat="false" ht="22.35" hidden="false" customHeight="false" outlineLevel="0" collapsed="false">
      <c r="A654" s="7" t="s">
        <v>677</v>
      </c>
      <c r="B654" s="7" t="s">
        <v>14</v>
      </c>
      <c r="C654" s="7" t="s">
        <v>15</v>
      </c>
      <c r="D654" s="7" t="s">
        <v>16</v>
      </c>
      <c r="E654" s="7" t="s">
        <v>27</v>
      </c>
      <c r="F654" s="8" t="n">
        <v>6.74</v>
      </c>
      <c r="G654" s="9" t="n">
        <v>0</v>
      </c>
      <c r="H654" s="9" t="n">
        <v>0</v>
      </c>
      <c r="I654" s="9" t="n">
        <v>0</v>
      </c>
      <c r="J654" s="7" t="s">
        <v>18</v>
      </c>
      <c r="K654" s="7" t="s">
        <v>19</v>
      </c>
      <c r="L654" s="7" t="s">
        <v>20</v>
      </c>
    </row>
    <row r="655" customFormat="false" ht="22.35" hidden="false" customHeight="false" outlineLevel="0" collapsed="false">
      <c r="A655" s="4" t="s">
        <v>678</v>
      </c>
      <c r="B655" s="4" t="s">
        <v>14</v>
      </c>
      <c r="C655" s="4" t="s">
        <v>15</v>
      </c>
      <c r="D655" s="4" t="s">
        <v>16</v>
      </c>
      <c r="E655" s="4" t="s">
        <v>27</v>
      </c>
      <c r="F655" s="5" t="n">
        <v>3.23</v>
      </c>
      <c r="G655" s="6" t="n">
        <v>0</v>
      </c>
      <c r="H655" s="6" t="n">
        <v>0</v>
      </c>
      <c r="I655" s="6" t="n">
        <v>0</v>
      </c>
      <c r="J655" s="4" t="s">
        <v>18</v>
      </c>
      <c r="K655" s="4" t="s">
        <v>19</v>
      </c>
      <c r="L655" s="4" t="s">
        <v>20</v>
      </c>
    </row>
    <row r="656" customFormat="false" ht="22.35" hidden="false" customHeight="false" outlineLevel="0" collapsed="false">
      <c r="A656" s="7" t="s">
        <v>679</v>
      </c>
      <c r="B656" s="7" t="s">
        <v>14</v>
      </c>
      <c r="C656" s="7" t="s">
        <v>15</v>
      </c>
      <c r="D656" s="7" t="s">
        <v>16</v>
      </c>
      <c r="E656" s="7" t="s">
        <v>17</v>
      </c>
      <c r="F656" s="8" t="n">
        <v>4.6</v>
      </c>
      <c r="G656" s="9" t="n">
        <v>0</v>
      </c>
      <c r="H656" s="9" t="n">
        <v>0</v>
      </c>
      <c r="I656" s="9" t="n">
        <v>0</v>
      </c>
      <c r="J656" s="7" t="s">
        <v>18</v>
      </c>
      <c r="K656" s="7" t="s">
        <v>19</v>
      </c>
      <c r="L656" s="7" t="s">
        <v>20</v>
      </c>
    </row>
    <row r="657" customFormat="false" ht="22.35" hidden="false" customHeight="false" outlineLevel="0" collapsed="false">
      <c r="A657" s="4" t="s">
        <v>680</v>
      </c>
      <c r="B657" s="4" t="s">
        <v>14</v>
      </c>
      <c r="C657" s="4" t="s">
        <v>15</v>
      </c>
      <c r="D657" s="4" t="s">
        <v>16</v>
      </c>
      <c r="E657" s="4" t="s">
        <v>44</v>
      </c>
      <c r="F657" s="5" t="n">
        <v>1.23</v>
      </c>
      <c r="G657" s="6" t="n">
        <v>0</v>
      </c>
      <c r="H657" s="6" t="n">
        <v>0</v>
      </c>
      <c r="I657" s="6" t="n">
        <v>0</v>
      </c>
      <c r="J657" s="4" t="s">
        <v>18</v>
      </c>
      <c r="K657" s="4" t="s">
        <v>19</v>
      </c>
      <c r="L657" s="4" t="s">
        <v>20</v>
      </c>
    </row>
    <row r="658" customFormat="false" ht="22.35" hidden="false" customHeight="false" outlineLevel="0" collapsed="false">
      <c r="A658" s="7" t="s">
        <v>681</v>
      </c>
      <c r="B658" s="7" t="s">
        <v>14</v>
      </c>
      <c r="C658" s="7" t="s">
        <v>15</v>
      </c>
      <c r="D658" s="7" t="s">
        <v>16</v>
      </c>
      <c r="E658" s="7" t="s">
        <v>17</v>
      </c>
      <c r="F658" s="8" t="n">
        <v>2.88</v>
      </c>
      <c r="G658" s="9" t="n">
        <v>0</v>
      </c>
      <c r="H658" s="9" t="n">
        <v>0</v>
      </c>
      <c r="I658" s="9" t="n">
        <v>0</v>
      </c>
      <c r="J658" s="7" t="s">
        <v>18</v>
      </c>
      <c r="K658" s="7" t="s">
        <v>19</v>
      </c>
      <c r="L658" s="7" t="s">
        <v>20</v>
      </c>
    </row>
    <row r="659" customFormat="false" ht="22.35" hidden="false" customHeight="false" outlineLevel="0" collapsed="false">
      <c r="A659" s="4" t="s">
        <v>682</v>
      </c>
      <c r="B659" s="4" t="s">
        <v>14</v>
      </c>
      <c r="C659" s="4" t="s">
        <v>15</v>
      </c>
      <c r="D659" s="4" t="s">
        <v>16</v>
      </c>
      <c r="E659" s="4" t="s">
        <v>17</v>
      </c>
      <c r="F659" s="5" t="n">
        <v>0.05</v>
      </c>
      <c r="G659" s="6" t="n">
        <v>0</v>
      </c>
      <c r="H659" s="6" t="n">
        <v>0</v>
      </c>
      <c r="I659" s="6" t="n">
        <v>0</v>
      </c>
      <c r="J659" s="4" t="s">
        <v>18</v>
      </c>
      <c r="K659" s="4" t="s">
        <v>19</v>
      </c>
      <c r="L659" s="4" t="s">
        <v>20</v>
      </c>
    </row>
    <row r="660" customFormat="false" ht="22.35" hidden="false" customHeight="false" outlineLevel="0" collapsed="false">
      <c r="A660" s="7" t="s">
        <v>683</v>
      </c>
      <c r="B660" s="7" t="s">
        <v>14</v>
      </c>
      <c r="C660" s="7" t="s">
        <v>15</v>
      </c>
      <c r="D660" s="7" t="s">
        <v>16</v>
      </c>
      <c r="E660" s="7" t="s">
        <v>44</v>
      </c>
      <c r="F660" s="8" t="n">
        <v>0</v>
      </c>
      <c r="G660" s="9" t="n">
        <v>0</v>
      </c>
      <c r="H660" s="9" t="n">
        <v>0</v>
      </c>
      <c r="I660" s="9" t="n">
        <v>0</v>
      </c>
      <c r="J660" s="7" t="s">
        <v>18</v>
      </c>
      <c r="K660" s="7" t="s">
        <v>19</v>
      </c>
      <c r="L660" s="7" t="s">
        <v>20</v>
      </c>
    </row>
    <row r="661" customFormat="false" ht="22.35" hidden="false" customHeight="false" outlineLevel="0" collapsed="false">
      <c r="A661" s="4" t="s">
        <v>684</v>
      </c>
      <c r="B661" s="4" t="s">
        <v>14</v>
      </c>
      <c r="C661" s="4" t="s">
        <v>15</v>
      </c>
      <c r="D661" s="4" t="s">
        <v>16</v>
      </c>
      <c r="E661" s="4" t="s">
        <v>17</v>
      </c>
      <c r="F661" s="5" t="n">
        <v>6.57</v>
      </c>
      <c r="G661" s="6" t="n">
        <v>0</v>
      </c>
      <c r="H661" s="6" t="n">
        <v>0</v>
      </c>
      <c r="I661" s="6" t="n">
        <v>0</v>
      </c>
      <c r="J661" s="4" t="s">
        <v>18</v>
      </c>
      <c r="K661" s="4" t="s">
        <v>19</v>
      </c>
      <c r="L661" s="4" t="s">
        <v>20</v>
      </c>
    </row>
    <row r="662" customFormat="false" ht="22.35" hidden="false" customHeight="false" outlineLevel="0" collapsed="false">
      <c r="A662" s="7" t="s">
        <v>685</v>
      </c>
      <c r="B662" s="7" t="s">
        <v>14</v>
      </c>
      <c r="C662" s="7" t="s">
        <v>15</v>
      </c>
      <c r="D662" s="7" t="s">
        <v>16</v>
      </c>
      <c r="E662" s="7" t="s">
        <v>17</v>
      </c>
      <c r="F662" s="8" t="n">
        <v>10.61</v>
      </c>
      <c r="G662" s="9" t="n">
        <v>0</v>
      </c>
      <c r="H662" s="9" t="n">
        <v>0</v>
      </c>
      <c r="I662" s="9" t="n">
        <v>0</v>
      </c>
      <c r="J662" s="7" t="s">
        <v>18</v>
      </c>
      <c r="K662" s="7" t="s">
        <v>19</v>
      </c>
      <c r="L662" s="7" t="s">
        <v>20</v>
      </c>
    </row>
    <row r="663" customFormat="false" ht="22.35" hidden="false" customHeight="false" outlineLevel="0" collapsed="false">
      <c r="A663" s="4" t="s">
        <v>686</v>
      </c>
      <c r="B663" s="4" t="s">
        <v>14</v>
      </c>
      <c r="C663" s="4" t="s">
        <v>15</v>
      </c>
      <c r="D663" s="4" t="s">
        <v>16</v>
      </c>
      <c r="E663" s="4" t="s">
        <v>17</v>
      </c>
      <c r="F663" s="5" t="n">
        <v>8.79</v>
      </c>
      <c r="G663" s="6" t="n">
        <v>0</v>
      </c>
      <c r="H663" s="6" t="n">
        <v>0</v>
      </c>
      <c r="I663" s="6" t="n">
        <v>0</v>
      </c>
      <c r="J663" s="4" t="s">
        <v>18</v>
      </c>
      <c r="K663" s="4" t="s">
        <v>19</v>
      </c>
      <c r="L663" s="4" t="s">
        <v>20</v>
      </c>
    </row>
    <row r="664" customFormat="false" ht="22.35" hidden="false" customHeight="false" outlineLevel="0" collapsed="false">
      <c r="A664" s="7" t="s">
        <v>687</v>
      </c>
      <c r="B664" s="7" t="s">
        <v>14</v>
      </c>
      <c r="C664" s="7" t="s">
        <v>15</v>
      </c>
      <c r="D664" s="7" t="s">
        <v>16</v>
      </c>
      <c r="E664" s="7" t="s">
        <v>17</v>
      </c>
      <c r="F664" s="8" t="n">
        <v>9.56</v>
      </c>
      <c r="G664" s="9" t="n">
        <v>0</v>
      </c>
      <c r="H664" s="9" t="n">
        <v>0</v>
      </c>
      <c r="I664" s="9" t="n">
        <v>0</v>
      </c>
      <c r="J664" s="7" t="s">
        <v>18</v>
      </c>
      <c r="K664" s="7" t="s">
        <v>19</v>
      </c>
      <c r="L664" s="7" t="s">
        <v>20</v>
      </c>
    </row>
    <row r="665" customFormat="false" ht="22.35" hidden="false" customHeight="false" outlineLevel="0" collapsed="false">
      <c r="A665" s="4" t="s">
        <v>688</v>
      </c>
      <c r="B665" s="4" t="s">
        <v>14</v>
      </c>
      <c r="C665" s="4" t="s">
        <v>15</v>
      </c>
      <c r="D665" s="4" t="s">
        <v>16</v>
      </c>
      <c r="E665" s="4" t="s">
        <v>17</v>
      </c>
      <c r="F665" s="5" t="n">
        <v>4.37</v>
      </c>
      <c r="G665" s="6" t="n">
        <v>0</v>
      </c>
      <c r="H665" s="6" t="n">
        <v>0</v>
      </c>
      <c r="I665" s="6" t="n">
        <v>0</v>
      </c>
      <c r="J665" s="4" t="s">
        <v>18</v>
      </c>
      <c r="K665" s="4" t="s">
        <v>19</v>
      </c>
      <c r="L665" s="4" t="s">
        <v>20</v>
      </c>
    </row>
    <row r="666" customFormat="false" ht="22.35" hidden="false" customHeight="false" outlineLevel="0" collapsed="false">
      <c r="A666" s="7" t="s">
        <v>689</v>
      </c>
      <c r="B666" s="7" t="s">
        <v>14</v>
      </c>
      <c r="C666" s="7" t="s">
        <v>15</v>
      </c>
      <c r="D666" s="7" t="s">
        <v>16</v>
      </c>
      <c r="E666" s="7" t="s">
        <v>17</v>
      </c>
      <c r="F666" s="8" t="n">
        <v>7.73</v>
      </c>
      <c r="G666" s="9" t="n">
        <v>0</v>
      </c>
      <c r="H666" s="9" t="n">
        <v>0</v>
      </c>
      <c r="I666" s="9" t="n">
        <v>0</v>
      </c>
      <c r="J666" s="7" t="s">
        <v>18</v>
      </c>
      <c r="K666" s="7" t="s">
        <v>19</v>
      </c>
      <c r="L666" s="7" t="s">
        <v>20</v>
      </c>
    </row>
    <row r="667" customFormat="false" ht="22.35" hidden="false" customHeight="false" outlineLevel="0" collapsed="false">
      <c r="A667" s="4" t="s">
        <v>690</v>
      </c>
      <c r="B667" s="4" t="s">
        <v>14</v>
      </c>
      <c r="C667" s="4" t="s">
        <v>15</v>
      </c>
      <c r="D667" s="4" t="s">
        <v>16</v>
      </c>
      <c r="E667" s="4" t="s">
        <v>44</v>
      </c>
      <c r="F667" s="5" t="n">
        <v>2.17</v>
      </c>
      <c r="G667" s="6" t="n">
        <v>0</v>
      </c>
      <c r="H667" s="6" t="n">
        <v>0</v>
      </c>
      <c r="I667" s="6" t="n">
        <v>0</v>
      </c>
      <c r="J667" s="4" t="s">
        <v>18</v>
      </c>
      <c r="K667" s="4" t="s">
        <v>19</v>
      </c>
      <c r="L667" s="4" t="s">
        <v>20</v>
      </c>
    </row>
    <row r="668" customFormat="false" ht="22.35" hidden="false" customHeight="false" outlineLevel="0" collapsed="false">
      <c r="A668" s="7" t="s">
        <v>691</v>
      </c>
      <c r="B668" s="7" t="s">
        <v>14</v>
      </c>
      <c r="C668" s="7" t="s">
        <v>15</v>
      </c>
      <c r="D668" s="7" t="s">
        <v>16</v>
      </c>
      <c r="E668" s="7" t="s">
        <v>44</v>
      </c>
      <c r="F668" s="8" t="n">
        <v>12.1</v>
      </c>
      <c r="G668" s="9" t="n">
        <v>0</v>
      </c>
      <c r="H668" s="9" t="n">
        <v>0</v>
      </c>
      <c r="I668" s="9" t="n">
        <v>0</v>
      </c>
      <c r="J668" s="7" t="s">
        <v>18</v>
      </c>
      <c r="K668" s="7" t="s">
        <v>19</v>
      </c>
      <c r="L668" s="7" t="s">
        <v>20</v>
      </c>
    </row>
    <row r="669" customFormat="false" ht="22.35" hidden="false" customHeight="false" outlineLevel="0" collapsed="false">
      <c r="A669" s="4" t="s">
        <v>692</v>
      </c>
      <c r="B669" s="4" t="s">
        <v>14</v>
      </c>
      <c r="C669" s="4" t="s">
        <v>15</v>
      </c>
      <c r="D669" s="4" t="s">
        <v>16</v>
      </c>
      <c r="E669" s="4" t="s">
        <v>44</v>
      </c>
      <c r="F669" s="5" t="n">
        <v>8.34</v>
      </c>
      <c r="G669" s="6" t="n">
        <v>0</v>
      </c>
      <c r="H669" s="6" t="n">
        <v>0</v>
      </c>
      <c r="I669" s="6" t="n">
        <v>0</v>
      </c>
      <c r="J669" s="4" t="s">
        <v>18</v>
      </c>
      <c r="K669" s="4" t="s">
        <v>19</v>
      </c>
      <c r="L669" s="4" t="s">
        <v>20</v>
      </c>
    </row>
    <row r="670" customFormat="false" ht="22.35" hidden="false" customHeight="false" outlineLevel="0" collapsed="false">
      <c r="A670" s="7" t="s">
        <v>693</v>
      </c>
      <c r="B670" s="7" t="s">
        <v>14</v>
      </c>
      <c r="C670" s="7" t="s">
        <v>15</v>
      </c>
      <c r="D670" s="7" t="s">
        <v>16</v>
      </c>
      <c r="E670" s="7" t="s">
        <v>44</v>
      </c>
      <c r="F670" s="8" t="n">
        <v>11.9</v>
      </c>
      <c r="G670" s="9" t="n">
        <v>0</v>
      </c>
      <c r="H670" s="9" t="n">
        <v>0</v>
      </c>
      <c r="I670" s="9" t="n">
        <v>0</v>
      </c>
      <c r="J670" s="7" t="s">
        <v>18</v>
      </c>
      <c r="K670" s="7" t="s">
        <v>19</v>
      </c>
      <c r="L670" s="7" t="s">
        <v>20</v>
      </c>
    </row>
    <row r="671" customFormat="false" ht="22.35" hidden="false" customHeight="false" outlineLevel="0" collapsed="false">
      <c r="A671" s="4" t="s">
        <v>694</v>
      </c>
      <c r="B671" s="4" t="s">
        <v>14</v>
      </c>
      <c r="C671" s="4" t="s">
        <v>15</v>
      </c>
      <c r="D671" s="4" t="s">
        <v>16</v>
      </c>
      <c r="E671" s="4" t="s">
        <v>44</v>
      </c>
      <c r="F671" s="5" t="n">
        <v>17.69</v>
      </c>
      <c r="G671" s="6" t="n">
        <v>0</v>
      </c>
      <c r="H671" s="6" t="n">
        <v>0</v>
      </c>
      <c r="I671" s="6" t="n">
        <v>0</v>
      </c>
      <c r="J671" s="4" t="s">
        <v>18</v>
      </c>
      <c r="K671" s="4" t="s">
        <v>19</v>
      </c>
      <c r="L671" s="4" t="s">
        <v>20</v>
      </c>
    </row>
    <row r="672" customFormat="false" ht="22.35" hidden="false" customHeight="false" outlineLevel="0" collapsed="false">
      <c r="A672" s="7" t="s">
        <v>695</v>
      </c>
      <c r="B672" s="7" t="s">
        <v>14</v>
      </c>
      <c r="C672" s="7" t="s">
        <v>15</v>
      </c>
      <c r="D672" s="7" t="s">
        <v>16</v>
      </c>
      <c r="E672" s="7" t="s">
        <v>44</v>
      </c>
      <c r="F672" s="8" t="n">
        <v>6.54</v>
      </c>
      <c r="G672" s="9" t="n">
        <v>0</v>
      </c>
      <c r="H672" s="9" t="n">
        <v>0</v>
      </c>
      <c r="I672" s="9" t="n">
        <v>0</v>
      </c>
      <c r="J672" s="7" t="s">
        <v>18</v>
      </c>
      <c r="K672" s="7" t="s">
        <v>19</v>
      </c>
      <c r="L672" s="7" t="s">
        <v>20</v>
      </c>
    </row>
    <row r="673" customFormat="false" ht="22.35" hidden="false" customHeight="false" outlineLevel="0" collapsed="false">
      <c r="A673" s="4" t="s">
        <v>696</v>
      </c>
      <c r="B673" s="4" t="s">
        <v>14</v>
      </c>
      <c r="C673" s="4" t="s">
        <v>15</v>
      </c>
      <c r="D673" s="4" t="s">
        <v>16</v>
      </c>
      <c r="E673" s="4" t="s">
        <v>44</v>
      </c>
      <c r="F673" s="5" t="n">
        <v>16.67</v>
      </c>
      <c r="G673" s="6" t="n">
        <v>0</v>
      </c>
      <c r="H673" s="6" t="n">
        <v>0</v>
      </c>
      <c r="I673" s="6" t="n">
        <v>0</v>
      </c>
      <c r="J673" s="4" t="s">
        <v>18</v>
      </c>
      <c r="K673" s="4" t="s">
        <v>19</v>
      </c>
      <c r="L673" s="4" t="s">
        <v>20</v>
      </c>
    </row>
    <row r="674" customFormat="false" ht="22.35" hidden="false" customHeight="false" outlineLevel="0" collapsed="false">
      <c r="A674" s="7" t="s">
        <v>697</v>
      </c>
      <c r="B674" s="7" t="s">
        <v>14</v>
      </c>
      <c r="C674" s="7" t="s">
        <v>15</v>
      </c>
      <c r="D674" s="7" t="s">
        <v>16</v>
      </c>
      <c r="E674" s="7" t="s">
        <v>44</v>
      </c>
      <c r="F674" s="8" t="n">
        <v>26.17</v>
      </c>
      <c r="G674" s="9" t="n">
        <v>0</v>
      </c>
      <c r="H674" s="9" t="n">
        <v>0</v>
      </c>
      <c r="I674" s="9" t="n">
        <v>0</v>
      </c>
      <c r="J674" s="7" t="s">
        <v>18</v>
      </c>
      <c r="K674" s="7" t="s">
        <v>19</v>
      </c>
      <c r="L674" s="7" t="s">
        <v>20</v>
      </c>
    </row>
    <row r="675" customFormat="false" ht="22.35" hidden="false" customHeight="false" outlineLevel="0" collapsed="false">
      <c r="A675" s="4" t="s">
        <v>698</v>
      </c>
      <c r="B675" s="4" t="s">
        <v>14</v>
      </c>
      <c r="C675" s="4" t="s">
        <v>15</v>
      </c>
      <c r="D675" s="4" t="s">
        <v>16</v>
      </c>
      <c r="E675" s="4" t="s">
        <v>44</v>
      </c>
      <c r="F675" s="5" t="n">
        <v>7.49</v>
      </c>
      <c r="G675" s="6" t="n">
        <v>0</v>
      </c>
      <c r="H675" s="6" t="n">
        <v>0</v>
      </c>
      <c r="I675" s="6" t="n">
        <v>0</v>
      </c>
      <c r="J675" s="4" t="s">
        <v>18</v>
      </c>
      <c r="K675" s="4" t="s">
        <v>19</v>
      </c>
      <c r="L675" s="4" t="s">
        <v>20</v>
      </c>
    </row>
    <row r="676" customFormat="false" ht="22.35" hidden="false" customHeight="false" outlineLevel="0" collapsed="false">
      <c r="A676" s="7" t="s">
        <v>699</v>
      </c>
      <c r="B676" s="7" t="s">
        <v>14</v>
      </c>
      <c r="C676" s="7" t="s">
        <v>15</v>
      </c>
      <c r="D676" s="7" t="s">
        <v>16</v>
      </c>
      <c r="E676" s="7" t="s">
        <v>44</v>
      </c>
      <c r="F676" s="8" t="n">
        <v>31.6</v>
      </c>
      <c r="G676" s="9" t="n">
        <v>0</v>
      </c>
      <c r="H676" s="9" t="n">
        <v>0</v>
      </c>
      <c r="I676" s="9" t="n">
        <v>0</v>
      </c>
      <c r="J676" s="7" t="s">
        <v>18</v>
      </c>
      <c r="K676" s="7" t="s">
        <v>19</v>
      </c>
      <c r="L676" s="7" t="s">
        <v>20</v>
      </c>
    </row>
    <row r="677" customFormat="false" ht="22.35" hidden="false" customHeight="false" outlineLevel="0" collapsed="false">
      <c r="A677" s="4" t="s">
        <v>700</v>
      </c>
      <c r="B677" s="4" t="s">
        <v>14</v>
      </c>
      <c r="C677" s="4" t="s">
        <v>15</v>
      </c>
      <c r="D677" s="4" t="s">
        <v>16</v>
      </c>
      <c r="E677" s="4" t="s">
        <v>44</v>
      </c>
      <c r="F677" s="5" t="n">
        <v>15.47</v>
      </c>
      <c r="G677" s="6" t="n">
        <v>0</v>
      </c>
      <c r="H677" s="6" t="n">
        <v>0</v>
      </c>
      <c r="I677" s="6" t="n">
        <v>0</v>
      </c>
      <c r="J677" s="4" t="s">
        <v>18</v>
      </c>
      <c r="K677" s="4" t="s">
        <v>19</v>
      </c>
      <c r="L677" s="4" t="s">
        <v>20</v>
      </c>
    </row>
    <row r="678" customFormat="false" ht="22.35" hidden="false" customHeight="false" outlineLevel="0" collapsed="false">
      <c r="A678" s="7" t="s">
        <v>701</v>
      </c>
      <c r="B678" s="7" t="s">
        <v>14</v>
      </c>
      <c r="C678" s="7" t="s">
        <v>15</v>
      </c>
      <c r="D678" s="7" t="s">
        <v>16</v>
      </c>
      <c r="E678" s="7" t="s">
        <v>44</v>
      </c>
      <c r="F678" s="8" t="n">
        <v>6.4</v>
      </c>
      <c r="G678" s="9" t="n">
        <v>0</v>
      </c>
      <c r="H678" s="9" t="n">
        <v>0</v>
      </c>
      <c r="I678" s="9" t="n">
        <v>0</v>
      </c>
      <c r="J678" s="7" t="s">
        <v>18</v>
      </c>
      <c r="K678" s="7" t="s">
        <v>19</v>
      </c>
      <c r="L678" s="7" t="s">
        <v>20</v>
      </c>
    </row>
    <row r="679" customFormat="false" ht="22.35" hidden="false" customHeight="false" outlineLevel="0" collapsed="false">
      <c r="A679" s="4" t="s">
        <v>702</v>
      </c>
      <c r="B679" s="4" t="s">
        <v>14</v>
      </c>
      <c r="C679" s="4" t="s">
        <v>15</v>
      </c>
      <c r="D679" s="4" t="s">
        <v>16</v>
      </c>
      <c r="E679" s="4" t="s">
        <v>44</v>
      </c>
      <c r="F679" s="5" t="n">
        <v>8.96</v>
      </c>
      <c r="G679" s="6" t="n">
        <v>0</v>
      </c>
      <c r="H679" s="6" t="n">
        <v>0</v>
      </c>
      <c r="I679" s="6" t="n">
        <v>0</v>
      </c>
      <c r="J679" s="4" t="s">
        <v>18</v>
      </c>
      <c r="K679" s="4" t="s">
        <v>19</v>
      </c>
      <c r="L679" s="4" t="s">
        <v>20</v>
      </c>
    </row>
    <row r="680" customFormat="false" ht="22.35" hidden="false" customHeight="false" outlineLevel="0" collapsed="false">
      <c r="A680" s="7" t="s">
        <v>703</v>
      </c>
      <c r="B680" s="7" t="s">
        <v>14</v>
      </c>
      <c r="C680" s="7" t="s">
        <v>15</v>
      </c>
      <c r="D680" s="7" t="s">
        <v>16</v>
      </c>
      <c r="E680" s="7" t="s">
        <v>44</v>
      </c>
      <c r="F680" s="8" t="n">
        <v>7.1156</v>
      </c>
      <c r="G680" s="9" t="n">
        <v>0</v>
      </c>
      <c r="H680" s="9" t="n">
        <v>0</v>
      </c>
      <c r="I680" s="9" t="n">
        <v>0</v>
      </c>
      <c r="J680" s="7" t="s">
        <v>18</v>
      </c>
      <c r="K680" s="7" t="s">
        <v>19</v>
      </c>
      <c r="L680" s="7" t="s">
        <v>20</v>
      </c>
    </row>
    <row r="681" customFormat="false" ht="22.35" hidden="false" customHeight="false" outlineLevel="0" collapsed="false">
      <c r="A681" s="4" t="s">
        <v>704</v>
      </c>
      <c r="B681" s="4" t="s">
        <v>14</v>
      </c>
      <c r="C681" s="4" t="s">
        <v>15</v>
      </c>
      <c r="D681" s="4" t="s">
        <v>16</v>
      </c>
      <c r="E681" s="4" t="s">
        <v>44</v>
      </c>
      <c r="F681" s="5" t="n">
        <v>14.31</v>
      </c>
      <c r="G681" s="6" t="n">
        <v>0</v>
      </c>
      <c r="H681" s="6" t="n">
        <v>0</v>
      </c>
      <c r="I681" s="6" t="n">
        <v>0</v>
      </c>
      <c r="J681" s="4" t="s">
        <v>18</v>
      </c>
      <c r="K681" s="4" t="s">
        <v>19</v>
      </c>
      <c r="L681" s="4" t="s">
        <v>20</v>
      </c>
    </row>
    <row r="682" customFormat="false" ht="22.35" hidden="false" customHeight="false" outlineLevel="0" collapsed="false">
      <c r="A682" s="7" t="s">
        <v>705</v>
      </c>
      <c r="B682" s="7" t="s">
        <v>14</v>
      </c>
      <c r="C682" s="7" t="s">
        <v>15</v>
      </c>
      <c r="D682" s="7" t="s">
        <v>16</v>
      </c>
      <c r="E682" s="7" t="s">
        <v>44</v>
      </c>
      <c r="F682" s="8" t="n">
        <v>9.96</v>
      </c>
      <c r="G682" s="9" t="n">
        <v>0</v>
      </c>
      <c r="H682" s="9" t="n">
        <v>0</v>
      </c>
      <c r="I682" s="9" t="n">
        <v>0</v>
      </c>
      <c r="J682" s="7" t="s">
        <v>18</v>
      </c>
      <c r="K682" s="7" t="s">
        <v>19</v>
      </c>
      <c r="L682" s="7" t="s">
        <v>20</v>
      </c>
    </row>
    <row r="683" customFormat="false" ht="22.35" hidden="false" customHeight="false" outlineLevel="0" collapsed="false">
      <c r="A683" s="4" t="s">
        <v>706</v>
      </c>
      <c r="B683" s="4" t="s">
        <v>14</v>
      </c>
      <c r="C683" s="4" t="s">
        <v>15</v>
      </c>
      <c r="D683" s="4" t="s">
        <v>16</v>
      </c>
      <c r="E683" s="4" t="s">
        <v>44</v>
      </c>
      <c r="F683" s="5" t="n">
        <v>5.56</v>
      </c>
      <c r="G683" s="6" t="n">
        <v>0</v>
      </c>
      <c r="H683" s="6" t="n">
        <v>0</v>
      </c>
      <c r="I683" s="6" t="n">
        <v>0</v>
      </c>
      <c r="J683" s="4" t="s">
        <v>18</v>
      </c>
      <c r="K683" s="4" t="s">
        <v>19</v>
      </c>
      <c r="L683" s="4" t="s">
        <v>20</v>
      </c>
    </row>
    <row r="684" customFormat="false" ht="22.35" hidden="false" customHeight="false" outlineLevel="0" collapsed="false">
      <c r="A684" s="7" t="s">
        <v>707</v>
      </c>
      <c r="B684" s="7" t="s">
        <v>14</v>
      </c>
      <c r="C684" s="7" t="s">
        <v>15</v>
      </c>
      <c r="D684" s="7" t="s">
        <v>16</v>
      </c>
      <c r="E684" s="7" t="s">
        <v>17</v>
      </c>
      <c r="F684" s="8" t="n">
        <v>10.05</v>
      </c>
      <c r="G684" s="9" t="n">
        <v>0</v>
      </c>
      <c r="H684" s="9" t="n">
        <v>0</v>
      </c>
      <c r="I684" s="9" t="n">
        <v>0</v>
      </c>
      <c r="J684" s="7" t="s">
        <v>18</v>
      </c>
      <c r="K684" s="7" t="s">
        <v>19</v>
      </c>
      <c r="L684" s="7" t="s">
        <v>20</v>
      </c>
    </row>
    <row r="685" customFormat="false" ht="22.35" hidden="false" customHeight="false" outlineLevel="0" collapsed="false">
      <c r="A685" s="4" t="s">
        <v>708</v>
      </c>
      <c r="B685" s="4" t="s">
        <v>14</v>
      </c>
      <c r="C685" s="4" t="s">
        <v>15</v>
      </c>
      <c r="D685" s="4" t="s">
        <v>16</v>
      </c>
      <c r="E685" s="4" t="s">
        <v>44</v>
      </c>
      <c r="F685" s="5" t="n">
        <v>6.76</v>
      </c>
      <c r="G685" s="6" t="n">
        <v>0</v>
      </c>
      <c r="H685" s="6" t="n">
        <v>0</v>
      </c>
      <c r="I685" s="6" t="n">
        <v>0</v>
      </c>
      <c r="J685" s="4" t="s">
        <v>18</v>
      </c>
      <c r="K685" s="4" t="s">
        <v>19</v>
      </c>
      <c r="L685" s="4" t="s">
        <v>20</v>
      </c>
    </row>
    <row r="686" customFormat="false" ht="22.35" hidden="false" customHeight="false" outlineLevel="0" collapsed="false">
      <c r="A686" s="7" t="s">
        <v>709</v>
      </c>
      <c r="B686" s="7" t="s">
        <v>14</v>
      </c>
      <c r="C686" s="7" t="s">
        <v>15</v>
      </c>
      <c r="D686" s="7" t="s">
        <v>16</v>
      </c>
      <c r="E686" s="7" t="s">
        <v>17</v>
      </c>
      <c r="F686" s="8" t="n">
        <v>6.43</v>
      </c>
      <c r="G686" s="9" t="n">
        <v>0</v>
      </c>
      <c r="H686" s="9" t="n">
        <v>0</v>
      </c>
      <c r="I686" s="9" t="n">
        <v>0</v>
      </c>
      <c r="J686" s="7" t="s">
        <v>18</v>
      </c>
      <c r="K686" s="7" t="s">
        <v>19</v>
      </c>
      <c r="L686" s="7" t="s">
        <v>20</v>
      </c>
    </row>
    <row r="687" customFormat="false" ht="22.35" hidden="false" customHeight="false" outlineLevel="0" collapsed="false">
      <c r="A687" s="4" t="s">
        <v>710</v>
      </c>
      <c r="B687" s="4" t="s">
        <v>14</v>
      </c>
      <c r="C687" s="4" t="s">
        <v>15</v>
      </c>
      <c r="D687" s="4" t="s">
        <v>16</v>
      </c>
      <c r="E687" s="4" t="s">
        <v>17</v>
      </c>
      <c r="F687" s="5" t="n">
        <v>6.74</v>
      </c>
      <c r="G687" s="6" t="n">
        <v>0</v>
      </c>
      <c r="H687" s="6" t="n">
        <v>0</v>
      </c>
      <c r="I687" s="6" t="n">
        <v>0</v>
      </c>
      <c r="J687" s="4" t="s">
        <v>18</v>
      </c>
      <c r="K687" s="4" t="s">
        <v>19</v>
      </c>
      <c r="L687" s="4" t="s">
        <v>20</v>
      </c>
    </row>
    <row r="688" customFormat="false" ht="22.35" hidden="false" customHeight="false" outlineLevel="0" collapsed="false">
      <c r="A688" s="7" t="s">
        <v>711</v>
      </c>
      <c r="B688" s="7" t="s">
        <v>14</v>
      </c>
      <c r="C688" s="7" t="s">
        <v>15</v>
      </c>
      <c r="D688" s="7" t="s">
        <v>16</v>
      </c>
      <c r="E688" s="7" t="s">
        <v>17</v>
      </c>
      <c r="F688" s="8" t="n">
        <v>9.42</v>
      </c>
      <c r="G688" s="9" t="n">
        <v>0</v>
      </c>
      <c r="H688" s="9" t="n">
        <v>0</v>
      </c>
      <c r="I688" s="9" t="n">
        <v>0</v>
      </c>
      <c r="J688" s="7" t="s">
        <v>18</v>
      </c>
      <c r="K688" s="7" t="s">
        <v>19</v>
      </c>
      <c r="L688" s="7" t="s">
        <v>20</v>
      </c>
    </row>
    <row r="689" customFormat="false" ht="22.35" hidden="false" customHeight="false" outlineLevel="0" collapsed="false">
      <c r="A689" s="4" t="s">
        <v>712</v>
      </c>
      <c r="B689" s="4" t="s">
        <v>14</v>
      </c>
      <c r="C689" s="4" t="s">
        <v>15</v>
      </c>
      <c r="D689" s="4" t="s">
        <v>16</v>
      </c>
      <c r="E689" s="4" t="s">
        <v>44</v>
      </c>
      <c r="F689" s="5" t="n">
        <v>4.27</v>
      </c>
      <c r="G689" s="6" t="n">
        <v>0</v>
      </c>
      <c r="H689" s="6" t="n">
        <v>0</v>
      </c>
      <c r="I689" s="6" t="n">
        <v>0</v>
      </c>
      <c r="J689" s="4" t="s">
        <v>18</v>
      </c>
      <c r="K689" s="4" t="s">
        <v>19</v>
      </c>
      <c r="L689" s="4" t="s">
        <v>20</v>
      </c>
    </row>
    <row r="690" customFormat="false" ht="22.35" hidden="false" customHeight="false" outlineLevel="0" collapsed="false">
      <c r="A690" s="7" t="s">
        <v>713</v>
      </c>
      <c r="B690" s="7" t="s">
        <v>14</v>
      </c>
      <c r="C690" s="7" t="s">
        <v>15</v>
      </c>
      <c r="D690" s="7" t="s">
        <v>16</v>
      </c>
      <c r="E690" s="7" t="s">
        <v>17</v>
      </c>
      <c r="F690" s="8" t="n">
        <v>6.06</v>
      </c>
      <c r="G690" s="9" t="n">
        <v>0</v>
      </c>
      <c r="H690" s="9" t="n">
        <v>0</v>
      </c>
      <c r="I690" s="9" t="n">
        <v>0</v>
      </c>
      <c r="J690" s="7" t="s">
        <v>18</v>
      </c>
      <c r="K690" s="7" t="s">
        <v>19</v>
      </c>
      <c r="L690" s="7" t="s">
        <v>20</v>
      </c>
    </row>
    <row r="691" customFormat="false" ht="22.35" hidden="false" customHeight="false" outlineLevel="0" collapsed="false">
      <c r="A691" s="4" t="s">
        <v>714</v>
      </c>
      <c r="B691" s="4" t="s">
        <v>14</v>
      </c>
      <c r="C691" s="4" t="s">
        <v>15</v>
      </c>
      <c r="D691" s="4" t="s">
        <v>16</v>
      </c>
      <c r="E691" s="4" t="s">
        <v>44</v>
      </c>
      <c r="F691" s="5" t="n">
        <v>1.73</v>
      </c>
      <c r="G691" s="6" t="n">
        <v>0</v>
      </c>
      <c r="H691" s="6" t="n">
        <v>0</v>
      </c>
      <c r="I691" s="6" t="n">
        <v>0</v>
      </c>
      <c r="J691" s="4" t="s">
        <v>18</v>
      </c>
      <c r="K691" s="4" t="s">
        <v>19</v>
      </c>
      <c r="L691" s="4" t="s">
        <v>20</v>
      </c>
    </row>
    <row r="692" customFormat="false" ht="22.35" hidden="false" customHeight="false" outlineLevel="0" collapsed="false">
      <c r="A692" s="7" t="s">
        <v>715</v>
      </c>
      <c r="B692" s="7" t="s">
        <v>14</v>
      </c>
      <c r="C692" s="7" t="s">
        <v>15</v>
      </c>
      <c r="D692" s="7" t="s">
        <v>16</v>
      </c>
      <c r="E692" s="7" t="s">
        <v>44</v>
      </c>
      <c r="F692" s="8" t="n">
        <v>12.7</v>
      </c>
      <c r="G692" s="9" t="n">
        <v>0</v>
      </c>
      <c r="H692" s="9" t="n">
        <v>0</v>
      </c>
      <c r="I692" s="9" t="n">
        <v>0</v>
      </c>
      <c r="J692" s="7" t="s">
        <v>18</v>
      </c>
      <c r="K692" s="7" t="s">
        <v>19</v>
      </c>
      <c r="L692" s="7" t="s">
        <v>20</v>
      </c>
    </row>
    <row r="693" customFormat="false" ht="22.35" hidden="false" customHeight="false" outlineLevel="0" collapsed="false">
      <c r="A693" s="4" t="s">
        <v>716</v>
      </c>
      <c r="B693" s="4" t="s">
        <v>14</v>
      </c>
      <c r="C693" s="4" t="s">
        <v>15</v>
      </c>
      <c r="D693" s="4" t="s">
        <v>16</v>
      </c>
      <c r="E693" s="4" t="s">
        <v>44</v>
      </c>
      <c r="F693" s="5" t="n">
        <v>7.98</v>
      </c>
      <c r="G693" s="6" t="n">
        <v>0</v>
      </c>
      <c r="H693" s="6" t="n">
        <v>0</v>
      </c>
      <c r="I693" s="6" t="n">
        <v>0</v>
      </c>
      <c r="J693" s="4" t="s">
        <v>18</v>
      </c>
      <c r="K693" s="4" t="s">
        <v>19</v>
      </c>
      <c r="L693" s="4" t="s">
        <v>20</v>
      </c>
    </row>
    <row r="694" customFormat="false" ht="22.35" hidden="false" customHeight="false" outlineLevel="0" collapsed="false">
      <c r="A694" s="7" t="s">
        <v>717</v>
      </c>
      <c r="B694" s="7" t="s">
        <v>14</v>
      </c>
      <c r="C694" s="7" t="s">
        <v>15</v>
      </c>
      <c r="D694" s="7" t="s">
        <v>16</v>
      </c>
      <c r="E694" s="7" t="s">
        <v>44</v>
      </c>
      <c r="F694" s="8" t="n">
        <v>5.92</v>
      </c>
      <c r="G694" s="9" t="n">
        <v>0</v>
      </c>
      <c r="H694" s="9" t="n">
        <v>0</v>
      </c>
      <c r="I694" s="9" t="n">
        <v>0</v>
      </c>
      <c r="J694" s="7" t="s">
        <v>18</v>
      </c>
      <c r="K694" s="7" t="s">
        <v>19</v>
      </c>
      <c r="L694" s="7" t="s">
        <v>20</v>
      </c>
    </row>
    <row r="695" customFormat="false" ht="22.35" hidden="false" customHeight="false" outlineLevel="0" collapsed="false">
      <c r="A695" s="4" t="s">
        <v>718</v>
      </c>
      <c r="B695" s="4" t="s">
        <v>14</v>
      </c>
      <c r="C695" s="4" t="s">
        <v>15</v>
      </c>
      <c r="D695" s="4" t="s">
        <v>16</v>
      </c>
      <c r="E695" s="4" t="s">
        <v>44</v>
      </c>
      <c r="F695" s="5" t="n">
        <v>18.101</v>
      </c>
      <c r="G695" s="6" t="n">
        <v>0</v>
      </c>
      <c r="H695" s="6" t="n">
        <v>0</v>
      </c>
      <c r="I695" s="6" t="n">
        <v>0</v>
      </c>
      <c r="J695" s="4" t="s">
        <v>18</v>
      </c>
      <c r="K695" s="4" t="s">
        <v>19</v>
      </c>
      <c r="L695" s="4" t="s">
        <v>20</v>
      </c>
    </row>
    <row r="696" customFormat="false" ht="22.35" hidden="false" customHeight="false" outlineLevel="0" collapsed="false">
      <c r="A696" s="7" t="s">
        <v>719</v>
      </c>
      <c r="B696" s="7" t="s">
        <v>14</v>
      </c>
      <c r="C696" s="7" t="s">
        <v>15</v>
      </c>
      <c r="D696" s="7" t="s">
        <v>16</v>
      </c>
      <c r="E696" s="7" t="s">
        <v>17</v>
      </c>
      <c r="F696" s="8" t="n">
        <v>7.09</v>
      </c>
      <c r="G696" s="9" t="n">
        <v>0</v>
      </c>
      <c r="H696" s="9" t="n">
        <v>0</v>
      </c>
      <c r="I696" s="9" t="n">
        <v>0</v>
      </c>
      <c r="J696" s="7" t="s">
        <v>18</v>
      </c>
      <c r="K696" s="7" t="s">
        <v>19</v>
      </c>
      <c r="L696" s="7" t="s">
        <v>20</v>
      </c>
    </row>
    <row r="697" customFormat="false" ht="22.35" hidden="false" customHeight="false" outlineLevel="0" collapsed="false">
      <c r="A697" s="4" t="s">
        <v>720</v>
      </c>
      <c r="B697" s="4" t="s">
        <v>14</v>
      </c>
      <c r="C697" s="4" t="s">
        <v>15</v>
      </c>
      <c r="D697" s="4" t="s">
        <v>16</v>
      </c>
      <c r="E697" s="4" t="s">
        <v>17</v>
      </c>
      <c r="F697" s="5" t="n">
        <v>16.26</v>
      </c>
      <c r="G697" s="6" t="n">
        <v>0</v>
      </c>
      <c r="H697" s="6" t="n">
        <v>0</v>
      </c>
      <c r="I697" s="6" t="n">
        <v>0</v>
      </c>
      <c r="J697" s="4" t="s">
        <v>18</v>
      </c>
      <c r="K697" s="4" t="s">
        <v>19</v>
      </c>
      <c r="L697" s="4" t="s">
        <v>20</v>
      </c>
    </row>
    <row r="698" customFormat="false" ht="22.35" hidden="false" customHeight="false" outlineLevel="0" collapsed="false">
      <c r="A698" s="7" t="s">
        <v>721</v>
      </c>
      <c r="B698" s="7" t="s">
        <v>14</v>
      </c>
      <c r="C698" s="7" t="s">
        <v>15</v>
      </c>
      <c r="D698" s="7" t="s">
        <v>16</v>
      </c>
      <c r="E698" s="7" t="s">
        <v>17</v>
      </c>
      <c r="F698" s="8" t="n">
        <v>14.45</v>
      </c>
      <c r="G698" s="9" t="n">
        <v>0</v>
      </c>
      <c r="H698" s="9" t="n">
        <v>0</v>
      </c>
      <c r="I698" s="9" t="n">
        <v>0</v>
      </c>
      <c r="J698" s="7" t="s">
        <v>18</v>
      </c>
      <c r="K698" s="7" t="s">
        <v>19</v>
      </c>
      <c r="L698" s="7" t="s">
        <v>20</v>
      </c>
    </row>
    <row r="699" customFormat="false" ht="22.35" hidden="false" customHeight="false" outlineLevel="0" collapsed="false">
      <c r="A699" s="4" t="s">
        <v>722</v>
      </c>
      <c r="B699" s="4" t="s">
        <v>14</v>
      </c>
      <c r="C699" s="4" t="s">
        <v>15</v>
      </c>
      <c r="D699" s="4" t="s">
        <v>16</v>
      </c>
      <c r="E699" s="4" t="s">
        <v>44</v>
      </c>
      <c r="F699" s="5" t="n">
        <v>3.01</v>
      </c>
      <c r="G699" s="6" t="n">
        <v>0</v>
      </c>
      <c r="H699" s="6" t="n">
        <v>0</v>
      </c>
      <c r="I699" s="6" t="n">
        <v>0</v>
      </c>
      <c r="J699" s="4" t="s">
        <v>18</v>
      </c>
      <c r="K699" s="4" t="s">
        <v>19</v>
      </c>
      <c r="L699" s="4" t="s">
        <v>20</v>
      </c>
    </row>
    <row r="700" customFormat="false" ht="22.35" hidden="false" customHeight="false" outlineLevel="0" collapsed="false">
      <c r="A700" s="7" t="s">
        <v>723</v>
      </c>
      <c r="B700" s="7" t="s">
        <v>14</v>
      </c>
      <c r="C700" s="7" t="s">
        <v>15</v>
      </c>
      <c r="D700" s="7" t="s">
        <v>16</v>
      </c>
      <c r="E700" s="7" t="s">
        <v>17</v>
      </c>
      <c r="F700" s="8" t="n">
        <v>6</v>
      </c>
      <c r="G700" s="9" t="n">
        <v>0</v>
      </c>
      <c r="H700" s="9" t="n">
        <v>0</v>
      </c>
      <c r="I700" s="9" t="n">
        <v>0</v>
      </c>
      <c r="J700" s="7" t="s">
        <v>18</v>
      </c>
      <c r="K700" s="7" t="s">
        <v>19</v>
      </c>
      <c r="L700" s="7" t="s">
        <v>20</v>
      </c>
    </row>
    <row r="701" customFormat="false" ht="22.35" hidden="false" customHeight="false" outlineLevel="0" collapsed="false">
      <c r="A701" s="4" t="s">
        <v>724</v>
      </c>
      <c r="B701" s="4" t="s">
        <v>14</v>
      </c>
      <c r="C701" s="4" t="s">
        <v>15</v>
      </c>
      <c r="D701" s="4" t="s">
        <v>16</v>
      </c>
      <c r="E701" s="4" t="s">
        <v>17</v>
      </c>
      <c r="F701" s="5" t="n">
        <v>6.18</v>
      </c>
      <c r="G701" s="6" t="n">
        <v>0</v>
      </c>
      <c r="H701" s="6" t="n">
        <v>0</v>
      </c>
      <c r="I701" s="6" t="n">
        <v>0</v>
      </c>
      <c r="J701" s="4" t="s">
        <v>18</v>
      </c>
      <c r="K701" s="4" t="s">
        <v>19</v>
      </c>
      <c r="L701" s="4" t="s">
        <v>20</v>
      </c>
    </row>
    <row r="702" customFormat="false" ht="22.35" hidden="false" customHeight="false" outlineLevel="0" collapsed="false">
      <c r="A702" s="7" t="s">
        <v>725</v>
      </c>
      <c r="B702" s="7" t="s">
        <v>14</v>
      </c>
      <c r="C702" s="7" t="s">
        <v>15</v>
      </c>
      <c r="D702" s="7" t="s">
        <v>16</v>
      </c>
      <c r="E702" s="7" t="s">
        <v>44</v>
      </c>
      <c r="F702" s="8" t="n">
        <v>6.96</v>
      </c>
      <c r="G702" s="9" t="n">
        <v>0</v>
      </c>
      <c r="H702" s="9" t="n">
        <v>0</v>
      </c>
      <c r="I702" s="9" t="n">
        <v>0</v>
      </c>
      <c r="J702" s="7" t="s">
        <v>18</v>
      </c>
      <c r="K702" s="7" t="s">
        <v>19</v>
      </c>
      <c r="L702" s="7" t="s">
        <v>20</v>
      </c>
    </row>
    <row r="703" customFormat="false" ht="22.35" hidden="false" customHeight="false" outlineLevel="0" collapsed="false">
      <c r="A703" s="4" t="s">
        <v>726</v>
      </c>
      <c r="B703" s="4" t="s">
        <v>14</v>
      </c>
      <c r="C703" s="4" t="s">
        <v>15</v>
      </c>
      <c r="D703" s="4" t="s">
        <v>16</v>
      </c>
      <c r="E703" s="4" t="s">
        <v>44</v>
      </c>
      <c r="F703" s="5" t="n">
        <v>10.48</v>
      </c>
      <c r="G703" s="6" t="n">
        <v>0</v>
      </c>
      <c r="H703" s="6" t="n">
        <v>0</v>
      </c>
      <c r="I703" s="6" t="n">
        <v>0</v>
      </c>
      <c r="J703" s="4" t="s">
        <v>18</v>
      </c>
      <c r="K703" s="4" t="s">
        <v>19</v>
      </c>
      <c r="L703" s="4" t="s">
        <v>20</v>
      </c>
    </row>
    <row r="704" customFormat="false" ht="22.35" hidden="false" customHeight="false" outlineLevel="0" collapsed="false">
      <c r="A704" s="7" t="s">
        <v>727</v>
      </c>
      <c r="B704" s="7" t="s">
        <v>14</v>
      </c>
      <c r="C704" s="7" t="s">
        <v>15</v>
      </c>
      <c r="D704" s="7" t="s">
        <v>16</v>
      </c>
      <c r="E704" s="7" t="s">
        <v>17</v>
      </c>
      <c r="F704" s="8" t="n">
        <v>20.87</v>
      </c>
      <c r="G704" s="9" t="n">
        <v>0</v>
      </c>
      <c r="H704" s="9" t="n">
        <v>0</v>
      </c>
      <c r="I704" s="9" t="n">
        <v>0</v>
      </c>
      <c r="J704" s="7" t="s">
        <v>18</v>
      </c>
      <c r="K704" s="7" t="s">
        <v>19</v>
      </c>
      <c r="L704" s="7" t="s">
        <v>20</v>
      </c>
    </row>
    <row r="705" customFormat="false" ht="22.35" hidden="false" customHeight="false" outlineLevel="0" collapsed="false">
      <c r="A705" s="4" t="s">
        <v>728</v>
      </c>
      <c r="B705" s="4" t="s">
        <v>14</v>
      </c>
      <c r="C705" s="4" t="s">
        <v>15</v>
      </c>
      <c r="D705" s="4" t="s">
        <v>16</v>
      </c>
      <c r="E705" s="4" t="s">
        <v>17</v>
      </c>
      <c r="F705" s="5" t="n">
        <v>7.66</v>
      </c>
      <c r="G705" s="6" t="n">
        <v>0</v>
      </c>
      <c r="H705" s="6" t="n">
        <v>0</v>
      </c>
      <c r="I705" s="6" t="n">
        <v>0</v>
      </c>
      <c r="J705" s="4" t="s">
        <v>18</v>
      </c>
      <c r="K705" s="4" t="s">
        <v>19</v>
      </c>
      <c r="L705" s="4" t="s">
        <v>20</v>
      </c>
    </row>
    <row r="706" customFormat="false" ht="22.35" hidden="false" customHeight="false" outlineLevel="0" collapsed="false">
      <c r="A706" s="7" t="s">
        <v>729</v>
      </c>
      <c r="B706" s="7" t="s">
        <v>14</v>
      </c>
      <c r="C706" s="7" t="s">
        <v>15</v>
      </c>
      <c r="D706" s="7" t="s">
        <v>16</v>
      </c>
      <c r="E706" s="7" t="s">
        <v>44</v>
      </c>
      <c r="F706" s="8" t="n">
        <v>11.86</v>
      </c>
      <c r="G706" s="9" t="n">
        <v>0</v>
      </c>
      <c r="H706" s="9" t="n">
        <v>0</v>
      </c>
      <c r="I706" s="9" t="n">
        <v>0</v>
      </c>
      <c r="J706" s="7" t="s">
        <v>18</v>
      </c>
      <c r="K706" s="7" t="s">
        <v>19</v>
      </c>
      <c r="L706" s="7" t="s">
        <v>20</v>
      </c>
    </row>
    <row r="707" customFormat="false" ht="22.35" hidden="false" customHeight="false" outlineLevel="0" collapsed="false">
      <c r="A707" s="4" t="s">
        <v>730</v>
      </c>
      <c r="B707" s="4" t="s">
        <v>14</v>
      </c>
      <c r="C707" s="4" t="s">
        <v>15</v>
      </c>
      <c r="D707" s="4" t="s">
        <v>16</v>
      </c>
      <c r="E707" s="4" t="s">
        <v>44</v>
      </c>
      <c r="F707" s="5" t="n">
        <v>14.58</v>
      </c>
      <c r="G707" s="6" t="n">
        <v>0</v>
      </c>
      <c r="H707" s="6" t="n">
        <v>0</v>
      </c>
      <c r="I707" s="6" t="n">
        <v>0</v>
      </c>
      <c r="J707" s="4" t="s">
        <v>18</v>
      </c>
      <c r="K707" s="4" t="s">
        <v>19</v>
      </c>
      <c r="L707" s="4" t="s">
        <v>20</v>
      </c>
    </row>
    <row r="708" customFormat="false" ht="22.35" hidden="false" customHeight="false" outlineLevel="0" collapsed="false">
      <c r="A708" s="7" t="s">
        <v>731</v>
      </c>
      <c r="B708" s="7" t="s">
        <v>14</v>
      </c>
      <c r="C708" s="7" t="s">
        <v>15</v>
      </c>
      <c r="D708" s="7" t="s">
        <v>16</v>
      </c>
      <c r="E708" s="7" t="s">
        <v>44</v>
      </c>
      <c r="F708" s="8" t="n">
        <v>14.79</v>
      </c>
      <c r="G708" s="9" t="n">
        <v>0</v>
      </c>
      <c r="H708" s="9" t="n">
        <v>0</v>
      </c>
      <c r="I708" s="9" t="n">
        <v>0</v>
      </c>
      <c r="J708" s="7" t="s">
        <v>18</v>
      </c>
      <c r="K708" s="7" t="s">
        <v>19</v>
      </c>
      <c r="L708" s="7" t="s">
        <v>20</v>
      </c>
    </row>
    <row r="709" customFormat="false" ht="22.35" hidden="false" customHeight="false" outlineLevel="0" collapsed="false">
      <c r="A709" s="4" t="s">
        <v>732</v>
      </c>
      <c r="B709" s="4" t="s">
        <v>14</v>
      </c>
      <c r="C709" s="4" t="s">
        <v>15</v>
      </c>
      <c r="D709" s="4" t="s">
        <v>16</v>
      </c>
      <c r="E709" s="4" t="s">
        <v>44</v>
      </c>
      <c r="F709" s="5" t="n">
        <v>28.34</v>
      </c>
      <c r="G709" s="6" t="n">
        <v>0</v>
      </c>
      <c r="H709" s="6" t="n">
        <v>0</v>
      </c>
      <c r="I709" s="6" t="n">
        <v>0</v>
      </c>
      <c r="J709" s="4" t="s">
        <v>18</v>
      </c>
      <c r="K709" s="4" t="s">
        <v>19</v>
      </c>
      <c r="L709" s="4" t="s">
        <v>20</v>
      </c>
    </row>
    <row r="710" customFormat="false" ht="22.35" hidden="false" customHeight="false" outlineLevel="0" collapsed="false">
      <c r="A710" s="7" t="s">
        <v>733</v>
      </c>
      <c r="B710" s="7" t="s">
        <v>14</v>
      </c>
      <c r="C710" s="7" t="s">
        <v>15</v>
      </c>
      <c r="D710" s="7" t="s">
        <v>16</v>
      </c>
      <c r="E710" s="7" t="s">
        <v>44</v>
      </c>
      <c r="F710" s="8" t="n">
        <v>19.57</v>
      </c>
      <c r="G710" s="9" t="n">
        <v>0</v>
      </c>
      <c r="H710" s="9" t="n">
        <v>0</v>
      </c>
      <c r="I710" s="9" t="n">
        <v>0</v>
      </c>
      <c r="J710" s="7" t="s">
        <v>18</v>
      </c>
      <c r="K710" s="7" t="s">
        <v>19</v>
      </c>
      <c r="L710" s="7" t="s">
        <v>20</v>
      </c>
    </row>
    <row r="711" customFormat="false" ht="22.35" hidden="false" customHeight="false" outlineLevel="0" collapsed="false">
      <c r="A711" s="4" t="s">
        <v>734</v>
      </c>
      <c r="B711" s="4" t="s">
        <v>14</v>
      </c>
      <c r="C711" s="4" t="s">
        <v>15</v>
      </c>
      <c r="D711" s="4" t="s">
        <v>16</v>
      </c>
      <c r="E711" s="4" t="s">
        <v>17</v>
      </c>
      <c r="F711" s="5" t="n">
        <v>6.42</v>
      </c>
      <c r="G711" s="6" t="n">
        <v>0</v>
      </c>
      <c r="H711" s="6" t="n">
        <v>0</v>
      </c>
      <c r="I711" s="6" t="n">
        <v>0</v>
      </c>
      <c r="J711" s="4" t="s">
        <v>18</v>
      </c>
      <c r="K711" s="4" t="s">
        <v>19</v>
      </c>
      <c r="L711" s="4" t="s">
        <v>20</v>
      </c>
    </row>
    <row r="712" customFormat="false" ht="22.35" hidden="false" customHeight="false" outlineLevel="0" collapsed="false">
      <c r="A712" s="7" t="s">
        <v>735</v>
      </c>
      <c r="B712" s="7" t="s">
        <v>14</v>
      </c>
      <c r="C712" s="7" t="s">
        <v>15</v>
      </c>
      <c r="D712" s="7" t="s">
        <v>16</v>
      </c>
      <c r="E712" s="7" t="s">
        <v>17</v>
      </c>
      <c r="F712" s="8" t="n">
        <v>3.68</v>
      </c>
      <c r="G712" s="9" t="n">
        <v>0</v>
      </c>
      <c r="H712" s="9" t="n">
        <v>0</v>
      </c>
      <c r="I712" s="9" t="n">
        <v>0</v>
      </c>
      <c r="J712" s="7" t="s">
        <v>18</v>
      </c>
      <c r="K712" s="7" t="s">
        <v>19</v>
      </c>
      <c r="L712" s="7" t="s">
        <v>20</v>
      </c>
    </row>
    <row r="713" customFormat="false" ht="22.35" hidden="false" customHeight="false" outlineLevel="0" collapsed="false">
      <c r="A713" s="4" t="s">
        <v>736</v>
      </c>
      <c r="B713" s="4" t="s">
        <v>14</v>
      </c>
      <c r="C713" s="4" t="s">
        <v>15</v>
      </c>
      <c r="D713" s="4" t="s">
        <v>16</v>
      </c>
      <c r="E713" s="4" t="s">
        <v>17</v>
      </c>
      <c r="F713" s="5" t="n">
        <v>0.964</v>
      </c>
      <c r="G713" s="6" t="n">
        <v>0</v>
      </c>
      <c r="H713" s="6" t="n">
        <v>0</v>
      </c>
      <c r="I713" s="6" t="n">
        <v>0</v>
      </c>
      <c r="J713" s="4" t="s">
        <v>18</v>
      </c>
      <c r="K713" s="4" t="s">
        <v>19</v>
      </c>
      <c r="L713" s="4" t="s">
        <v>20</v>
      </c>
    </row>
    <row r="714" customFormat="false" ht="22.35" hidden="false" customHeight="false" outlineLevel="0" collapsed="false">
      <c r="A714" s="7" t="s">
        <v>737</v>
      </c>
      <c r="B714" s="7" t="s">
        <v>14</v>
      </c>
      <c r="C714" s="7" t="s">
        <v>15</v>
      </c>
      <c r="D714" s="7" t="s">
        <v>16</v>
      </c>
      <c r="E714" s="7" t="s">
        <v>17</v>
      </c>
      <c r="F714" s="8" t="n">
        <v>2.47</v>
      </c>
      <c r="G714" s="9" t="n">
        <v>0</v>
      </c>
      <c r="H714" s="9" t="n">
        <v>0</v>
      </c>
      <c r="I714" s="9" t="n">
        <v>0</v>
      </c>
      <c r="J714" s="7" t="s">
        <v>18</v>
      </c>
      <c r="K714" s="7" t="s">
        <v>19</v>
      </c>
      <c r="L714" s="7" t="s">
        <v>20</v>
      </c>
    </row>
    <row r="715" customFormat="false" ht="22.35" hidden="false" customHeight="false" outlineLevel="0" collapsed="false">
      <c r="A715" s="4" t="s">
        <v>738</v>
      </c>
      <c r="B715" s="4" t="s">
        <v>14</v>
      </c>
      <c r="C715" s="4" t="s">
        <v>15</v>
      </c>
      <c r="D715" s="4" t="s">
        <v>16</v>
      </c>
      <c r="E715" s="4" t="s">
        <v>17</v>
      </c>
      <c r="F715" s="5" t="n">
        <v>2.24</v>
      </c>
      <c r="G715" s="6" t="n">
        <v>0</v>
      </c>
      <c r="H715" s="6" t="n">
        <v>0</v>
      </c>
      <c r="I715" s="6" t="n">
        <v>0</v>
      </c>
      <c r="J715" s="4" t="s">
        <v>18</v>
      </c>
      <c r="K715" s="4" t="s">
        <v>19</v>
      </c>
      <c r="L715" s="4" t="s">
        <v>20</v>
      </c>
    </row>
    <row r="716" customFormat="false" ht="22.35" hidden="false" customHeight="false" outlineLevel="0" collapsed="false">
      <c r="A716" s="7" t="s">
        <v>739</v>
      </c>
      <c r="B716" s="7" t="s">
        <v>14</v>
      </c>
      <c r="C716" s="7" t="s">
        <v>15</v>
      </c>
      <c r="D716" s="7" t="s">
        <v>16</v>
      </c>
      <c r="E716" s="7" t="s">
        <v>17</v>
      </c>
      <c r="F716" s="8" t="n">
        <v>1.06</v>
      </c>
      <c r="G716" s="9" t="n">
        <v>0</v>
      </c>
      <c r="H716" s="9" t="n">
        <v>0</v>
      </c>
      <c r="I716" s="9" t="n">
        <v>0</v>
      </c>
      <c r="J716" s="7" t="s">
        <v>18</v>
      </c>
      <c r="K716" s="7" t="s">
        <v>19</v>
      </c>
      <c r="L716" s="7" t="s">
        <v>20</v>
      </c>
    </row>
    <row r="717" customFormat="false" ht="22.35" hidden="false" customHeight="false" outlineLevel="0" collapsed="false">
      <c r="A717" s="4" t="s">
        <v>740</v>
      </c>
      <c r="B717" s="4" t="s">
        <v>14</v>
      </c>
      <c r="C717" s="4" t="s">
        <v>15</v>
      </c>
      <c r="D717" s="4" t="s">
        <v>16</v>
      </c>
      <c r="E717" s="4" t="s">
        <v>17</v>
      </c>
      <c r="F717" s="5" t="n">
        <v>7.55</v>
      </c>
      <c r="G717" s="6" t="n">
        <v>0</v>
      </c>
      <c r="H717" s="6" t="n">
        <v>0</v>
      </c>
      <c r="I717" s="6" t="n">
        <v>0</v>
      </c>
      <c r="J717" s="4" t="s">
        <v>18</v>
      </c>
      <c r="K717" s="4" t="s">
        <v>19</v>
      </c>
      <c r="L717" s="4" t="s">
        <v>20</v>
      </c>
    </row>
    <row r="718" customFormat="false" ht="22.35" hidden="false" customHeight="false" outlineLevel="0" collapsed="false">
      <c r="A718" s="7" t="s">
        <v>741</v>
      </c>
      <c r="B718" s="7" t="s">
        <v>14</v>
      </c>
      <c r="C718" s="7" t="s">
        <v>15</v>
      </c>
      <c r="D718" s="7" t="s">
        <v>16</v>
      </c>
      <c r="E718" s="7" t="s">
        <v>17</v>
      </c>
      <c r="F718" s="8" t="n">
        <v>19.06</v>
      </c>
      <c r="G718" s="9" t="n">
        <v>0</v>
      </c>
      <c r="H718" s="9" t="n">
        <v>0</v>
      </c>
      <c r="I718" s="9" t="n">
        <v>0</v>
      </c>
      <c r="J718" s="7" t="s">
        <v>18</v>
      </c>
      <c r="K718" s="7" t="s">
        <v>19</v>
      </c>
      <c r="L718" s="7" t="s">
        <v>20</v>
      </c>
    </row>
    <row r="719" customFormat="false" ht="22.35" hidden="false" customHeight="false" outlineLevel="0" collapsed="false">
      <c r="A719" s="4" t="s">
        <v>742</v>
      </c>
      <c r="B719" s="4" t="s">
        <v>14</v>
      </c>
      <c r="C719" s="4" t="s">
        <v>15</v>
      </c>
      <c r="D719" s="4" t="s">
        <v>16</v>
      </c>
      <c r="E719" s="4" t="s">
        <v>17</v>
      </c>
      <c r="F719" s="5" t="n">
        <v>34.06</v>
      </c>
      <c r="G719" s="6" t="n">
        <v>0</v>
      </c>
      <c r="H719" s="6" t="n">
        <v>0</v>
      </c>
      <c r="I719" s="6" t="n">
        <v>0</v>
      </c>
      <c r="J719" s="4" t="s">
        <v>18</v>
      </c>
      <c r="K719" s="4" t="s">
        <v>19</v>
      </c>
      <c r="L719" s="4" t="s">
        <v>20</v>
      </c>
    </row>
    <row r="720" customFormat="false" ht="22.35" hidden="false" customHeight="false" outlineLevel="0" collapsed="false">
      <c r="A720" s="7" t="s">
        <v>743</v>
      </c>
      <c r="B720" s="7" t="s">
        <v>14</v>
      </c>
      <c r="C720" s="7" t="s">
        <v>15</v>
      </c>
      <c r="D720" s="7" t="s">
        <v>16</v>
      </c>
      <c r="E720" s="7" t="s">
        <v>17</v>
      </c>
      <c r="F720" s="8" t="n">
        <v>7.34</v>
      </c>
      <c r="G720" s="9" t="n">
        <v>0</v>
      </c>
      <c r="H720" s="9" t="n">
        <v>0</v>
      </c>
      <c r="I720" s="9" t="n">
        <v>0</v>
      </c>
      <c r="J720" s="7" t="s">
        <v>18</v>
      </c>
      <c r="K720" s="7" t="s">
        <v>19</v>
      </c>
      <c r="L720" s="7" t="s">
        <v>20</v>
      </c>
    </row>
    <row r="721" customFormat="false" ht="22.35" hidden="false" customHeight="false" outlineLevel="0" collapsed="false">
      <c r="A721" s="4" t="s">
        <v>744</v>
      </c>
      <c r="B721" s="4" t="s">
        <v>14</v>
      </c>
      <c r="C721" s="4" t="s">
        <v>15</v>
      </c>
      <c r="D721" s="4" t="s">
        <v>16</v>
      </c>
      <c r="E721" s="4" t="s">
        <v>17</v>
      </c>
      <c r="F721" s="5" t="n">
        <v>1.38</v>
      </c>
      <c r="G721" s="6" t="n">
        <v>0</v>
      </c>
      <c r="H721" s="6" t="n">
        <v>0</v>
      </c>
      <c r="I721" s="6" t="n">
        <v>0</v>
      </c>
      <c r="J721" s="4" t="s">
        <v>18</v>
      </c>
      <c r="K721" s="4" t="s">
        <v>19</v>
      </c>
      <c r="L721" s="4" t="s">
        <v>20</v>
      </c>
    </row>
    <row r="722" customFormat="false" ht="22.35" hidden="false" customHeight="false" outlineLevel="0" collapsed="false">
      <c r="A722" s="7" t="s">
        <v>745</v>
      </c>
      <c r="B722" s="7" t="s">
        <v>14</v>
      </c>
      <c r="C722" s="7" t="s">
        <v>15</v>
      </c>
      <c r="D722" s="7" t="s">
        <v>16</v>
      </c>
      <c r="E722" s="7" t="s">
        <v>17</v>
      </c>
      <c r="F722" s="8" t="n">
        <v>9.07</v>
      </c>
      <c r="G722" s="9" t="n">
        <v>0</v>
      </c>
      <c r="H722" s="9" t="n">
        <v>0</v>
      </c>
      <c r="I722" s="9" t="n">
        <v>0</v>
      </c>
      <c r="J722" s="7" t="s">
        <v>18</v>
      </c>
      <c r="K722" s="7" t="s">
        <v>19</v>
      </c>
      <c r="L722" s="7" t="s">
        <v>20</v>
      </c>
    </row>
    <row r="723" customFormat="false" ht="22.35" hidden="false" customHeight="false" outlineLevel="0" collapsed="false">
      <c r="A723" s="4" t="s">
        <v>746</v>
      </c>
      <c r="B723" s="4" t="s">
        <v>14</v>
      </c>
      <c r="C723" s="4" t="s">
        <v>15</v>
      </c>
      <c r="D723" s="4" t="s">
        <v>16</v>
      </c>
      <c r="E723" s="4" t="s">
        <v>17</v>
      </c>
      <c r="F723" s="5" t="n">
        <v>19.05</v>
      </c>
      <c r="G723" s="6" t="n">
        <v>0</v>
      </c>
      <c r="H723" s="6" t="n">
        <v>0</v>
      </c>
      <c r="I723" s="6" t="n">
        <v>0</v>
      </c>
      <c r="J723" s="4" t="s">
        <v>18</v>
      </c>
      <c r="K723" s="4" t="s">
        <v>19</v>
      </c>
      <c r="L723" s="4" t="s">
        <v>20</v>
      </c>
    </row>
    <row r="724" customFormat="false" ht="22.35" hidden="false" customHeight="false" outlineLevel="0" collapsed="false">
      <c r="A724" s="7" t="s">
        <v>747</v>
      </c>
      <c r="B724" s="7" t="s">
        <v>14</v>
      </c>
      <c r="C724" s="7" t="s">
        <v>15</v>
      </c>
      <c r="D724" s="7" t="s">
        <v>16</v>
      </c>
      <c r="E724" s="7" t="s">
        <v>44</v>
      </c>
      <c r="F724" s="8" t="n">
        <v>20.0609</v>
      </c>
      <c r="G724" s="9" t="n">
        <v>0</v>
      </c>
      <c r="H724" s="9" t="n">
        <v>0</v>
      </c>
      <c r="I724" s="9" t="n">
        <v>0</v>
      </c>
      <c r="J724" s="7" t="s">
        <v>18</v>
      </c>
      <c r="K724" s="7" t="s">
        <v>19</v>
      </c>
      <c r="L724" s="7" t="s">
        <v>20</v>
      </c>
    </row>
    <row r="725" customFormat="false" ht="22.35" hidden="false" customHeight="false" outlineLevel="0" collapsed="false">
      <c r="A725" s="4" t="s">
        <v>748</v>
      </c>
      <c r="B725" s="4" t="s">
        <v>14</v>
      </c>
      <c r="C725" s="4" t="s">
        <v>15</v>
      </c>
      <c r="D725" s="4" t="s">
        <v>16</v>
      </c>
      <c r="E725" s="4" t="s">
        <v>17</v>
      </c>
      <c r="F725" s="5" t="n">
        <v>7.82</v>
      </c>
      <c r="G725" s="6" t="n">
        <v>0</v>
      </c>
      <c r="H725" s="6" t="n">
        <v>0</v>
      </c>
      <c r="I725" s="6" t="n">
        <v>0</v>
      </c>
      <c r="J725" s="4" t="s">
        <v>18</v>
      </c>
      <c r="K725" s="4" t="s">
        <v>19</v>
      </c>
      <c r="L725" s="4" t="s">
        <v>20</v>
      </c>
    </row>
    <row r="726" customFormat="false" ht="22.35" hidden="false" customHeight="false" outlineLevel="0" collapsed="false">
      <c r="A726" s="7" t="s">
        <v>749</v>
      </c>
      <c r="B726" s="7" t="s">
        <v>14</v>
      </c>
      <c r="C726" s="7" t="s">
        <v>15</v>
      </c>
      <c r="D726" s="7" t="s">
        <v>16</v>
      </c>
      <c r="E726" s="7" t="s">
        <v>17</v>
      </c>
      <c r="F726" s="8" t="n">
        <v>5.02</v>
      </c>
      <c r="G726" s="9" t="n">
        <v>0</v>
      </c>
      <c r="H726" s="9" t="n">
        <v>0</v>
      </c>
      <c r="I726" s="9" t="n">
        <v>0</v>
      </c>
      <c r="J726" s="7" t="s">
        <v>18</v>
      </c>
      <c r="K726" s="7" t="s">
        <v>19</v>
      </c>
      <c r="L726" s="7" t="s">
        <v>20</v>
      </c>
    </row>
    <row r="727" customFormat="false" ht="22.35" hidden="false" customHeight="false" outlineLevel="0" collapsed="false">
      <c r="A727" s="4" t="s">
        <v>750</v>
      </c>
      <c r="B727" s="4" t="s">
        <v>14</v>
      </c>
      <c r="C727" s="4" t="s">
        <v>15</v>
      </c>
      <c r="D727" s="4" t="s">
        <v>16</v>
      </c>
      <c r="E727" s="4" t="s">
        <v>17</v>
      </c>
      <c r="F727" s="5" t="n">
        <v>2.17</v>
      </c>
      <c r="G727" s="6" t="n">
        <v>0</v>
      </c>
      <c r="H727" s="6" t="n">
        <v>0</v>
      </c>
      <c r="I727" s="6" t="n">
        <v>0</v>
      </c>
      <c r="J727" s="4" t="s">
        <v>18</v>
      </c>
      <c r="K727" s="4" t="s">
        <v>19</v>
      </c>
      <c r="L727" s="4" t="s">
        <v>20</v>
      </c>
    </row>
    <row r="728" customFormat="false" ht="22.35" hidden="false" customHeight="false" outlineLevel="0" collapsed="false">
      <c r="A728" s="7" t="s">
        <v>751</v>
      </c>
      <c r="B728" s="7" t="s">
        <v>14</v>
      </c>
      <c r="C728" s="7" t="s">
        <v>15</v>
      </c>
      <c r="D728" s="7" t="s">
        <v>16</v>
      </c>
      <c r="E728" s="7" t="s">
        <v>44</v>
      </c>
      <c r="F728" s="8" t="n">
        <v>6.69</v>
      </c>
      <c r="G728" s="9" t="n">
        <v>0</v>
      </c>
      <c r="H728" s="9" t="n">
        <v>0</v>
      </c>
      <c r="I728" s="9" t="n">
        <v>0</v>
      </c>
      <c r="J728" s="7" t="s">
        <v>18</v>
      </c>
      <c r="K728" s="7" t="s">
        <v>19</v>
      </c>
      <c r="L728" s="7" t="s">
        <v>20</v>
      </c>
    </row>
    <row r="729" customFormat="false" ht="22.35" hidden="false" customHeight="false" outlineLevel="0" collapsed="false">
      <c r="A729" s="4" t="s">
        <v>752</v>
      </c>
      <c r="B729" s="4" t="s">
        <v>14</v>
      </c>
      <c r="C729" s="4" t="s">
        <v>15</v>
      </c>
      <c r="D729" s="4" t="s">
        <v>16</v>
      </c>
      <c r="E729" s="4" t="s">
        <v>44</v>
      </c>
      <c r="F729" s="5" t="n">
        <v>2.95</v>
      </c>
      <c r="G729" s="6" t="n">
        <v>0</v>
      </c>
      <c r="H729" s="6" t="n">
        <v>0</v>
      </c>
      <c r="I729" s="6" t="n">
        <v>0</v>
      </c>
      <c r="J729" s="4" t="s">
        <v>18</v>
      </c>
      <c r="K729" s="4" t="s">
        <v>19</v>
      </c>
      <c r="L729" s="4" t="s">
        <v>20</v>
      </c>
    </row>
    <row r="730" customFormat="false" ht="22.35" hidden="false" customHeight="false" outlineLevel="0" collapsed="false">
      <c r="A730" s="7" t="s">
        <v>753</v>
      </c>
      <c r="B730" s="7" t="s">
        <v>14</v>
      </c>
      <c r="C730" s="7" t="s">
        <v>15</v>
      </c>
      <c r="D730" s="7" t="s">
        <v>16</v>
      </c>
      <c r="E730" s="7" t="s">
        <v>17</v>
      </c>
      <c r="F730" s="8" t="n">
        <v>0.98</v>
      </c>
      <c r="G730" s="9" t="n">
        <v>0</v>
      </c>
      <c r="H730" s="9" t="n">
        <v>0</v>
      </c>
      <c r="I730" s="9" t="n">
        <v>0</v>
      </c>
      <c r="J730" s="7" t="s">
        <v>18</v>
      </c>
      <c r="K730" s="7" t="s">
        <v>19</v>
      </c>
      <c r="L730" s="7" t="s">
        <v>20</v>
      </c>
    </row>
    <row r="731" customFormat="false" ht="22.35" hidden="false" customHeight="false" outlineLevel="0" collapsed="false">
      <c r="A731" s="4" t="s">
        <v>754</v>
      </c>
      <c r="B731" s="4" t="s">
        <v>14</v>
      </c>
      <c r="C731" s="4" t="s">
        <v>15</v>
      </c>
      <c r="D731" s="4" t="s">
        <v>16</v>
      </c>
      <c r="E731" s="4" t="s">
        <v>17</v>
      </c>
      <c r="F731" s="5" t="n">
        <v>4.16</v>
      </c>
      <c r="G731" s="6" t="n">
        <v>0</v>
      </c>
      <c r="H731" s="6" t="n">
        <v>0</v>
      </c>
      <c r="I731" s="6" t="n">
        <v>0</v>
      </c>
      <c r="J731" s="4" t="s">
        <v>18</v>
      </c>
      <c r="K731" s="4" t="s">
        <v>19</v>
      </c>
      <c r="L731" s="4" t="s">
        <v>20</v>
      </c>
    </row>
    <row r="732" customFormat="false" ht="22.35" hidden="false" customHeight="false" outlineLevel="0" collapsed="false">
      <c r="A732" s="7" t="s">
        <v>755</v>
      </c>
      <c r="B732" s="7" t="s">
        <v>14</v>
      </c>
      <c r="C732" s="7" t="s">
        <v>15</v>
      </c>
      <c r="D732" s="7" t="s">
        <v>16</v>
      </c>
      <c r="E732" s="7" t="s">
        <v>17</v>
      </c>
      <c r="F732" s="8" t="n">
        <v>3.3</v>
      </c>
      <c r="G732" s="9" t="n">
        <v>0</v>
      </c>
      <c r="H732" s="9" t="n">
        <v>0</v>
      </c>
      <c r="I732" s="9" t="n">
        <v>0</v>
      </c>
      <c r="J732" s="7" t="s">
        <v>18</v>
      </c>
      <c r="K732" s="7" t="s">
        <v>19</v>
      </c>
      <c r="L732" s="7" t="s">
        <v>20</v>
      </c>
    </row>
    <row r="733" customFormat="false" ht="22.35" hidden="false" customHeight="false" outlineLevel="0" collapsed="false">
      <c r="A733" s="4" t="s">
        <v>756</v>
      </c>
      <c r="B733" s="4" t="s">
        <v>14</v>
      </c>
      <c r="C733" s="4" t="s">
        <v>15</v>
      </c>
      <c r="D733" s="4" t="s">
        <v>16</v>
      </c>
      <c r="E733" s="4" t="s">
        <v>17</v>
      </c>
      <c r="F733" s="5" t="n">
        <v>1.86</v>
      </c>
      <c r="G733" s="6" t="n">
        <v>0</v>
      </c>
      <c r="H733" s="6" t="n">
        <v>0</v>
      </c>
      <c r="I733" s="6" t="n">
        <v>0</v>
      </c>
      <c r="J733" s="4" t="s">
        <v>18</v>
      </c>
      <c r="K733" s="4" t="s">
        <v>19</v>
      </c>
      <c r="L733" s="4" t="s">
        <v>20</v>
      </c>
    </row>
    <row r="734" customFormat="false" ht="22.35" hidden="false" customHeight="false" outlineLevel="0" collapsed="false">
      <c r="A734" s="7" t="s">
        <v>757</v>
      </c>
      <c r="B734" s="7" t="s">
        <v>14</v>
      </c>
      <c r="C734" s="7" t="s">
        <v>15</v>
      </c>
      <c r="D734" s="7" t="s">
        <v>16</v>
      </c>
      <c r="E734" s="7" t="s">
        <v>17</v>
      </c>
      <c r="F734" s="8" t="n">
        <v>1.55</v>
      </c>
      <c r="G734" s="9" t="n">
        <v>0</v>
      </c>
      <c r="H734" s="9" t="n">
        <v>0</v>
      </c>
      <c r="I734" s="9" t="n">
        <v>0</v>
      </c>
      <c r="J734" s="7" t="s">
        <v>18</v>
      </c>
      <c r="K734" s="7" t="s">
        <v>19</v>
      </c>
      <c r="L734" s="7" t="s">
        <v>20</v>
      </c>
    </row>
    <row r="735" customFormat="false" ht="22.35" hidden="false" customHeight="false" outlineLevel="0" collapsed="false">
      <c r="A735" s="4" t="s">
        <v>758</v>
      </c>
      <c r="B735" s="4" t="s">
        <v>14</v>
      </c>
      <c r="C735" s="4" t="s">
        <v>15</v>
      </c>
      <c r="D735" s="4" t="s">
        <v>16</v>
      </c>
      <c r="E735" s="4" t="s">
        <v>17</v>
      </c>
      <c r="F735" s="5" t="n">
        <v>4.59</v>
      </c>
      <c r="G735" s="6" t="n">
        <v>0</v>
      </c>
      <c r="H735" s="6" t="n">
        <v>0</v>
      </c>
      <c r="I735" s="6" t="n">
        <v>0</v>
      </c>
      <c r="J735" s="4" t="s">
        <v>18</v>
      </c>
      <c r="K735" s="4" t="s">
        <v>19</v>
      </c>
      <c r="L735" s="4" t="s">
        <v>20</v>
      </c>
    </row>
    <row r="736" customFormat="false" ht="22.35" hidden="false" customHeight="false" outlineLevel="0" collapsed="false">
      <c r="A736" s="7" t="s">
        <v>759</v>
      </c>
      <c r="B736" s="7" t="s">
        <v>14</v>
      </c>
      <c r="C736" s="7" t="s">
        <v>15</v>
      </c>
      <c r="D736" s="7" t="s">
        <v>16</v>
      </c>
      <c r="E736" s="7" t="s">
        <v>17</v>
      </c>
      <c r="F736" s="8" t="n">
        <v>4.84</v>
      </c>
      <c r="G736" s="9" t="n">
        <v>0</v>
      </c>
      <c r="H736" s="9" t="n">
        <v>0</v>
      </c>
      <c r="I736" s="9" t="n">
        <v>0</v>
      </c>
      <c r="J736" s="7" t="s">
        <v>18</v>
      </c>
      <c r="K736" s="7" t="s">
        <v>19</v>
      </c>
      <c r="L736" s="7" t="s">
        <v>20</v>
      </c>
    </row>
    <row r="737" customFormat="false" ht="22.35" hidden="false" customHeight="false" outlineLevel="0" collapsed="false">
      <c r="A737" s="4" t="s">
        <v>760</v>
      </c>
      <c r="B737" s="4" t="s">
        <v>14</v>
      </c>
      <c r="C737" s="4" t="s">
        <v>15</v>
      </c>
      <c r="D737" s="4" t="s">
        <v>16</v>
      </c>
      <c r="E737" s="4" t="s">
        <v>17</v>
      </c>
      <c r="F737" s="5" t="n">
        <v>2.12</v>
      </c>
      <c r="G737" s="6" t="n">
        <v>0</v>
      </c>
      <c r="H737" s="6" t="n">
        <v>0</v>
      </c>
      <c r="I737" s="6" t="n">
        <v>0</v>
      </c>
      <c r="J737" s="4" t="s">
        <v>18</v>
      </c>
      <c r="K737" s="4" t="s">
        <v>19</v>
      </c>
      <c r="L737" s="4" t="s">
        <v>20</v>
      </c>
    </row>
    <row r="738" customFormat="false" ht="22.35" hidden="false" customHeight="false" outlineLevel="0" collapsed="false">
      <c r="A738" s="7" t="s">
        <v>761</v>
      </c>
      <c r="B738" s="7" t="s">
        <v>14</v>
      </c>
      <c r="C738" s="7" t="s">
        <v>15</v>
      </c>
      <c r="D738" s="7" t="s">
        <v>16</v>
      </c>
      <c r="E738" s="7" t="s">
        <v>17</v>
      </c>
      <c r="F738" s="8" t="n">
        <v>1.5</v>
      </c>
      <c r="G738" s="9" t="n">
        <v>0</v>
      </c>
      <c r="H738" s="9" t="n">
        <v>0</v>
      </c>
      <c r="I738" s="9" t="n">
        <v>0</v>
      </c>
      <c r="J738" s="7" t="s">
        <v>18</v>
      </c>
      <c r="K738" s="7" t="s">
        <v>19</v>
      </c>
      <c r="L738" s="7" t="s">
        <v>20</v>
      </c>
    </row>
    <row r="739" customFormat="false" ht="22.35" hidden="false" customHeight="false" outlineLevel="0" collapsed="false">
      <c r="A739" s="4" t="s">
        <v>762</v>
      </c>
      <c r="B739" s="4" t="s">
        <v>14</v>
      </c>
      <c r="C739" s="4" t="s">
        <v>15</v>
      </c>
      <c r="D739" s="4" t="s">
        <v>16</v>
      </c>
      <c r="E739" s="4" t="s">
        <v>17</v>
      </c>
      <c r="F739" s="5" t="n">
        <v>1.85</v>
      </c>
      <c r="G739" s="6" t="n">
        <v>0</v>
      </c>
      <c r="H739" s="6" t="n">
        <v>0</v>
      </c>
      <c r="I739" s="6" t="n">
        <v>0</v>
      </c>
      <c r="J739" s="4" t="s">
        <v>18</v>
      </c>
      <c r="K739" s="4" t="s">
        <v>19</v>
      </c>
      <c r="L739" s="4" t="s">
        <v>20</v>
      </c>
    </row>
    <row r="740" customFormat="false" ht="22.35" hidden="false" customHeight="false" outlineLevel="0" collapsed="false">
      <c r="A740" s="7" t="s">
        <v>763</v>
      </c>
      <c r="B740" s="7" t="s">
        <v>14</v>
      </c>
      <c r="C740" s="7" t="s">
        <v>15</v>
      </c>
      <c r="D740" s="7" t="s">
        <v>16</v>
      </c>
      <c r="E740" s="7" t="s">
        <v>17</v>
      </c>
      <c r="F740" s="8" t="n">
        <v>2.48</v>
      </c>
      <c r="G740" s="9" t="n">
        <v>0</v>
      </c>
      <c r="H740" s="9" t="n">
        <v>0</v>
      </c>
      <c r="I740" s="9" t="n">
        <v>0</v>
      </c>
      <c r="J740" s="7" t="s">
        <v>18</v>
      </c>
      <c r="K740" s="7" t="s">
        <v>19</v>
      </c>
      <c r="L740" s="7" t="s">
        <v>20</v>
      </c>
    </row>
    <row r="741" customFormat="false" ht="22.35" hidden="false" customHeight="false" outlineLevel="0" collapsed="false">
      <c r="A741" s="4" t="s">
        <v>764</v>
      </c>
      <c r="B741" s="4" t="s">
        <v>14</v>
      </c>
      <c r="C741" s="4" t="s">
        <v>15</v>
      </c>
      <c r="D741" s="4" t="s">
        <v>16</v>
      </c>
      <c r="E741" s="4" t="s">
        <v>17</v>
      </c>
      <c r="F741" s="5" t="n">
        <v>0.98</v>
      </c>
      <c r="G741" s="6" t="n">
        <v>0</v>
      </c>
      <c r="H741" s="6" t="n">
        <v>0</v>
      </c>
      <c r="I741" s="6" t="n">
        <v>0</v>
      </c>
      <c r="J741" s="4" t="s">
        <v>18</v>
      </c>
      <c r="K741" s="4" t="s">
        <v>19</v>
      </c>
      <c r="L741" s="4" t="s">
        <v>20</v>
      </c>
    </row>
    <row r="742" customFormat="false" ht="22.35" hidden="false" customHeight="false" outlineLevel="0" collapsed="false">
      <c r="A742" s="7" t="s">
        <v>765</v>
      </c>
      <c r="B742" s="7" t="s">
        <v>14</v>
      </c>
      <c r="C742" s="7" t="s">
        <v>15</v>
      </c>
      <c r="D742" s="7" t="s">
        <v>16</v>
      </c>
      <c r="E742" s="7" t="s">
        <v>44</v>
      </c>
      <c r="F742" s="8" t="n">
        <v>0.129</v>
      </c>
      <c r="G742" s="9" t="n">
        <v>0</v>
      </c>
      <c r="H742" s="9" t="n">
        <v>0</v>
      </c>
      <c r="I742" s="9" t="n">
        <v>0</v>
      </c>
      <c r="J742" s="7" t="s">
        <v>18</v>
      </c>
      <c r="K742" s="7" t="s">
        <v>19</v>
      </c>
      <c r="L742" s="7" t="s">
        <v>20</v>
      </c>
    </row>
    <row r="743" customFormat="false" ht="22.35" hidden="false" customHeight="false" outlineLevel="0" collapsed="false">
      <c r="A743" s="4" t="s">
        <v>766</v>
      </c>
      <c r="B743" s="4" t="s">
        <v>14</v>
      </c>
      <c r="C743" s="4" t="s">
        <v>15</v>
      </c>
      <c r="D743" s="4" t="s">
        <v>16</v>
      </c>
      <c r="E743" s="4" t="s">
        <v>44</v>
      </c>
      <c r="F743" s="5" t="n">
        <v>0.05</v>
      </c>
      <c r="G743" s="6" t="n">
        <v>0</v>
      </c>
      <c r="H743" s="6" t="n">
        <v>0</v>
      </c>
      <c r="I743" s="6" t="n">
        <v>0</v>
      </c>
      <c r="J743" s="4" t="s">
        <v>18</v>
      </c>
      <c r="K743" s="4" t="s">
        <v>19</v>
      </c>
      <c r="L743" s="4" t="s">
        <v>20</v>
      </c>
    </row>
    <row r="744" customFormat="false" ht="22.35" hidden="false" customHeight="false" outlineLevel="0" collapsed="false">
      <c r="A744" s="7" t="s">
        <v>767</v>
      </c>
      <c r="B744" s="7" t="s">
        <v>14</v>
      </c>
      <c r="C744" s="7" t="s">
        <v>15</v>
      </c>
      <c r="D744" s="7" t="s">
        <v>16</v>
      </c>
      <c r="E744" s="7" t="s">
        <v>44</v>
      </c>
      <c r="F744" s="8" t="n">
        <v>0.213</v>
      </c>
      <c r="G744" s="9" t="n">
        <v>0</v>
      </c>
      <c r="H744" s="9" t="n">
        <v>0</v>
      </c>
      <c r="I744" s="9" t="n">
        <v>0</v>
      </c>
      <c r="J744" s="7" t="s">
        <v>18</v>
      </c>
      <c r="K744" s="7" t="s">
        <v>19</v>
      </c>
      <c r="L744" s="7" t="s">
        <v>20</v>
      </c>
    </row>
    <row r="745" customFormat="false" ht="22.35" hidden="false" customHeight="false" outlineLevel="0" collapsed="false">
      <c r="A745" s="4" t="s">
        <v>768</v>
      </c>
      <c r="B745" s="4" t="s">
        <v>14</v>
      </c>
      <c r="C745" s="4" t="s">
        <v>15</v>
      </c>
      <c r="D745" s="4" t="s">
        <v>16</v>
      </c>
      <c r="E745" s="4" t="s">
        <v>44</v>
      </c>
      <c r="F745" s="5" t="n">
        <v>0.129</v>
      </c>
      <c r="G745" s="6" t="n">
        <v>0</v>
      </c>
      <c r="H745" s="6" t="n">
        <v>0</v>
      </c>
      <c r="I745" s="6" t="n">
        <v>0</v>
      </c>
      <c r="J745" s="4" t="s">
        <v>18</v>
      </c>
      <c r="K745" s="4" t="s">
        <v>19</v>
      </c>
      <c r="L745" s="4" t="s">
        <v>20</v>
      </c>
    </row>
    <row r="746" customFormat="false" ht="22.35" hidden="false" customHeight="false" outlineLevel="0" collapsed="false">
      <c r="A746" s="7" t="s">
        <v>769</v>
      </c>
      <c r="B746" s="7" t="s">
        <v>14</v>
      </c>
      <c r="C746" s="7" t="s">
        <v>15</v>
      </c>
      <c r="D746" s="7" t="s">
        <v>16</v>
      </c>
      <c r="E746" s="7" t="s">
        <v>44</v>
      </c>
      <c r="F746" s="8" t="n">
        <v>0.13</v>
      </c>
      <c r="G746" s="9" t="n">
        <v>0</v>
      </c>
      <c r="H746" s="9" t="n">
        <v>0</v>
      </c>
      <c r="I746" s="9" t="n">
        <v>0</v>
      </c>
      <c r="J746" s="7" t="s">
        <v>18</v>
      </c>
      <c r="K746" s="7" t="s">
        <v>19</v>
      </c>
      <c r="L746" s="7" t="s">
        <v>20</v>
      </c>
    </row>
    <row r="747" customFormat="false" ht="22.35" hidden="false" customHeight="false" outlineLevel="0" collapsed="false">
      <c r="A747" s="4" t="s">
        <v>770</v>
      </c>
      <c r="B747" s="4" t="s">
        <v>14</v>
      </c>
      <c r="C747" s="4" t="s">
        <v>15</v>
      </c>
      <c r="D747" s="4" t="s">
        <v>16</v>
      </c>
      <c r="E747" s="4" t="s">
        <v>44</v>
      </c>
      <c r="F747" s="5" t="n">
        <v>0.13</v>
      </c>
      <c r="G747" s="6" t="n">
        <v>0</v>
      </c>
      <c r="H747" s="6" t="n">
        <v>0</v>
      </c>
      <c r="I747" s="6" t="n">
        <v>0</v>
      </c>
      <c r="J747" s="4" t="s">
        <v>18</v>
      </c>
      <c r="K747" s="4" t="s">
        <v>19</v>
      </c>
      <c r="L747" s="4" t="s">
        <v>20</v>
      </c>
    </row>
    <row r="748" customFormat="false" ht="22.35" hidden="false" customHeight="false" outlineLevel="0" collapsed="false">
      <c r="A748" s="7" t="s">
        <v>771</v>
      </c>
      <c r="B748" s="7" t="s">
        <v>14</v>
      </c>
      <c r="C748" s="7" t="s">
        <v>15</v>
      </c>
      <c r="D748" s="7" t="s">
        <v>16</v>
      </c>
      <c r="E748" s="7" t="s">
        <v>17</v>
      </c>
      <c r="F748" s="8" t="n">
        <v>3.83</v>
      </c>
      <c r="G748" s="9" t="n">
        <v>0</v>
      </c>
      <c r="H748" s="9" t="n">
        <v>0</v>
      </c>
      <c r="I748" s="9" t="n">
        <v>0</v>
      </c>
      <c r="J748" s="7" t="s">
        <v>18</v>
      </c>
      <c r="K748" s="7" t="s">
        <v>19</v>
      </c>
      <c r="L748" s="7" t="s">
        <v>20</v>
      </c>
    </row>
    <row r="749" customFormat="false" ht="22.35" hidden="false" customHeight="false" outlineLevel="0" collapsed="false">
      <c r="A749" s="4" t="s">
        <v>772</v>
      </c>
      <c r="B749" s="4" t="s">
        <v>14</v>
      </c>
      <c r="C749" s="4" t="s">
        <v>15</v>
      </c>
      <c r="D749" s="4" t="s">
        <v>16</v>
      </c>
      <c r="E749" s="4" t="s">
        <v>17</v>
      </c>
      <c r="F749" s="5" t="n">
        <v>6.752</v>
      </c>
      <c r="G749" s="6" t="n">
        <v>0</v>
      </c>
      <c r="H749" s="6" t="n">
        <v>0</v>
      </c>
      <c r="I749" s="6" t="n">
        <v>0</v>
      </c>
      <c r="J749" s="4" t="s">
        <v>18</v>
      </c>
      <c r="K749" s="4" t="s">
        <v>19</v>
      </c>
      <c r="L749" s="4" t="s">
        <v>20</v>
      </c>
    </row>
    <row r="750" customFormat="false" ht="22.35" hidden="false" customHeight="false" outlineLevel="0" collapsed="false">
      <c r="A750" s="7" t="s">
        <v>773</v>
      </c>
      <c r="B750" s="7" t="s">
        <v>14</v>
      </c>
      <c r="C750" s="7" t="s">
        <v>15</v>
      </c>
      <c r="D750" s="7" t="s">
        <v>16</v>
      </c>
      <c r="E750" s="7" t="s">
        <v>17</v>
      </c>
      <c r="F750" s="8" t="n">
        <v>2.19</v>
      </c>
      <c r="G750" s="9" t="n">
        <v>0</v>
      </c>
      <c r="H750" s="9" t="n">
        <v>0</v>
      </c>
      <c r="I750" s="9" t="n">
        <v>0</v>
      </c>
      <c r="J750" s="7" t="s">
        <v>18</v>
      </c>
      <c r="K750" s="7" t="s">
        <v>19</v>
      </c>
      <c r="L750" s="7" t="s">
        <v>20</v>
      </c>
    </row>
    <row r="751" customFormat="false" ht="22.35" hidden="false" customHeight="false" outlineLevel="0" collapsed="false">
      <c r="A751" s="4" t="s">
        <v>774</v>
      </c>
      <c r="B751" s="4" t="s">
        <v>14</v>
      </c>
      <c r="C751" s="4" t="s">
        <v>15</v>
      </c>
      <c r="D751" s="4" t="s">
        <v>16</v>
      </c>
      <c r="E751" s="4" t="s">
        <v>17</v>
      </c>
      <c r="F751" s="5" t="n">
        <v>4.97</v>
      </c>
      <c r="G751" s="6" t="n">
        <v>0</v>
      </c>
      <c r="H751" s="6" t="n">
        <v>0</v>
      </c>
      <c r="I751" s="6" t="n">
        <v>0</v>
      </c>
      <c r="J751" s="4" t="s">
        <v>18</v>
      </c>
      <c r="K751" s="4" t="s">
        <v>19</v>
      </c>
      <c r="L751" s="4" t="s">
        <v>20</v>
      </c>
    </row>
    <row r="752" customFormat="false" ht="22.35" hidden="false" customHeight="false" outlineLevel="0" collapsed="false">
      <c r="A752" s="7" t="s">
        <v>775</v>
      </c>
      <c r="B752" s="7" t="s">
        <v>14</v>
      </c>
      <c r="C752" s="7" t="s">
        <v>15</v>
      </c>
      <c r="D752" s="7" t="s">
        <v>16</v>
      </c>
      <c r="E752" s="7" t="s">
        <v>17</v>
      </c>
      <c r="F752" s="8" t="n">
        <v>2.41</v>
      </c>
      <c r="G752" s="9" t="n">
        <v>0</v>
      </c>
      <c r="H752" s="9" t="n">
        <v>0</v>
      </c>
      <c r="I752" s="9" t="n">
        <v>0</v>
      </c>
      <c r="J752" s="7" t="s">
        <v>18</v>
      </c>
      <c r="K752" s="7" t="s">
        <v>19</v>
      </c>
      <c r="L752" s="7" t="s">
        <v>20</v>
      </c>
    </row>
    <row r="753" customFormat="false" ht="22.35" hidden="false" customHeight="false" outlineLevel="0" collapsed="false">
      <c r="A753" s="4" t="s">
        <v>776</v>
      </c>
      <c r="B753" s="4" t="s">
        <v>14</v>
      </c>
      <c r="C753" s="4" t="s">
        <v>15</v>
      </c>
      <c r="D753" s="4" t="s">
        <v>16</v>
      </c>
      <c r="E753" s="4" t="s">
        <v>17</v>
      </c>
      <c r="F753" s="5" t="n">
        <v>2.16</v>
      </c>
      <c r="G753" s="6" t="n">
        <v>0</v>
      </c>
      <c r="H753" s="6" t="n">
        <v>0</v>
      </c>
      <c r="I753" s="6" t="n">
        <v>0</v>
      </c>
      <c r="J753" s="4" t="s">
        <v>18</v>
      </c>
      <c r="K753" s="4" t="s">
        <v>19</v>
      </c>
      <c r="L753" s="4" t="s">
        <v>20</v>
      </c>
    </row>
    <row r="754" customFormat="false" ht="22.35" hidden="false" customHeight="false" outlineLevel="0" collapsed="false">
      <c r="A754" s="7" t="s">
        <v>777</v>
      </c>
      <c r="B754" s="7" t="s">
        <v>14</v>
      </c>
      <c r="C754" s="7" t="s">
        <v>15</v>
      </c>
      <c r="D754" s="7" t="s">
        <v>16</v>
      </c>
      <c r="E754" s="7" t="s">
        <v>17</v>
      </c>
      <c r="F754" s="8" t="n">
        <v>4.52</v>
      </c>
      <c r="G754" s="9" t="n">
        <v>0</v>
      </c>
      <c r="H754" s="9" t="n">
        <v>0</v>
      </c>
      <c r="I754" s="9" t="n">
        <v>0</v>
      </c>
      <c r="J754" s="7" t="s">
        <v>18</v>
      </c>
      <c r="K754" s="7" t="s">
        <v>19</v>
      </c>
      <c r="L754" s="7" t="s">
        <v>20</v>
      </c>
    </row>
    <row r="755" customFormat="false" ht="22.35" hidden="false" customHeight="false" outlineLevel="0" collapsed="false">
      <c r="A755" s="4" t="s">
        <v>778</v>
      </c>
      <c r="B755" s="4" t="s">
        <v>14</v>
      </c>
      <c r="C755" s="4" t="s">
        <v>15</v>
      </c>
      <c r="D755" s="4" t="s">
        <v>16</v>
      </c>
      <c r="E755" s="4" t="s">
        <v>17</v>
      </c>
      <c r="F755" s="5" t="n">
        <v>1.88</v>
      </c>
      <c r="G755" s="6" t="n">
        <v>0</v>
      </c>
      <c r="H755" s="6" t="n">
        <v>0</v>
      </c>
      <c r="I755" s="6" t="n">
        <v>0</v>
      </c>
      <c r="J755" s="4" t="s">
        <v>18</v>
      </c>
      <c r="K755" s="4" t="s">
        <v>19</v>
      </c>
      <c r="L755" s="4" t="s">
        <v>20</v>
      </c>
    </row>
    <row r="756" customFormat="false" ht="22.35" hidden="false" customHeight="false" outlineLevel="0" collapsed="false">
      <c r="A756" s="7" t="s">
        <v>779</v>
      </c>
      <c r="B756" s="7" t="s">
        <v>14</v>
      </c>
      <c r="C756" s="7" t="s">
        <v>15</v>
      </c>
      <c r="D756" s="7" t="s">
        <v>16</v>
      </c>
      <c r="E756" s="7" t="s">
        <v>17</v>
      </c>
      <c r="F756" s="8" t="n">
        <v>1.63</v>
      </c>
      <c r="G756" s="9" t="n">
        <v>0</v>
      </c>
      <c r="H756" s="9" t="n">
        <v>0</v>
      </c>
      <c r="I756" s="9" t="n">
        <v>0</v>
      </c>
      <c r="J756" s="7" t="s">
        <v>18</v>
      </c>
      <c r="K756" s="7" t="s">
        <v>19</v>
      </c>
      <c r="L756" s="7" t="s">
        <v>20</v>
      </c>
    </row>
    <row r="757" customFormat="false" ht="22.35" hidden="false" customHeight="false" outlineLevel="0" collapsed="false">
      <c r="A757" s="4" t="s">
        <v>780</v>
      </c>
      <c r="B757" s="4" t="s">
        <v>14</v>
      </c>
      <c r="C757" s="4" t="s">
        <v>15</v>
      </c>
      <c r="D757" s="4" t="s">
        <v>16</v>
      </c>
      <c r="E757" s="4" t="s">
        <v>44</v>
      </c>
      <c r="F757" s="5" t="n">
        <v>2.8</v>
      </c>
      <c r="G757" s="6" t="n">
        <v>0</v>
      </c>
      <c r="H757" s="6" t="n">
        <v>0</v>
      </c>
      <c r="I757" s="6" t="n">
        <v>0</v>
      </c>
      <c r="J757" s="4" t="s">
        <v>18</v>
      </c>
      <c r="K757" s="4" t="s">
        <v>19</v>
      </c>
      <c r="L757" s="4" t="s">
        <v>20</v>
      </c>
    </row>
    <row r="758" customFormat="false" ht="22.35" hidden="false" customHeight="false" outlineLevel="0" collapsed="false">
      <c r="A758" s="7" t="s">
        <v>781</v>
      </c>
      <c r="B758" s="7" t="s">
        <v>14</v>
      </c>
      <c r="C758" s="7" t="s">
        <v>15</v>
      </c>
      <c r="D758" s="7" t="s">
        <v>16</v>
      </c>
      <c r="E758" s="7" t="s">
        <v>17</v>
      </c>
      <c r="F758" s="8" t="n">
        <v>1.55</v>
      </c>
      <c r="G758" s="9" t="n">
        <v>0</v>
      </c>
      <c r="H758" s="9" t="n">
        <v>0</v>
      </c>
      <c r="I758" s="9" t="n">
        <v>0</v>
      </c>
      <c r="J758" s="7" t="s">
        <v>18</v>
      </c>
      <c r="K758" s="7" t="s">
        <v>19</v>
      </c>
      <c r="L758" s="7" t="s">
        <v>20</v>
      </c>
    </row>
    <row r="759" customFormat="false" ht="22.35" hidden="false" customHeight="false" outlineLevel="0" collapsed="false">
      <c r="A759" s="4" t="s">
        <v>782</v>
      </c>
      <c r="B759" s="4" t="s">
        <v>14</v>
      </c>
      <c r="C759" s="4" t="s">
        <v>15</v>
      </c>
      <c r="D759" s="4" t="s">
        <v>16</v>
      </c>
      <c r="E759" s="4" t="s">
        <v>17</v>
      </c>
      <c r="F759" s="5" t="n">
        <v>1.88</v>
      </c>
      <c r="G759" s="6" t="n">
        <v>0</v>
      </c>
      <c r="H759" s="6" t="n">
        <v>0</v>
      </c>
      <c r="I759" s="6" t="n">
        <v>0</v>
      </c>
      <c r="J759" s="4" t="s">
        <v>18</v>
      </c>
      <c r="K759" s="4" t="s">
        <v>19</v>
      </c>
      <c r="L759" s="4" t="s">
        <v>20</v>
      </c>
    </row>
    <row r="760" customFormat="false" ht="22.35" hidden="false" customHeight="false" outlineLevel="0" collapsed="false">
      <c r="A760" s="7" t="s">
        <v>783</v>
      </c>
      <c r="B760" s="7" t="s">
        <v>14</v>
      </c>
      <c r="C760" s="7" t="s">
        <v>15</v>
      </c>
      <c r="D760" s="7" t="s">
        <v>16</v>
      </c>
      <c r="E760" s="7" t="s">
        <v>17</v>
      </c>
      <c r="F760" s="8" t="n">
        <v>4.34</v>
      </c>
      <c r="G760" s="9" t="n">
        <v>0</v>
      </c>
      <c r="H760" s="9" t="n">
        <v>0</v>
      </c>
      <c r="I760" s="9" t="n">
        <v>0</v>
      </c>
      <c r="J760" s="7" t="s">
        <v>18</v>
      </c>
      <c r="K760" s="7" t="s">
        <v>19</v>
      </c>
      <c r="L760" s="7" t="s">
        <v>20</v>
      </c>
    </row>
    <row r="761" customFormat="false" ht="22.35" hidden="false" customHeight="false" outlineLevel="0" collapsed="false">
      <c r="A761" s="4" t="s">
        <v>784</v>
      </c>
      <c r="B761" s="4" t="s">
        <v>14</v>
      </c>
      <c r="C761" s="4" t="s">
        <v>15</v>
      </c>
      <c r="D761" s="4" t="s">
        <v>16</v>
      </c>
      <c r="E761" s="4" t="s">
        <v>17</v>
      </c>
      <c r="F761" s="5" t="n">
        <v>3.62</v>
      </c>
      <c r="G761" s="6" t="n">
        <v>0</v>
      </c>
      <c r="H761" s="6" t="n">
        <v>0</v>
      </c>
      <c r="I761" s="6" t="n">
        <v>0</v>
      </c>
      <c r="J761" s="4" t="s">
        <v>18</v>
      </c>
      <c r="K761" s="4" t="s">
        <v>19</v>
      </c>
      <c r="L761" s="4" t="s">
        <v>20</v>
      </c>
    </row>
    <row r="762" customFormat="false" ht="22.35" hidden="false" customHeight="false" outlineLevel="0" collapsed="false">
      <c r="A762" s="7" t="s">
        <v>785</v>
      </c>
      <c r="B762" s="7" t="s">
        <v>14</v>
      </c>
      <c r="C762" s="7" t="s">
        <v>15</v>
      </c>
      <c r="D762" s="7" t="s">
        <v>16</v>
      </c>
      <c r="E762" s="7" t="s">
        <v>17</v>
      </c>
      <c r="F762" s="8" t="n">
        <v>3.75</v>
      </c>
      <c r="G762" s="9" t="n">
        <v>0</v>
      </c>
      <c r="H762" s="9" t="n">
        <v>0</v>
      </c>
      <c r="I762" s="9" t="n">
        <v>0</v>
      </c>
      <c r="J762" s="7" t="s">
        <v>18</v>
      </c>
      <c r="K762" s="7" t="s">
        <v>19</v>
      </c>
      <c r="L762" s="7" t="s">
        <v>20</v>
      </c>
    </row>
    <row r="763" customFormat="false" ht="22.35" hidden="false" customHeight="false" outlineLevel="0" collapsed="false">
      <c r="A763" s="4" t="s">
        <v>786</v>
      </c>
      <c r="B763" s="4" t="s">
        <v>14</v>
      </c>
      <c r="C763" s="4" t="s">
        <v>15</v>
      </c>
      <c r="D763" s="4" t="s">
        <v>16</v>
      </c>
      <c r="E763" s="4" t="s">
        <v>17</v>
      </c>
      <c r="F763" s="5" t="n">
        <v>2.29</v>
      </c>
      <c r="G763" s="6" t="n">
        <v>0</v>
      </c>
      <c r="H763" s="6" t="n">
        <v>0</v>
      </c>
      <c r="I763" s="6" t="n">
        <v>0</v>
      </c>
      <c r="J763" s="4" t="s">
        <v>18</v>
      </c>
      <c r="K763" s="4" t="s">
        <v>19</v>
      </c>
      <c r="L763" s="4" t="s">
        <v>20</v>
      </c>
    </row>
    <row r="764" customFormat="false" ht="22.35" hidden="false" customHeight="false" outlineLevel="0" collapsed="false">
      <c r="A764" s="7" t="s">
        <v>787</v>
      </c>
      <c r="B764" s="7" t="s">
        <v>14</v>
      </c>
      <c r="C764" s="7" t="s">
        <v>15</v>
      </c>
      <c r="D764" s="7" t="s">
        <v>16</v>
      </c>
      <c r="E764" s="7" t="s">
        <v>17</v>
      </c>
      <c r="F764" s="8" t="n">
        <v>1.49</v>
      </c>
      <c r="G764" s="9" t="n">
        <v>0</v>
      </c>
      <c r="H764" s="9" t="n">
        <v>0</v>
      </c>
      <c r="I764" s="9" t="n">
        <v>0</v>
      </c>
      <c r="J764" s="7" t="s">
        <v>18</v>
      </c>
      <c r="K764" s="7" t="s">
        <v>19</v>
      </c>
      <c r="L764" s="7" t="s">
        <v>20</v>
      </c>
    </row>
    <row r="765" customFormat="false" ht="22.35" hidden="false" customHeight="false" outlineLevel="0" collapsed="false">
      <c r="A765" s="4" t="s">
        <v>788</v>
      </c>
      <c r="B765" s="4" t="s">
        <v>14</v>
      </c>
      <c r="C765" s="4" t="s">
        <v>15</v>
      </c>
      <c r="D765" s="4" t="s">
        <v>16</v>
      </c>
      <c r="E765" s="4" t="s">
        <v>17</v>
      </c>
      <c r="F765" s="5" t="n">
        <v>4.19</v>
      </c>
      <c r="G765" s="6" t="n">
        <v>0</v>
      </c>
      <c r="H765" s="6" t="n">
        <v>0</v>
      </c>
      <c r="I765" s="6" t="n">
        <v>0</v>
      </c>
      <c r="J765" s="4" t="s">
        <v>18</v>
      </c>
      <c r="K765" s="4" t="s">
        <v>19</v>
      </c>
      <c r="L765" s="4" t="s">
        <v>20</v>
      </c>
    </row>
    <row r="766" customFormat="false" ht="22.35" hidden="false" customHeight="false" outlineLevel="0" collapsed="false">
      <c r="A766" s="7" t="s">
        <v>789</v>
      </c>
      <c r="B766" s="7" t="s">
        <v>14</v>
      </c>
      <c r="C766" s="7" t="s">
        <v>15</v>
      </c>
      <c r="D766" s="7" t="s">
        <v>16</v>
      </c>
      <c r="E766" s="7" t="s">
        <v>17</v>
      </c>
      <c r="F766" s="8" t="n">
        <v>2.32</v>
      </c>
      <c r="G766" s="9" t="n">
        <v>0</v>
      </c>
      <c r="H766" s="9" t="n">
        <v>0</v>
      </c>
      <c r="I766" s="9" t="n">
        <v>0</v>
      </c>
      <c r="J766" s="7" t="s">
        <v>18</v>
      </c>
      <c r="K766" s="7" t="s">
        <v>19</v>
      </c>
      <c r="L766" s="7" t="s">
        <v>20</v>
      </c>
    </row>
    <row r="767" customFormat="false" ht="22.35" hidden="false" customHeight="false" outlineLevel="0" collapsed="false">
      <c r="A767" s="4" t="s">
        <v>790</v>
      </c>
      <c r="B767" s="4" t="s">
        <v>14</v>
      </c>
      <c r="C767" s="4" t="s">
        <v>15</v>
      </c>
      <c r="D767" s="4" t="s">
        <v>16</v>
      </c>
      <c r="E767" s="4" t="s">
        <v>17</v>
      </c>
      <c r="F767" s="5" t="n">
        <v>6.585</v>
      </c>
      <c r="G767" s="6" t="n">
        <v>0</v>
      </c>
      <c r="H767" s="6" t="n">
        <v>0</v>
      </c>
      <c r="I767" s="6" t="n">
        <v>0</v>
      </c>
      <c r="J767" s="4" t="s">
        <v>18</v>
      </c>
      <c r="K767" s="4" t="s">
        <v>19</v>
      </c>
      <c r="L767" s="4" t="s">
        <v>20</v>
      </c>
    </row>
    <row r="768" customFormat="false" ht="22.35" hidden="false" customHeight="false" outlineLevel="0" collapsed="false">
      <c r="A768" s="7" t="s">
        <v>791</v>
      </c>
      <c r="B768" s="7" t="s">
        <v>14</v>
      </c>
      <c r="C768" s="7" t="s">
        <v>15</v>
      </c>
      <c r="D768" s="7" t="s">
        <v>16</v>
      </c>
      <c r="E768" s="7" t="s">
        <v>17</v>
      </c>
      <c r="F768" s="8" t="n">
        <v>2.64</v>
      </c>
      <c r="G768" s="9" t="n">
        <v>0</v>
      </c>
      <c r="H768" s="9" t="n">
        <v>0</v>
      </c>
      <c r="I768" s="9" t="n">
        <v>0</v>
      </c>
      <c r="J768" s="7" t="s">
        <v>18</v>
      </c>
      <c r="K768" s="7" t="s">
        <v>19</v>
      </c>
      <c r="L768" s="7" t="s">
        <v>20</v>
      </c>
    </row>
    <row r="769" customFormat="false" ht="22.35" hidden="false" customHeight="false" outlineLevel="0" collapsed="false">
      <c r="A769" s="4" t="s">
        <v>792</v>
      </c>
      <c r="B769" s="4" t="s">
        <v>14</v>
      </c>
      <c r="C769" s="4" t="s">
        <v>15</v>
      </c>
      <c r="D769" s="4" t="s">
        <v>16</v>
      </c>
      <c r="E769" s="4" t="s">
        <v>17</v>
      </c>
      <c r="F769" s="5" t="n">
        <v>0.05</v>
      </c>
      <c r="G769" s="6" t="n">
        <v>0</v>
      </c>
      <c r="H769" s="6" t="n">
        <v>0</v>
      </c>
      <c r="I769" s="6" t="n">
        <v>0</v>
      </c>
      <c r="J769" s="4" t="s">
        <v>18</v>
      </c>
      <c r="K769" s="4" t="s">
        <v>19</v>
      </c>
      <c r="L769" s="4" t="s">
        <v>20</v>
      </c>
    </row>
    <row r="770" customFormat="false" ht="22.35" hidden="false" customHeight="false" outlineLevel="0" collapsed="false">
      <c r="A770" s="7" t="s">
        <v>793</v>
      </c>
      <c r="B770" s="7" t="s">
        <v>14</v>
      </c>
      <c r="C770" s="7" t="s">
        <v>15</v>
      </c>
      <c r="D770" s="7" t="s">
        <v>16</v>
      </c>
      <c r="E770" s="7" t="s">
        <v>17</v>
      </c>
      <c r="F770" s="8" t="n">
        <v>0.05</v>
      </c>
      <c r="G770" s="9" t="n">
        <v>0</v>
      </c>
      <c r="H770" s="9" t="n">
        <v>0</v>
      </c>
      <c r="I770" s="9" t="n">
        <v>0</v>
      </c>
      <c r="J770" s="7" t="s">
        <v>18</v>
      </c>
      <c r="K770" s="7" t="s">
        <v>19</v>
      </c>
      <c r="L770" s="7" t="s">
        <v>20</v>
      </c>
    </row>
    <row r="771" customFormat="false" ht="22.35" hidden="false" customHeight="false" outlineLevel="0" collapsed="false">
      <c r="A771" s="4" t="s">
        <v>794</v>
      </c>
      <c r="B771" s="4" t="s">
        <v>14</v>
      </c>
      <c r="C771" s="4" t="s">
        <v>15</v>
      </c>
      <c r="D771" s="4" t="s">
        <v>16</v>
      </c>
      <c r="E771" s="4" t="s">
        <v>17</v>
      </c>
      <c r="F771" s="5" t="n">
        <v>2.95</v>
      </c>
      <c r="G771" s="6" t="n">
        <v>0</v>
      </c>
      <c r="H771" s="6" t="n">
        <v>0</v>
      </c>
      <c r="I771" s="6" t="n">
        <v>0</v>
      </c>
      <c r="J771" s="4" t="s">
        <v>18</v>
      </c>
      <c r="K771" s="4" t="s">
        <v>19</v>
      </c>
      <c r="L771" s="4" t="s">
        <v>20</v>
      </c>
    </row>
    <row r="772" customFormat="false" ht="22.35" hidden="false" customHeight="false" outlineLevel="0" collapsed="false">
      <c r="A772" s="7" t="s">
        <v>795</v>
      </c>
      <c r="B772" s="7" t="s">
        <v>14</v>
      </c>
      <c r="C772" s="7" t="s">
        <v>15</v>
      </c>
      <c r="D772" s="7" t="s">
        <v>16</v>
      </c>
      <c r="E772" s="7" t="s">
        <v>17</v>
      </c>
      <c r="F772" s="8" t="n">
        <v>3.51</v>
      </c>
      <c r="G772" s="9" t="n">
        <v>0</v>
      </c>
      <c r="H772" s="9" t="n">
        <v>0</v>
      </c>
      <c r="I772" s="9" t="n">
        <v>0</v>
      </c>
      <c r="J772" s="7" t="s">
        <v>18</v>
      </c>
      <c r="K772" s="7" t="s">
        <v>19</v>
      </c>
      <c r="L772" s="7" t="s">
        <v>20</v>
      </c>
    </row>
    <row r="773" customFormat="false" ht="22.35" hidden="false" customHeight="false" outlineLevel="0" collapsed="false">
      <c r="A773" s="4" t="s">
        <v>796</v>
      </c>
      <c r="B773" s="4" t="s">
        <v>14</v>
      </c>
      <c r="C773" s="4" t="s">
        <v>15</v>
      </c>
      <c r="D773" s="4" t="s">
        <v>16</v>
      </c>
      <c r="E773" s="4" t="s">
        <v>17</v>
      </c>
      <c r="F773" s="5" t="n">
        <v>13.74</v>
      </c>
      <c r="G773" s="6" t="n">
        <v>0</v>
      </c>
      <c r="H773" s="6" t="n">
        <v>0</v>
      </c>
      <c r="I773" s="6" t="n">
        <v>0</v>
      </c>
      <c r="J773" s="4" t="s">
        <v>18</v>
      </c>
      <c r="K773" s="4" t="s">
        <v>19</v>
      </c>
      <c r="L773" s="4" t="s">
        <v>20</v>
      </c>
    </row>
    <row r="774" customFormat="false" ht="22.35" hidden="false" customHeight="false" outlineLevel="0" collapsed="false">
      <c r="A774" s="7" t="s">
        <v>797</v>
      </c>
      <c r="B774" s="7" t="s">
        <v>14</v>
      </c>
      <c r="C774" s="7" t="s">
        <v>15</v>
      </c>
      <c r="D774" s="7" t="s">
        <v>16</v>
      </c>
      <c r="E774" s="7" t="s">
        <v>17</v>
      </c>
      <c r="F774" s="8" t="n">
        <v>0.05</v>
      </c>
      <c r="G774" s="9" t="n">
        <v>0</v>
      </c>
      <c r="H774" s="9" t="n">
        <v>0</v>
      </c>
      <c r="I774" s="9" t="n">
        <v>0</v>
      </c>
      <c r="J774" s="7" t="s">
        <v>18</v>
      </c>
      <c r="K774" s="7" t="s">
        <v>19</v>
      </c>
      <c r="L774" s="7" t="s">
        <v>20</v>
      </c>
    </row>
    <row r="775" customFormat="false" ht="22.35" hidden="false" customHeight="false" outlineLevel="0" collapsed="false">
      <c r="A775" s="4" t="s">
        <v>798</v>
      </c>
      <c r="B775" s="4" t="s">
        <v>14</v>
      </c>
      <c r="C775" s="4" t="s">
        <v>15</v>
      </c>
      <c r="D775" s="4" t="s">
        <v>16</v>
      </c>
      <c r="E775" s="4" t="s">
        <v>17</v>
      </c>
      <c r="F775" s="5" t="n">
        <v>0.05</v>
      </c>
      <c r="G775" s="6" t="n">
        <v>0</v>
      </c>
      <c r="H775" s="6" t="n">
        <v>0</v>
      </c>
      <c r="I775" s="6" t="n">
        <v>0</v>
      </c>
      <c r="J775" s="4" t="s">
        <v>18</v>
      </c>
      <c r="K775" s="4" t="s">
        <v>19</v>
      </c>
      <c r="L775" s="4" t="s">
        <v>20</v>
      </c>
    </row>
    <row r="776" customFormat="false" ht="22.35" hidden="false" customHeight="false" outlineLevel="0" collapsed="false">
      <c r="A776" s="7" t="s">
        <v>799</v>
      </c>
      <c r="B776" s="7" t="s">
        <v>14</v>
      </c>
      <c r="C776" s="7" t="s">
        <v>15</v>
      </c>
      <c r="D776" s="7" t="s">
        <v>16</v>
      </c>
      <c r="E776" s="7" t="s">
        <v>17</v>
      </c>
      <c r="F776" s="8" t="n">
        <v>2.42</v>
      </c>
      <c r="G776" s="9" t="n">
        <v>0</v>
      </c>
      <c r="H776" s="9" t="n">
        <v>0</v>
      </c>
      <c r="I776" s="9" t="n">
        <v>0</v>
      </c>
      <c r="J776" s="7" t="s">
        <v>18</v>
      </c>
      <c r="K776" s="7" t="s">
        <v>19</v>
      </c>
      <c r="L776" s="7" t="s">
        <v>20</v>
      </c>
    </row>
    <row r="777" customFormat="false" ht="22.35" hidden="false" customHeight="false" outlineLevel="0" collapsed="false">
      <c r="A777" s="4" t="s">
        <v>800</v>
      </c>
      <c r="B777" s="4" t="s">
        <v>14</v>
      </c>
      <c r="C777" s="4" t="s">
        <v>15</v>
      </c>
      <c r="D777" s="4" t="s">
        <v>16</v>
      </c>
      <c r="E777" s="4" t="s">
        <v>17</v>
      </c>
      <c r="F777" s="5" t="n">
        <v>2.52</v>
      </c>
      <c r="G777" s="6" t="n">
        <v>0</v>
      </c>
      <c r="H777" s="6" t="n">
        <v>0</v>
      </c>
      <c r="I777" s="6" t="n">
        <v>0</v>
      </c>
      <c r="J777" s="4" t="s">
        <v>18</v>
      </c>
      <c r="K777" s="4" t="s">
        <v>19</v>
      </c>
      <c r="L777" s="4" t="s">
        <v>20</v>
      </c>
    </row>
    <row r="778" customFormat="false" ht="22.35" hidden="false" customHeight="false" outlineLevel="0" collapsed="false">
      <c r="A778" s="7" t="s">
        <v>801</v>
      </c>
      <c r="B778" s="7" t="s">
        <v>14</v>
      </c>
      <c r="C778" s="7" t="s">
        <v>15</v>
      </c>
      <c r="D778" s="7" t="s">
        <v>16</v>
      </c>
      <c r="E778" s="7" t="s">
        <v>17</v>
      </c>
      <c r="F778" s="8" t="n">
        <v>0.806</v>
      </c>
      <c r="G778" s="9" t="n">
        <v>0</v>
      </c>
      <c r="H778" s="9" t="n">
        <v>0</v>
      </c>
      <c r="I778" s="9" t="n">
        <v>0</v>
      </c>
      <c r="J778" s="7" t="s">
        <v>18</v>
      </c>
      <c r="K778" s="7" t="s">
        <v>19</v>
      </c>
      <c r="L778" s="7" t="s">
        <v>20</v>
      </c>
    </row>
    <row r="779" customFormat="false" ht="22.35" hidden="false" customHeight="false" outlineLevel="0" collapsed="false">
      <c r="A779" s="4" t="s">
        <v>802</v>
      </c>
      <c r="B779" s="4" t="s">
        <v>14</v>
      </c>
      <c r="C779" s="4" t="s">
        <v>15</v>
      </c>
      <c r="D779" s="4" t="s">
        <v>16</v>
      </c>
      <c r="E779" s="4" t="s">
        <v>17</v>
      </c>
      <c r="F779" s="5" t="n">
        <v>2.44</v>
      </c>
      <c r="G779" s="6" t="n">
        <v>0</v>
      </c>
      <c r="H779" s="6" t="n">
        <v>0</v>
      </c>
      <c r="I779" s="6" t="n">
        <v>0</v>
      </c>
      <c r="J779" s="4" t="s">
        <v>18</v>
      </c>
      <c r="K779" s="4" t="s">
        <v>19</v>
      </c>
      <c r="L779" s="4" t="s">
        <v>20</v>
      </c>
    </row>
    <row r="780" customFormat="false" ht="22.35" hidden="false" customHeight="false" outlineLevel="0" collapsed="false">
      <c r="A780" s="7" t="s">
        <v>803</v>
      </c>
      <c r="B780" s="7" t="s">
        <v>14</v>
      </c>
      <c r="C780" s="7" t="s">
        <v>15</v>
      </c>
      <c r="D780" s="7" t="s">
        <v>16</v>
      </c>
      <c r="E780" s="7" t="s">
        <v>17</v>
      </c>
      <c r="F780" s="8" t="n">
        <v>4.97</v>
      </c>
      <c r="G780" s="9" t="n">
        <v>0</v>
      </c>
      <c r="H780" s="9" t="n">
        <v>0</v>
      </c>
      <c r="I780" s="9" t="n">
        <v>0</v>
      </c>
      <c r="J780" s="7" t="s">
        <v>18</v>
      </c>
      <c r="K780" s="7" t="s">
        <v>19</v>
      </c>
      <c r="L780" s="7" t="s">
        <v>20</v>
      </c>
    </row>
    <row r="781" customFormat="false" ht="22.35" hidden="false" customHeight="false" outlineLevel="0" collapsed="false">
      <c r="A781" s="4" t="s">
        <v>804</v>
      </c>
      <c r="B781" s="4" t="s">
        <v>14</v>
      </c>
      <c r="C781" s="4" t="s">
        <v>15</v>
      </c>
      <c r="D781" s="4" t="s">
        <v>16</v>
      </c>
      <c r="E781" s="4" t="s">
        <v>44</v>
      </c>
      <c r="F781" s="5" t="n">
        <v>8.27</v>
      </c>
      <c r="G781" s="6" t="n">
        <v>0</v>
      </c>
      <c r="H781" s="6" t="n">
        <v>0</v>
      </c>
      <c r="I781" s="6" t="n">
        <v>0</v>
      </c>
      <c r="J781" s="4" t="s">
        <v>18</v>
      </c>
      <c r="K781" s="4" t="s">
        <v>19</v>
      </c>
      <c r="L781" s="4" t="s">
        <v>20</v>
      </c>
    </row>
    <row r="782" customFormat="false" ht="22.35" hidden="false" customHeight="false" outlineLevel="0" collapsed="false">
      <c r="A782" s="7" t="s">
        <v>805</v>
      </c>
      <c r="B782" s="7" t="s">
        <v>14</v>
      </c>
      <c r="C782" s="7" t="s">
        <v>15</v>
      </c>
      <c r="D782" s="7" t="s">
        <v>16</v>
      </c>
      <c r="E782" s="7" t="s">
        <v>17</v>
      </c>
      <c r="F782" s="8" t="n">
        <v>0.05</v>
      </c>
      <c r="G782" s="9" t="n">
        <v>0</v>
      </c>
      <c r="H782" s="9" t="n">
        <v>0</v>
      </c>
      <c r="I782" s="9" t="n">
        <v>0</v>
      </c>
      <c r="J782" s="7" t="s">
        <v>18</v>
      </c>
      <c r="K782" s="7" t="s">
        <v>19</v>
      </c>
      <c r="L782" s="7" t="s">
        <v>20</v>
      </c>
    </row>
    <row r="783" customFormat="false" ht="22.35" hidden="false" customHeight="false" outlineLevel="0" collapsed="false">
      <c r="A783" s="4" t="s">
        <v>806</v>
      </c>
      <c r="B783" s="4" t="s">
        <v>14</v>
      </c>
      <c r="C783" s="4" t="s">
        <v>15</v>
      </c>
      <c r="D783" s="4" t="s">
        <v>16</v>
      </c>
      <c r="E783" s="4" t="s">
        <v>17</v>
      </c>
      <c r="F783" s="5" t="n">
        <v>2.57</v>
      </c>
      <c r="G783" s="6" t="n">
        <v>0</v>
      </c>
      <c r="H783" s="6" t="n">
        <v>0</v>
      </c>
      <c r="I783" s="6" t="n">
        <v>0</v>
      </c>
      <c r="J783" s="4" t="s">
        <v>18</v>
      </c>
      <c r="K783" s="4" t="s">
        <v>19</v>
      </c>
      <c r="L783" s="4" t="s">
        <v>20</v>
      </c>
    </row>
    <row r="784" customFormat="false" ht="22.35" hidden="false" customHeight="false" outlineLevel="0" collapsed="false">
      <c r="A784" s="7" t="s">
        <v>807</v>
      </c>
      <c r="B784" s="7" t="s">
        <v>14</v>
      </c>
      <c r="C784" s="7" t="s">
        <v>15</v>
      </c>
      <c r="D784" s="7" t="s">
        <v>16</v>
      </c>
      <c r="E784" s="7" t="s">
        <v>17</v>
      </c>
      <c r="F784" s="8" t="n">
        <v>2.92</v>
      </c>
      <c r="G784" s="9" t="n">
        <v>0</v>
      </c>
      <c r="H784" s="9" t="n">
        <v>0</v>
      </c>
      <c r="I784" s="9" t="n">
        <v>0</v>
      </c>
      <c r="J784" s="7" t="s">
        <v>18</v>
      </c>
      <c r="K784" s="7" t="s">
        <v>19</v>
      </c>
      <c r="L784" s="7" t="s">
        <v>20</v>
      </c>
    </row>
    <row r="785" customFormat="false" ht="22.35" hidden="false" customHeight="false" outlineLevel="0" collapsed="false">
      <c r="A785" s="4" t="s">
        <v>808</v>
      </c>
      <c r="B785" s="4" t="s">
        <v>14</v>
      </c>
      <c r="C785" s="4" t="s">
        <v>15</v>
      </c>
      <c r="D785" s="4" t="s">
        <v>16</v>
      </c>
      <c r="E785" s="4" t="s">
        <v>17</v>
      </c>
      <c r="F785" s="5" t="n">
        <v>0.05</v>
      </c>
      <c r="G785" s="6" t="n">
        <v>0</v>
      </c>
      <c r="H785" s="6" t="n">
        <v>0</v>
      </c>
      <c r="I785" s="6" t="n">
        <v>0</v>
      </c>
      <c r="J785" s="4" t="s">
        <v>18</v>
      </c>
      <c r="K785" s="4" t="s">
        <v>19</v>
      </c>
      <c r="L785" s="4" t="s">
        <v>20</v>
      </c>
    </row>
    <row r="786" customFormat="false" ht="22.35" hidden="false" customHeight="false" outlineLevel="0" collapsed="false">
      <c r="A786" s="7" t="s">
        <v>809</v>
      </c>
      <c r="B786" s="7" t="s">
        <v>14</v>
      </c>
      <c r="C786" s="7" t="s">
        <v>15</v>
      </c>
      <c r="D786" s="7" t="s">
        <v>16</v>
      </c>
      <c r="E786" s="7" t="s">
        <v>17</v>
      </c>
      <c r="F786" s="8" t="n">
        <v>0.05</v>
      </c>
      <c r="G786" s="9" t="n">
        <v>0</v>
      </c>
      <c r="H786" s="9" t="n">
        <v>0</v>
      </c>
      <c r="I786" s="9" t="n">
        <v>0</v>
      </c>
      <c r="J786" s="7" t="s">
        <v>18</v>
      </c>
      <c r="K786" s="7" t="s">
        <v>19</v>
      </c>
      <c r="L786" s="7" t="s">
        <v>20</v>
      </c>
    </row>
    <row r="787" customFormat="false" ht="22.35" hidden="false" customHeight="false" outlineLevel="0" collapsed="false">
      <c r="A787" s="4" t="s">
        <v>810</v>
      </c>
      <c r="B787" s="4" t="s">
        <v>14</v>
      </c>
      <c r="C787" s="4" t="s">
        <v>15</v>
      </c>
      <c r="D787" s="4" t="s">
        <v>16</v>
      </c>
      <c r="E787" s="4" t="s">
        <v>811</v>
      </c>
      <c r="F787" s="5" t="n">
        <v>1.71</v>
      </c>
      <c r="G787" s="6" t="n">
        <v>0</v>
      </c>
      <c r="H787" s="6" t="n">
        <v>0</v>
      </c>
      <c r="I787" s="6" t="n">
        <v>0</v>
      </c>
      <c r="J787" s="4" t="s">
        <v>18</v>
      </c>
      <c r="K787" s="4" t="s">
        <v>19</v>
      </c>
      <c r="L787" s="4" t="s">
        <v>20</v>
      </c>
    </row>
    <row r="788" customFormat="false" ht="22.35" hidden="false" customHeight="false" outlineLevel="0" collapsed="false">
      <c r="A788" s="7" t="s">
        <v>812</v>
      </c>
      <c r="B788" s="7" t="s">
        <v>14</v>
      </c>
      <c r="C788" s="7" t="s">
        <v>15</v>
      </c>
      <c r="D788" s="7" t="s">
        <v>16</v>
      </c>
      <c r="E788" s="7" t="s">
        <v>811</v>
      </c>
      <c r="F788" s="8" t="n">
        <v>1.7</v>
      </c>
      <c r="G788" s="9" t="n">
        <v>0</v>
      </c>
      <c r="H788" s="9" t="n">
        <v>0</v>
      </c>
      <c r="I788" s="9" t="n">
        <v>0</v>
      </c>
      <c r="J788" s="7" t="s">
        <v>18</v>
      </c>
      <c r="K788" s="7" t="s">
        <v>19</v>
      </c>
      <c r="L788" s="7" t="s">
        <v>20</v>
      </c>
    </row>
    <row r="789" customFormat="false" ht="22.35" hidden="false" customHeight="false" outlineLevel="0" collapsed="false">
      <c r="A789" s="4" t="s">
        <v>813</v>
      </c>
      <c r="B789" s="4" t="s">
        <v>14</v>
      </c>
      <c r="C789" s="4" t="s">
        <v>15</v>
      </c>
      <c r="D789" s="4" t="s">
        <v>16</v>
      </c>
      <c r="E789" s="4" t="s">
        <v>17</v>
      </c>
      <c r="F789" s="5" t="n">
        <v>1.16</v>
      </c>
      <c r="G789" s="6" t="n">
        <v>0</v>
      </c>
      <c r="H789" s="6" t="n">
        <v>0</v>
      </c>
      <c r="I789" s="6" t="n">
        <v>0</v>
      </c>
      <c r="J789" s="4" t="s">
        <v>18</v>
      </c>
      <c r="K789" s="4" t="s">
        <v>19</v>
      </c>
      <c r="L789" s="4" t="s">
        <v>20</v>
      </c>
    </row>
    <row r="790" customFormat="false" ht="22.35" hidden="false" customHeight="false" outlineLevel="0" collapsed="false">
      <c r="A790" s="7" t="s">
        <v>814</v>
      </c>
      <c r="B790" s="7" t="s">
        <v>14</v>
      </c>
      <c r="C790" s="7" t="s">
        <v>15</v>
      </c>
      <c r="D790" s="7" t="s">
        <v>16</v>
      </c>
      <c r="E790" s="7" t="s">
        <v>17</v>
      </c>
      <c r="F790" s="8" t="n">
        <v>0.89</v>
      </c>
      <c r="G790" s="9" t="n">
        <v>0</v>
      </c>
      <c r="H790" s="9" t="n">
        <v>0</v>
      </c>
      <c r="I790" s="9" t="n">
        <v>0</v>
      </c>
      <c r="J790" s="7" t="s">
        <v>18</v>
      </c>
      <c r="K790" s="7" t="s">
        <v>19</v>
      </c>
      <c r="L790" s="7" t="s">
        <v>20</v>
      </c>
    </row>
    <row r="791" customFormat="false" ht="22.35" hidden="false" customHeight="false" outlineLevel="0" collapsed="false">
      <c r="A791" s="4" t="s">
        <v>815</v>
      </c>
      <c r="B791" s="4" t="s">
        <v>14</v>
      </c>
      <c r="C791" s="4" t="s">
        <v>15</v>
      </c>
      <c r="D791" s="4" t="s">
        <v>16</v>
      </c>
      <c r="E791" s="4" t="s">
        <v>17</v>
      </c>
      <c r="F791" s="5" t="n">
        <v>1.6</v>
      </c>
      <c r="G791" s="6" t="n">
        <v>0</v>
      </c>
      <c r="H791" s="6" t="n">
        <v>0</v>
      </c>
      <c r="I791" s="6" t="n">
        <v>0</v>
      </c>
      <c r="J791" s="4" t="s">
        <v>18</v>
      </c>
      <c r="K791" s="4" t="s">
        <v>19</v>
      </c>
      <c r="L791" s="4" t="s">
        <v>20</v>
      </c>
    </row>
    <row r="792" customFormat="false" ht="22.35" hidden="false" customHeight="false" outlineLevel="0" collapsed="false">
      <c r="A792" s="7" t="s">
        <v>816</v>
      </c>
      <c r="B792" s="7" t="s">
        <v>14</v>
      </c>
      <c r="C792" s="7" t="s">
        <v>15</v>
      </c>
      <c r="D792" s="7" t="s">
        <v>16</v>
      </c>
      <c r="E792" s="7" t="s">
        <v>17</v>
      </c>
      <c r="F792" s="8" t="n">
        <v>3.6</v>
      </c>
      <c r="G792" s="9" t="n">
        <v>0</v>
      </c>
      <c r="H792" s="9" t="n">
        <v>0</v>
      </c>
      <c r="I792" s="9" t="n">
        <v>0</v>
      </c>
      <c r="J792" s="7" t="s">
        <v>18</v>
      </c>
      <c r="K792" s="7" t="s">
        <v>19</v>
      </c>
      <c r="L792" s="7" t="s">
        <v>20</v>
      </c>
    </row>
    <row r="793" customFormat="false" ht="22.35" hidden="false" customHeight="false" outlineLevel="0" collapsed="false">
      <c r="A793" s="4" t="s">
        <v>817</v>
      </c>
      <c r="B793" s="4" t="s">
        <v>14</v>
      </c>
      <c r="C793" s="4" t="s">
        <v>15</v>
      </c>
      <c r="D793" s="4" t="s">
        <v>16</v>
      </c>
      <c r="E793" s="4" t="s">
        <v>17</v>
      </c>
      <c r="F793" s="5" t="n">
        <v>2.49</v>
      </c>
      <c r="G793" s="6" t="n">
        <v>0</v>
      </c>
      <c r="H793" s="6" t="n">
        <v>0</v>
      </c>
      <c r="I793" s="6" t="n">
        <v>0</v>
      </c>
      <c r="J793" s="4" t="s">
        <v>18</v>
      </c>
      <c r="K793" s="4" t="s">
        <v>19</v>
      </c>
      <c r="L793" s="4" t="s">
        <v>20</v>
      </c>
    </row>
    <row r="794" customFormat="false" ht="22.35" hidden="false" customHeight="false" outlineLevel="0" collapsed="false">
      <c r="A794" s="7" t="s">
        <v>818</v>
      </c>
      <c r="B794" s="7" t="s">
        <v>14</v>
      </c>
      <c r="C794" s="7" t="s">
        <v>15</v>
      </c>
      <c r="D794" s="7" t="s">
        <v>16</v>
      </c>
      <c r="E794" s="7" t="s">
        <v>17</v>
      </c>
      <c r="F794" s="8" t="n">
        <v>1.42</v>
      </c>
      <c r="G794" s="9" t="n">
        <v>0</v>
      </c>
      <c r="H794" s="9" t="n">
        <v>0</v>
      </c>
      <c r="I794" s="9" t="n">
        <v>0</v>
      </c>
      <c r="J794" s="7" t="s">
        <v>18</v>
      </c>
      <c r="K794" s="7" t="s">
        <v>19</v>
      </c>
      <c r="L794" s="7" t="s">
        <v>20</v>
      </c>
    </row>
    <row r="795" customFormat="false" ht="22.35" hidden="false" customHeight="false" outlineLevel="0" collapsed="false">
      <c r="A795" s="4" t="s">
        <v>819</v>
      </c>
      <c r="B795" s="4" t="s">
        <v>14</v>
      </c>
      <c r="C795" s="4" t="s">
        <v>15</v>
      </c>
      <c r="D795" s="4" t="s">
        <v>16</v>
      </c>
      <c r="E795" s="4" t="s">
        <v>17</v>
      </c>
      <c r="F795" s="5" t="n">
        <v>1.44</v>
      </c>
      <c r="G795" s="6" t="n">
        <v>0</v>
      </c>
      <c r="H795" s="6" t="n">
        <v>0</v>
      </c>
      <c r="I795" s="6" t="n">
        <v>0</v>
      </c>
      <c r="J795" s="4" t="s">
        <v>18</v>
      </c>
      <c r="K795" s="4" t="s">
        <v>19</v>
      </c>
      <c r="L795" s="4" t="s">
        <v>20</v>
      </c>
    </row>
    <row r="796" customFormat="false" ht="22.35" hidden="false" customHeight="false" outlineLevel="0" collapsed="false">
      <c r="A796" s="7" t="s">
        <v>820</v>
      </c>
      <c r="B796" s="7" t="s">
        <v>14</v>
      </c>
      <c r="C796" s="7" t="s">
        <v>15</v>
      </c>
      <c r="D796" s="7" t="s">
        <v>16</v>
      </c>
      <c r="E796" s="7" t="s">
        <v>17</v>
      </c>
      <c r="F796" s="8" t="n">
        <v>1.66</v>
      </c>
      <c r="G796" s="9" t="n">
        <v>0</v>
      </c>
      <c r="H796" s="9" t="n">
        <v>0</v>
      </c>
      <c r="I796" s="9" t="n">
        <v>0</v>
      </c>
      <c r="J796" s="7" t="s">
        <v>18</v>
      </c>
      <c r="K796" s="7" t="s">
        <v>19</v>
      </c>
      <c r="L796" s="7" t="s">
        <v>20</v>
      </c>
    </row>
    <row r="797" customFormat="false" ht="22.35" hidden="false" customHeight="false" outlineLevel="0" collapsed="false">
      <c r="A797" s="4" t="s">
        <v>821</v>
      </c>
      <c r="B797" s="4" t="s">
        <v>14</v>
      </c>
      <c r="C797" s="4" t="s">
        <v>15</v>
      </c>
      <c r="D797" s="4" t="s">
        <v>16</v>
      </c>
      <c r="E797" s="4" t="s">
        <v>17</v>
      </c>
      <c r="F797" s="5" t="n">
        <v>1.4</v>
      </c>
      <c r="G797" s="6" t="n">
        <v>0</v>
      </c>
      <c r="H797" s="6" t="n">
        <v>0</v>
      </c>
      <c r="I797" s="6" t="n">
        <v>0</v>
      </c>
      <c r="J797" s="4" t="s">
        <v>18</v>
      </c>
      <c r="K797" s="4" t="s">
        <v>19</v>
      </c>
      <c r="L797" s="4" t="s">
        <v>20</v>
      </c>
    </row>
    <row r="798" customFormat="false" ht="22.35" hidden="false" customHeight="false" outlineLevel="0" collapsed="false">
      <c r="A798" s="7" t="s">
        <v>822</v>
      </c>
      <c r="B798" s="7" t="s">
        <v>14</v>
      </c>
      <c r="C798" s="7" t="s">
        <v>15</v>
      </c>
      <c r="D798" s="7" t="s">
        <v>16</v>
      </c>
      <c r="E798" s="7" t="s">
        <v>17</v>
      </c>
      <c r="F798" s="8" t="n">
        <v>1.62</v>
      </c>
      <c r="G798" s="9" t="n">
        <v>0</v>
      </c>
      <c r="H798" s="9" t="n">
        <v>0</v>
      </c>
      <c r="I798" s="9" t="n">
        <v>0</v>
      </c>
      <c r="J798" s="7" t="s">
        <v>18</v>
      </c>
      <c r="K798" s="7" t="s">
        <v>19</v>
      </c>
      <c r="L798" s="7" t="s">
        <v>20</v>
      </c>
    </row>
    <row r="799" customFormat="false" ht="22.35" hidden="false" customHeight="false" outlineLevel="0" collapsed="false">
      <c r="A799" s="4" t="s">
        <v>823</v>
      </c>
      <c r="B799" s="4" t="s">
        <v>14</v>
      </c>
      <c r="C799" s="4" t="s">
        <v>15</v>
      </c>
      <c r="D799" s="4" t="s">
        <v>16</v>
      </c>
      <c r="E799" s="4" t="s">
        <v>17</v>
      </c>
      <c r="F799" s="5" t="n">
        <v>1.22</v>
      </c>
      <c r="G799" s="6" t="n">
        <v>0</v>
      </c>
      <c r="H799" s="6" t="n">
        <v>0</v>
      </c>
      <c r="I799" s="6" t="n">
        <v>0</v>
      </c>
      <c r="J799" s="4" t="s">
        <v>18</v>
      </c>
      <c r="K799" s="4" t="s">
        <v>19</v>
      </c>
      <c r="L799" s="4" t="s">
        <v>20</v>
      </c>
    </row>
    <row r="800" customFormat="false" ht="22.35" hidden="false" customHeight="false" outlineLevel="0" collapsed="false">
      <c r="A800" s="7" t="s">
        <v>824</v>
      </c>
      <c r="B800" s="7" t="s">
        <v>14</v>
      </c>
      <c r="C800" s="7" t="s">
        <v>15</v>
      </c>
      <c r="D800" s="7" t="s">
        <v>16</v>
      </c>
      <c r="E800" s="7" t="s">
        <v>17</v>
      </c>
      <c r="F800" s="8" t="n">
        <v>2</v>
      </c>
      <c r="G800" s="9" t="n">
        <v>0</v>
      </c>
      <c r="H800" s="9" t="n">
        <v>0</v>
      </c>
      <c r="I800" s="9" t="n">
        <v>0</v>
      </c>
      <c r="J800" s="7" t="s">
        <v>18</v>
      </c>
      <c r="K800" s="7" t="s">
        <v>19</v>
      </c>
      <c r="L800" s="7" t="s">
        <v>20</v>
      </c>
    </row>
    <row r="801" customFormat="false" ht="22.35" hidden="false" customHeight="false" outlineLevel="0" collapsed="false">
      <c r="A801" s="4" t="s">
        <v>825</v>
      </c>
      <c r="B801" s="4" t="s">
        <v>14</v>
      </c>
      <c r="C801" s="4" t="s">
        <v>15</v>
      </c>
      <c r="D801" s="4" t="s">
        <v>16</v>
      </c>
      <c r="E801" s="4" t="s">
        <v>44</v>
      </c>
      <c r="F801" s="5" t="n">
        <v>8.52</v>
      </c>
      <c r="G801" s="6" t="n">
        <v>0</v>
      </c>
      <c r="H801" s="6" t="n">
        <v>0</v>
      </c>
      <c r="I801" s="6" t="n">
        <v>0</v>
      </c>
      <c r="J801" s="4" t="s">
        <v>18</v>
      </c>
      <c r="K801" s="4" t="s">
        <v>19</v>
      </c>
      <c r="L801" s="4" t="s">
        <v>20</v>
      </c>
    </row>
    <row r="802" customFormat="false" ht="22.35" hidden="false" customHeight="false" outlineLevel="0" collapsed="false">
      <c r="A802" s="7" t="s">
        <v>826</v>
      </c>
      <c r="B802" s="7" t="s">
        <v>14</v>
      </c>
      <c r="C802" s="7" t="s">
        <v>15</v>
      </c>
      <c r="D802" s="7" t="s">
        <v>16</v>
      </c>
      <c r="E802" s="7" t="s">
        <v>17</v>
      </c>
      <c r="F802" s="8" t="n">
        <v>2.9</v>
      </c>
      <c r="G802" s="9" t="n">
        <v>0</v>
      </c>
      <c r="H802" s="9" t="n">
        <v>0</v>
      </c>
      <c r="I802" s="9" t="n">
        <v>0</v>
      </c>
      <c r="J802" s="7" t="s">
        <v>18</v>
      </c>
      <c r="K802" s="7" t="s">
        <v>19</v>
      </c>
      <c r="L802" s="7" t="s">
        <v>20</v>
      </c>
    </row>
    <row r="803" customFormat="false" ht="22.35" hidden="false" customHeight="false" outlineLevel="0" collapsed="false">
      <c r="A803" s="4" t="s">
        <v>827</v>
      </c>
      <c r="B803" s="4" t="s">
        <v>14</v>
      </c>
      <c r="C803" s="4" t="s">
        <v>15</v>
      </c>
      <c r="D803" s="4" t="s">
        <v>16</v>
      </c>
      <c r="E803" s="4" t="s">
        <v>44</v>
      </c>
      <c r="F803" s="5" t="n">
        <v>0</v>
      </c>
      <c r="G803" s="6" t="n">
        <v>0</v>
      </c>
      <c r="H803" s="6" t="n">
        <v>0</v>
      </c>
      <c r="I803" s="6" t="n">
        <v>0</v>
      </c>
      <c r="J803" s="4" t="s">
        <v>18</v>
      </c>
      <c r="K803" s="4" t="s">
        <v>19</v>
      </c>
      <c r="L803" s="4" t="s">
        <v>20</v>
      </c>
    </row>
    <row r="804" customFormat="false" ht="22.35" hidden="false" customHeight="false" outlineLevel="0" collapsed="false">
      <c r="A804" s="7" t="s">
        <v>828</v>
      </c>
      <c r="B804" s="7" t="s">
        <v>14</v>
      </c>
      <c r="C804" s="7" t="s">
        <v>15</v>
      </c>
      <c r="D804" s="7" t="s">
        <v>16</v>
      </c>
      <c r="E804" s="7" t="s">
        <v>44</v>
      </c>
      <c r="F804" s="8" t="n">
        <v>5.9</v>
      </c>
      <c r="G804" s="9" t="n">
        <v>0</v>
      </c>
      <c r="H804" s="9" t="n">
        <v>0</v>
      </c>
      <c r="I804" s="9" t="n">
        <v>0</v>
      </c>
      <c r="J804" s="7" t="s">
        <v>18</v>
      </c>
      <c r="K804" s="7" t="s">
        <v>19</v>
      </c>
      <c r="L804" s="7" t="s">
        <v>20</v>
      </c>
    </row>
    <row r="805" customFormat="false" ht="22.35" hidden="false" customHeight="false" outlineLevel="0" collapsed="false">
      <c r="A805" s="4" t="s">
        <v>829</v>
      </c>
      <c r="B805" s="4" t="s">
        <v>14</v>
      </c>
      <c r="C805" s="4" t="s">
        <v>15</v>
      </c>
      <c r="D805" s="4" t="s">
        <v>16</v>
      </c>
      <c r="E805" s="4" t="s">
        <v>44</v>
      </c>
      <c r="F805" s="5" t="n">
        <v>4.24</v>
      </c>
      <c r="G805" s="6" t="n">
        <v>0</v>
      </c>
      <c r="H805" s="6" t="n">
        <v>0</v>
      </c>
      <c r="I805" s="6" t="n">
        <v>0</v>
      </c>
      <c r="J805" s="4" t="s">
        <v>18</v>
      </c>
      <c r="K805" s="4" t="s">
        <v>19</v>
      </c>
      <c r="L805" s="4" t="s">
        <v>20</v>
      </c>
    </row>
    <row r="806" customFormat="false" ht="22.35" hidden="false" customHeight="false" outlineLevel="0" collapsed="false">
      <c r="A806" s="7" t="s">
        <v>830</v>
      </c>
      <c r="B806" s="7" t="s">
        <v>14</v>
      </c>
      <c r="C806" s="7" t="s">
        <v>15</v>
      </c>
      <c r="D806" s="7" t="s">
        <v>16</v>
      </c>
      <c r="E806" s="7" t="s">
        <v>17</v>
      </c>
      <c r="F806" s="8" t="n">
        <v>5.6</v>
      </c>
      <c r="G806" s="9" t="n">
        <v>0</v>
      </c>
      <c r="H806" s="9" t="n">
        <v>0</v>
      </c>
      <c r="I806" s="9" t="n">
        <v>0</v>
      </c>
      <c r="J806" s="7" t="s">
        <v>18</v>
      </c>
      <c r="K806" s="7" t="s">
        <v>19</v>
      </c>
      <c r="L806" s="7" t="s">
        <v>20</v>
      </c>
    </row>
    <row r="807" customFormat="false" ht="22.35" hidden="false" customHeight="false" outlineLevel="0" collapsed="false">
      <c r="A807" s="4" t="s">
        <v>831</v>
      </c>
      <c r="B807" s="4" t="s">
        <v>14</v>
      </c>
      <c r="C807" s="4" t="s">
        <v>15</v>
      </c>
      <c r="D807" s="4" t="s">
        <v>16</v>
      </c>
      <c r="E807" s="4" t="s">
        <v>17</v>
      </c>
      <c r="F807" s="5" t="n">
        <v>4.02</v>
      </c>
      <c r="G807" s="6" t="n">
        <v>0</v>
      </c>
      <c r="H807" s="6" t="n">
        <v>0</v>
      </c>
      <c r="I807" s="6" t="n">
        <v>0</v>
      </c>
      <c r="J807" s="4" t="s">
        <v>18</v>
      </c>
      <c r="K807" s="4" t="s">
        <v>19</v>
      </c>
      <c r="L807" s="4" t="s">
        <v>20</v>
      </c>
    </row>
    <row r="808" customFormat="false" ht="22.35" hidden="false" customHeight="false" outlineLevel="0" collapsed="false">
      <c r="A808" s="7" t="s">
        <v>832</v>
      </c>
      <c r="B808" s="7" t="s">
        <v>14</v>
      </c>
      <c r="C808" s="7" t="s">
        <v>15</v>
      </c>
      <c r="D808" s="7" t="s">
        <v>16</v>
      </c>
      <c r="E808" s="7" t="s">
        <v>44</v>
      </c>
      <c r="F808" s="8" t="n">
        <v>0</v>
      </c>
      <c r="G808" s="9" t="n">
        <v>0</v>
      </c>
      <c r="H808" s="9" t="n">
        <v>0</v>
      </c>
      <c r="I808" s="9" t="n">
        <v>0</v>
      </c>
      <c r="J808" s="7" t="s">
        <v>18</v>
      </c>
      <c r="K808" s="7" t="s">
        <v>19</v>
      </c>
      <c r="L808" s="7" t="s">
        <v>20</v>
      </c>
    </row>
    <row r="809" customFormat="false" ht="22.35" hidden="false" customHeight="false" outlineLevel="0" collapsed="false">
      <c r="A809" s="4" t="s">
        <v>833</v>
      </c>
      <c r="B809" s="4" t="s">
        <v>14</v>
      </c>
      <c r="C809" s="4" t="s">
        <v>15</v>
      </c>
      <c r="D809" s="4" t="s">
        <v>16</v>
      </c>
      <c r="E809" s="4" t="s">
        <v>17</v>
      </c>
      <c r="F809" s="5" t="n">
        <v>1.58</v>
      </c>
      <c r="G809" s="6" t="n">
        <v>0</v>
      </c>
      <c r="H809" s="6" t="n">
        <v>0</v>
      </c>
      <c r="I809" s="6" t="n">
        <v>0</v>
      </c>
      <c r="J809" s="4" t="s">
        <v>18</v>
      </c>
      <c r="K809" s="4" t="s">
        <v>19</v>
      </c>
      <c r="L809" s="4" t="s">
        <v>20</v>
      </c>
    </row>
    <row r="810" customFormat="false" ht="22.35" hidden="false" customHeight="false" outlineLevel="0" collapsed="false">
      <c r="A810" s="7" t="s">
        <v>834</v>
      </c>
      <c r="B810" s="7" t="s">
        <v>14</v>
      </c>
      <c r="C810" s="7" t="s">
        <v>15</v>
      </c>
      <c r="D810" s="7" t="s">
        <v>16</v>
      </c>
      <c r="E810" s="7" t="s">
        <v>17</v>
      </c>
      <c r="F810" s="8" t="n">
        <v>4.42</v>
      </c>
      <c r="G810" s="9" t="n">
        <v>0</v>
      </c>
      <c r="H810" s="9" t="n">
        <v>0</v>
      </c>
      <c r="I810" s="9" t="n">
        <v>0</v>
      </c>
      <c r="J810" s="7" t="s">
        <v>18</v>
      </c>
      <c r="K810" s="7" t="s">
        <v>19</v>
      </c>
      <c r="L810" s="7" t="s">
        <v>20</v>
      </c>
    </row>
    <row r="811" customFormat="false" ht="22.35" hidden="false" customHeight="false" outlineLevel="0" collapsed="false">
      <c r="A811" s="4" t="s">
        <v>835</v>
      </c>
      <c r="B811" s="4" t="s">
        <v>14</v>
      </c>
      <c r="C811" s="4" t="s">
        <v>15</v>
      </c>
      <c r="D811" s="4" t="s">
        <v>16</v>
      </c>
      <c r="E811" s="4" t="s">
        <v>17</v>
      </c>
      <c r="F811" s="5" t="n">
        <v>3.05</v>
      </c>
      <c r="G811" s="6" t="n">
        <v>0</v>
      </c>
      <c r="H811" s="6" t="n">
        <v>0</v>
      </c>
      <c r="I811" s="6" t="n">
        <v>0</v>
      </c>
      <c r="J811" s="4" t="s">
        <v>18</v>
      </c>
      <c r="K811" s="4" t="s">
        <v>19</v>
      </c>
      <c r="L811" s="4" t="s">
        <v>20</v>
      </c>
    </row>
    <row r="812" customFormat="false" ht="22.35" hidden="false" customHeight="false" outlineLevel="0" collapsed="false">
      <c r="A812" s="7" t="s">
        <v>836</v>
      </c>
      <c r="B812" s="7" t="s">
        <v>14</v>
      </c>
      <c r="C812" s="7" t="s">
        <v>15</v>
      </c>
      <c r="D812" s="7" t="s">
        <v>16</v>
      </c>
      <c r="E812" s="7" t="s">
        <v>17</v>
      </c>
      <c r="F812" s="8" t="n">
        <v>4.35</v>
      </c>
      <c r="G812" s="9" t="n">
        <v>0</v>
      </c>
      <c r="H812" s="9" t="n">
        <v>0</v>
      </c>
      <c r="I812" s="9" t="n">
        <v>0</v>
      </c>
      <c r="J812" s="7" t="s">
        <v>18</v>
      </c>
      <c r="K812" s="7" t="s">
        <v>19</v>
      </c>
      <c r="L812" s="7" t="s">
        <v>20</v>
      </c>
    </row>
    <row r="813" customFormat="false" ht="22.35" hidden="false" customHeight="false" outlineLevel="0" collapsed="false">
      <c r="A813" s="4" t="s">
        <v>837</v>
      </c>
      <c r="B813" s="4" t="s">
        <v>14</v>
      </c>
      <c r="C813" s="4" t="s">
        <v>15</v>
      </c>
      <c r="D813" s="4" t="s">
        <v>16</v>
      </c>
      <c r="E813" s="4" t="s">
        <v>17</v>
      </c>
      <c r="F813" s="5" t="n">
        <v>4.84</v>
      </c>
      <c r="G813" s="6" t="n">
        <v>0</v>
      </c>
      <c r="H813" s="6" t="n">
        <v>0</v>
      </c>
      <c r="I813" s="6" t="n">
        <v>0</v>
      </c>
      <c r="J813" s="4" t="s">
        <v>18</v>
      </c>
      <c r="K813" s="4" t="s">
        <v>19</v>
      </c>
      <c r="L813" s="4" t="s">
        <v>20</v>
      </c>
    </row>
    <row r="814" customFormat="false" ht="22.35" hidden="false" customHeight="false" outlineLevel="0" collapsed="false">
      <c r="A814" s="7" t="s">
        <v>838</v>
      </c>
      <c r="B814" s="7" t="s">
        <v>14</v>
      </c>
      <c r="C814" s="7" t="s">
        <v>15</v>
      </c>
      <c r="D814" s="7" t="s">
        <v>16</v>
      </c>
      <c r="E814" s="7" t="s">
        <v>17</v>
      </c>
      <c r="F814" s="8" t="n">
        <v>0.74</v>
      </c>
      <c r="G814" s="9" t="n">
        <v>0</v>
      </c>
      <c r="H814" s="9" t="n">
        <v>0</v>
      </c>
      <c r="I814" s="9" t="n">
        <v>0</v>
      </c>
      <c r="J814" s="7" t="s">
        <v>18</v>
      </c>
      <c r="K814" s="7" t="s">
        <v>19</v>
      </c>
      <c r="L814" s="7" t="s">
        <v>20</v>
      </c>
    </row>
    <row r="815" customFormat="false" ht="22.35" hidden="false" customHeight="false" outlineLevel="0" collapsed="false">
      <c r="A815" s="4" t="s">
        <v>839</v>
      </c>
      <c r="B815" s="4" t="s">
        <v>14</v>
      </c>
      <c r="C815" s="4" t="s">
        <v>15</v>
      </c>
      <c r="D815" s="4" t="s">
        <v>16</v>
      </c>
      <c r="E815" s="4" t="s">
        <v>44</v>
      </c>
      <c r="F815" s="5" t="n">
        <v>19.7</v>
      </c>
      <c r="G815" s="6" t="n">
        <v>0</v>
      </c>
      <c r="H815" s="6" t="n">
        <v>0</v>
      </c>
      <c r="I815" s="6" t="n">
        <v>0</v>
      </c>
      <c r="J815" s="4" t="s">
        <v>18</v>
      </c>
      <c r="K815" s="4" t="s">
        <v>19</v>
      </c>
      <c r="L815" s="4" t="s">
        <v>20</v>
      </c>
    </row>
    <row r="816" customFormat="false" ht="22.35" hidden="false" customHeight="false" outlineLevel="0" collapsed="false">
      <c r="A816" s="7" t="s">
        <v>840</v>
      </c>
      <c r="B816" s="7" t="s">
        <v>14</v>
      </c>
      <c r="C816" s="7" t="s">
        <v>15</v>
      </c>
      <c r="D816" s="7" t="s">
        <v>16</v>
      </c>
      <c r="E816" s="7" t="s">
        <v>44</v>
      </c>
      <c r="F816" s="8" t="n">
        <v>0</v>
      </c>
      <c r="G816" s="9" t="n">
        <v>0</v>
      </c>
      <c r="H816" s="9" t="n">
        <v>0</v>
      </c>
      <c r="I816" s="9" t="n">
        <v>0</v>
      </c>
      <c r="J816" s="7" t="s">
        <v>18</v>
      </c>
      <c r="K816" s="7" t="s">
        <v>19</v>
      </c>
      <c r="L816" s="7" t="s">
        <v>20</v>
      </c>
    </row>
    <row r="817" customFormat="false" ht="22.35" hidden="false" customHeight="false" outlineLevel="0" collapsed="false">
      <c r="A817" s="4" t="s">
        <v>841</v>
      </c>
      <c r="B817" s="4" t="s">
        <v>14</v>
      </c>
      <c r="C817" s="4" t="s">
        <v>15</v>
      </c>
      <c r="D817" s="4" t="s">
        <v>16</v>
      </c>
      <c r="E817" s="4" t="s">
        <v>17</v>
      </c>
      <c r="F817" s="5" t="n">
        <v>1.57</v>
      </c>
      <c r="G817" s="6" t="n">
        <v>0</v>
      </c>
      <c r="H817" s="6" t="n">
        <v>0</v>
      </c>
      <c r="I817" s="6" t="n">
        <v>0</v>
      </c>
      <c r="J817" s="4" t="s">
        <v>18</v>
      </c>
      <c r="K817" s="4" t="s">
        <v>19</v>
      </c>
      <c r="L817" s="4" t="s">
        <v>20</v>
      </c>
    </row>
    <row r="818" customFormat="false" ht="22.35" hidden="false" customHeight="false" outlineLevel="0" collapsed="false">
      <c r="A818" s="7" t="s">
        <v>842</v>
      </c>
      <c r="B818" s="7" t="s">
        <v>14</v>
      </c>
      <c r="C818" s="7" t="s">
        <v>15</v>
      </c>
      <c r="D818" s="7" t="s">
        <v>16</v>
      </c>
      <c r="E818" s="7" t="s">
        <v>17</v>
      </c>
      <c r="F818" s="8" t="n">
        <v>2.64</v>
      </c>
      <c r="G818" s="9" t="n">
        <v>0</v>
      </c>
      <c r="H818" s="9" t="n">
        <v>0</v>
      </c>
      <c r="I818" s="9" t="n">
        <v>0</v>
      </c>
      <c r="J818" s="7" t="s">
        <v>18</v>
      </c>
      <c r="K818" s="7" t="s">
        <v>19</v>
      </c>
      <c r="L818" s="7" t="s">
        <v>20</v>
      </c>
    </row>
    <row r="819" customFormat="false" ht="22.35" hidden="false" customHeight="false" outlineLevel="0" collapsed="false">
      <c r="A819" s="4" t="s">
        <v>843</v>
      </c>
      <c r="B819" s="4" t="s">
        <v>14</v>
      </c>
      <c r="C819" s="4" t="s">
        <v>15</v>
      </c>
      <c r="D819" s="4" t="s">
        <v>16</v>
      </c>
      <c r="E819" s="4" t="s">
        <v>17</v>
      </c>
      <c r="F819" s="5" t="n">
        <v>0.91</v>
      </c>
      <c r="G819" s="6" t="n">
        <v>0</v>
      </c>
      <c r="H819" s="6" t="n">
        <v>0</v>
      </c>
      <c r="I819" s="6" t="n">
        <v>0</v>
      </c>
      <c r="J819" s="4" t="s">
        <v>18</v>
      </c>
      <c r="K819" s="4" t="s">
        <v>19</v>
      </c>
      <c r="L819" s="4" t="s">
        <v>20</v>
      </c>
    </row>
    <row r="820" customFormat="false" ht="22.35" hidden="false" customHeight="false" outlineLevel="0" collapsed="false">
      <c r="A820" s="7" t="s">
        <v>844</v>
      </c>
      <c r="B820" s="7" t="s">
        <v>14</v>
      </c>
      <c r="C820" s="7" t="s">
        <v>15</v>
      </c>
      <c r="D820" s="7" t="s">
        <v>16</v>
      </c>
      <c r="E820" s="7" t="s">
        <v>17</v>
      </c>
      <c r="F820" s="8" t="n">
        <v>0.52</v>
      </c>
      <c r="G820" s="9" t="n">
        <v>0</v>
      </c>
      <c r="H820" s="9" t="n">
        <v>0</v>
      </c>
      <c r="I820" s="9" t="n">
        <v>0</v>
      </c>
      <c r="J820" s="7" t="s">
        <v>18</v>
      </c>
      <c r="K820" s="7" t="s">
        <v>19</v>
      </c>
      <c r="L820" s="7" t="s">
        <v>20</v>
      </c>
    </row>
    <row r="821" customFormat="false" ht="22.35" hidden="false" customHeight="false" outlineLevel="0" collapsed="false">
      <c r="A821" s="4" t="s">
        <v>845</v>
      </c>
      <c r="B821" s="4" t="s">
        <v>14</v>
      </c>
      <c r="C821" s="4" t="s">
        <v>15</v>
      </c>
      <c r="D821" s="4" t="s">
        <v>16</v>
      </c>
      <c r="E821" s="4" t="s">
        <v>17</v>
      </c>
      <c r="F821" s="5" t="n">
        <v>1.39</v>
      </c>
      <c r="G821" s="6" t="n">
        <v>0</v>
      </c>
      <c r="H821" s="6" t="n">
        <v>0</v>
      </c>
      <c r="I821" s="6" t="n">
        <v>0</v>
      </c>
      <c r="J821" s="4" t="s">
        <v>18</v>
      </c>
      <c r="K821" s="4" t="s">
        <v>19</v>
      </c>
      <c r="L821" s="4" t="s">
        <v>20</v>
      </c>
    </row>
    <row r="822" customFormat="false" ht="22.35" hidden="false" customHeight="false" outlineLevel="0" collapsed="false">
      <c r="A822" s="7" t="s">
        <v>846</v>
      </c>
      <c r="B822" s="7" t="s">
        <v>14</v>
      </c>
      <c r="C822" s="7" t="s">
        <v>15</v>
      </c>
      <c r="D822" s="7" t="s">
        <v>16</v>
      </c>
      <c r="E822" s="7" t="s">
        <v>17</v>
      </c>
      <c r="F822" s="8" t="n">
        <v>3.78</v>
      </c>
      <c r="G822" s="9" t="n">
        <v>0</v>
      </c>
      <c r="H822" s="9" t="n">
        <v>0</v>
      </c>
      <c r="I822" s="9" t="n">
        <v>0</v>
      </c>
      <c r="J822" s="7" t="s">
        <v>18</v>
      </c>
      <c r="K822" s="7" t="s">
        <v>19</v>
      </c>
      <c r="L822" s="7" t="s">
        <v>20</v>
      </c>
    </row>
    <row r="823" customFormat="false" ht="22.35" hidden="false" customHeight="false" outlineLevel="0" collapsed="false">
      <c r="A823" s="4" t="s">
        <v>847</v>
      </c>
      <c r="B823" s="4" t="s">
        <v>14</v>
      </c>
      <c r="C823" s="4" t="s">
        <v>15</v>
      </c>
      <c r="D823" s="4" t="s">
        <v>16</v>
      </c>
      <c r="E823" s="4" t="s">
        <v>488</v>
      </c>
      <c r="F823" s="5" t="n">
        <v>2.76</v>
      </c>
      <c r="G823" s="6" t="n">
        <v>0</v>
      </c>
      <c r="H823" s="6" t="n">
        <v>0</v>
      </c>
      <c r="I823" s="6" t="n">
        <v>0</v>
      </c>
      <c r="J823" s="4" t="s">
        <v>18</v>
      </c>
      <c r="K823" s="4" t="s">
        <v>19</v>
      </c>
      <c r="L823" s="4" t="s">
        <v>20</v>
      </c>
    </row>
    <row r="824" customFormat="false" ht="22.35" hidden="false" customHeight="false" outlineLevel="0" collapsed="false">
      <c r="A824" s="7" t="s">
        <v>848</v>
      </c>
      <c r="B824" s="7" t="s">
        <v>14</v>
      </c>
      <c r="C824" s="7" t="s">
        <v>15</v>
      </c>
      <c r="D824" s="7" t="s">
        <v>16</v>
      </c>
      <c r="E824" s="7" t="s">
        <v>17</v>
      </c>
      <c r="F824" s="8" t="n">
        <v>1.46</v>
      </c>
      <c r="G824" s="9" t="n">
        <v>0</v>
      </c>
      <c r="H824" s="9" t="n">
        <v>0</v>
      </c>
      <c r="I824" s="9" t="n">
        <v>0</v>
      </c>
      <c r="J824" s="7" t="s">
        <v>18</v>
      </c>
      <c r="K824" s="7" t="s">
        <v>19</v>
      </c>
      <c r="L824" s="7" t="s">
        <v>20</v>
      </c>
    </row>
    <row r="825" customFormat="false" ht="22.35" hidden="false" customHeight="false" outlineLevel="0" collapsed="false">
      <c r="A825" s="4" t="s">
        <v>849</v>
      </c>
      <c r="B825" s="4" t="s">
        <v>14</v>
      </c>
      <c r="C825" s="4" t="s">
        <v>15</v>
      </c>
      <c r="D825" s="4" t="s">
        <v>16</v>
      </c>
      <c r="E825" s="4" t="s">
        <v>17</v>
      </c>
      <c r="F825" s="5" t="n">
        <v>2.18</v>
      </c>
      <c r="G825" s="6" t="n">
        <v>0</v>
      </c>
      <c r="H825" s="6" t="n">
        <v>0</v>
      </c>
      <c r="I825" s="6" t="n">
        <v>0</v>
      </c>
      <c r="J825" s="4" t="s">
        <v>18</v>
      </c>
      <c r="K825" s="4" t="s">
        <v>19</v>
      </c>
      <c r="L825" s="4" t="s">
        <v>20</v>
      </c>
    </row>
    <row r="826" customFormat="false" ht="22.35" hidden="false" customHeight="false" outlineLevel="0" collapsed="false">
      <c r="A826" s="7" t="s">
        <v>850</v>
      </c>
      <c r="B826" s="7" t="s">
        <v>14</v>
      </c>
      <c r="C826" s="7" t="s">
        <v>15</v>
      </c>
      <c r="D826" s="7" t="s">
        <v>16</v>
      </c>
      <c r="E826" s="7" t="s">
        <v>286</v>
      </c>
      <c r="F826" s="8" t="n">
        <v>1.85</v>
      </c>
      <c r="G826" s="9" t="n">
        <v>0</v>
      </c>
      <c r="H826" s="9" t="n">
        <v>0</v>
      </c>
      <c r="I826" s="9" t="n">
        <v>0</v>
      </c>
      <c r="J826" s="7" t="s">
        <v>18</v>
      </c>
      <c r="K826" s="7" t="s">
        <v>19</v>
      </c>
      <c r="L826" s="7" t="s">
        <v>20</v>
      </c>
    </row>
    <row r="827" customFormat="false" ht="22.35" hidden="false" customHeight="false" outlineLevel="0" collapsed="false">
      <c r="A827" s="4" t="s">
        <v>851</v>
      </c>
      <c r="B827" s="4" t="s">
        <v>14</v>
      </c>
      <c r="C827" s="4" t="s">
        <v>15</v>
      </c>
      <c r="D827" s="4" t="s">
        <v>16</v>
      </c>
      <c r="E827" s="4" t="s">
        <v>17</v>
      </c>
      <c r="F827" s="5" t="n">
        <v>3</v>
      </c>
      <c r="G827" s="6" t="n">
        <v>0</v>
      </c>
      <c r="H827" s="6" t="n">
        <v>0</v>
      </c>
      <c r="I827" s="6" t="n">
        <v>0</v>
      </c>
      <c r="J827" s="4" t="s">
        <v>18</v>
      </c>
      <c r="K827" s="4" t="s">
        <v>19</v>
      </c>
      <c r="L827" s="4" t="s">
        <v>20</v>
      </c>
    </row>
    <row r="828" customFormat="false" ht="22.35" hidden="false" customHeight="false" outlineLevel="0" collapsed="false">
      <c r="A828" s="7" t="s">
        <v>852</v>
      </c>
      <c r="B828" s="7" t="s">
        <v>14</v>
      </c>
      <c r="C828" s="7" t="s">
        <v>15</v>
      </c>
      <c r="D828" s="7" t="s">
        <v>16</v>
      </c>
      <c r="E828" s="7" t="s">
        <v>17</v>
      </c>
      <c r="F828" s="8" t="n">
        <v>2.41</v>
      </c>
      <c r="G828" s="9" t="n">
        <v>0</v>
      </c>
      <c r="H828" s="9" t="n">
        <v>0</v>
      </c>
      <c r="I828" s="9" t="n">
        <v>0</v>
      </c>
      <c r="J828" s="7" t="s">
        <v>18</v>
      </c>
      <c r="K828" s="7" t="s">
        <v>19</v>
      </c>
      <c r="L828" s="7" t="s">
        <v>20</v>
      </c>
    </row>
    <row r="829" customFormat="false" ht="22.35" hidden="false" customHeight="false" outlineLevel="0" collapsed="false">
      <c r="A829" s="4" t="s">
        <v>853</v>
      </c>
      <c r="B829" s="4" t="s">
        <v>14</v>
      </c>
      <c r="C829" s="4" t="s">
        <v>15</v>
      </c>
      <c r="D829" s="4" t="s">
        <v>16</v>
      </c>
      <c r="E829" s="4" t="s">
        <v>17</v>
      </c>
      <c r="F829" s="5" t="n">
        <v>1.16</v>
      </c>
      <c r="G829" s="6" t="n">
        <v>0</v>
      </c>
      <c r="H829" s="6" t="n">
        <v>0</v>
      </c>
      <c r="I829" s="6" t="n">
        <v>0</v>
      </c>
      <c r="J829" s="4" t="s">
        <v>18</v>
      </c>
      <c r="K829" s="4" t="s">
        <v>19</v>
      </c>
      <c r="L829" s="4" t="s">
        <v>20</v>
      </c>
    </row>
    <row r="830" customFormat="false" ht="22.35" hidden="false" customHeight="false" outlineLevel="0" collapsed="false">
      <c r="A830" s="7" t="s">
        <v>854</v>
      </c>
      <c r="B830" s="7" t="s">
        <v>14</v>
      </c>
      <c r="C830" s="7" t="s">
        <v>15</v>
      </c>
      <c r="D830" s="7" t="s">
        <v>16</v>
      </c>
      <c r="E830" s="7" t="s">
        <v>17</v>
      </c>
      <c r="F830" s="8" t="n">
        <v>0.55</v>
      </c>
      <c r="G830" s="9" t="n">
        <v>0</v>
      </c>
      <c r="H830" s="9" t="n">
        <v>0</v>
      </c>
      <c r="I830" s="9" t="n">
        <v>0</v>
      </c>
      <c r="J830" s="7" t="s">
        <v>18</v>
      </c>
      <c r="K830" s="7" t="s">
        <v>19</v>
      </c>
      <c r="L830" s="7" t="s">
        <v>20</v>
      </c>
    </row>
    <row r="831" customFormat="false" ht="22.35" hidden="false" customHeight="false" outlineLevel="0" collapsed="false">
      <c r="A831" s="4" t="s">
        <v>855</v>
      </c>
      <c r="B831" s="4" t="s">
        <v>14</v>
      </c>
      <c r="C831" s="4" t="s">
        <v>15</v>
      </c>
      <c r="D831" s="4" t="s">
        <v>16</v>
      </c>
      <c r="E831" s="4" t="s">
        <v>488</v>
      </c>
      <c r="F831" s="5" t="n">
        <v>2.32</v>
      </c>
      <c r="G831" s="6" t="n">
        <v>0</v>
      </c>
      <c r="H831" s="6" t="n">
        <v>0</v>
      </c>
      <c r="I831" s="6" t="n">
        <v>0</v>
      </c>
      <c r="J831" s="4" t="s">
        <v>18</v>
      </c>
      <c r="K831" s="4" t="s">
        <v>19</v>
      </c>
      <c r="L831" s="4" t="s">
        <v>20</v>
      </c>
    </row>
    <row r="832" customFormat="false" ht="22.35" hidden="false" customHeight="false" outlineLevel="0" collapsed="false">
      <c r="A832" s="7" t="s">
        <v>856</v>
      </c>
      <c r="B832" s="7" t="s">
        <v>14</v>
      </c>
      <c r="C832" s="7" t="s">
        <v>15</v>
      </c>
      <c r="D832" s="7" t="s">
        <v>16</v>
      </c>
      <c r="E832" s="7" t="s">
        <v>17</v>
      </c>
      <c r="F832" s="8" t="n">
        <v>1.95</v>
      </c>
      <c r="G832" s="9" t="n">
        <v>0</v>
      </c>
      <c r="H832" s="9" t="n">
        <v>0</v>
      </c>
      <c r="I832" s="9" t="n">
        <v>0</v>
      </c>
      <c r="J832" s="7" t="s">
        <v>18</v>
      </c>
      <c r="K832" s="7" t="s">
        <v>19</v>
      </c>
      <c r="L832" s="7" t="s">
        <v>20</v>
      </c>
    </row>
    <row r="833" customFormat="false" ht="22.35" hidden="false" customHeight="false" outlineLevel="0" collapsed="false">
      <c r="A833" s="4" t="s">
        <v>857</v>
      </c>
      <c r="B833" s="4" t="s">
        <v>14</v>
      </c>
      <c r="C833" s="4" t="s">
        <v>15</v>
      </c>
      <c r="D833" s="4" t="s">
        <v>16</v>
      </c>
      <c r="E833" s="4" t="s">
        <v>17</v>
      </c>
      <c r="F833" s="5" t="n">
        <v>3.55</v>
      </c>
      <c r="G833" s="6" t="n">
        <v>0</v>
      </c>
      <c r="H833" s="6" t="n">
        <v>0</v>
      </c>
      <c r="I833" s="6" t="n">
        <v>0</v>
      </c>
      <c r="J833" s="4" t="s">
        <v>18</v>
      </c>
      <c r="K833" s="4" t="s">
        <v>19</v>
      </c>
      <c r="L833" s="4" t="s">
        <v>20</v>
      </c>
    </row>
    <row r="834" customFormat="false" ht="22.35" hidden="false" customHeight="false" outlineLevel="0" collapsed="false">
      <c r="A834" s="7" t="s">
        <v>858</v>
      </c>
      <c r="B834" s="7" t="s">
        <v>14</v>
      </c>
      <c r="C834" s="7" t="s">
        <v>15</v>
      </c>
      <c r="D834" s="7" t="s">
        <v>16</v>
      </c>
      <c r="E834" s="7" t="s">
        <v>17</v>
      </c>
      <c r="F834" s="8" t="n">
        <v>0.89</v>
      </c>
      <c r="G834" s="9" t="n">
        <v>0</v>
      </c>
      <c r="H834" s="9" t="n">
        <v>0</v>
      </c>
      <c r="I834" s="9" t="n">
        <v>0</v>
      </c>
      <c r="J834" s="7" t="s">
        <v>18</v>
      </c>
      <c r="K834" s="7" t="s">
        <v>19</v>
      </c>
      <c r="L834" s="7" t="s">
        <v>20</v>
      </c>
    </row>
    <row r="835" customFormat="false" ht="22.35" hidden="false" customHeight="false" outlineLevel="0" collapsed="false">
      <c r="A835" s="4" t="s">
        <v>859</v>
      </c>
      <c r="B835" s="4" t="s">
        <v>14</v>
      </c>
      <c r="C835" s="4" t="s">
        <v>15</v>
      </c>
      <c r="D835" s="4" t="s">
        <v>16</v>
      </c>
      <c r="E835" s="4" t="s">
        <v>17</v>
      </c>
      <c r="F835" s="5" t="n">
        <v>2.23</v>
      </c>
      <c r="G835" s="6" t="n">
        <v>0</v>
      </c>
      <c r="H835" s="6" t="n">
        <v>0</v>
      </c>
      <c r="I835" s="6" t="n">
        <v>0</v>
      </c>
      <c r="J835" s="4" t="s">
        <v>18</v>
      </c>
      <c r="K835" s="4" t="s">
        <v>19</v>
      </c>
      <c r="L835" s="4" t="s">
        <v>20</v>
      </c>
    </row>
    <row r="836" customFormat="false" ht="22.35" hidden="false" customHeight="false" outlineLevel="0" collapsed="false">
      <c r="A836" s="7" t="s">
        <v>860</v>
      </c>
      <c r="B836" s="7" t="s">
        <v>14</v>
      </c>
      <c r="C836" s="7" t="s">
        <v>15</v>
      </c>
      <c r="D836" s="7" t="s">
        <v>16</v>
      </c>
      <c r="E836" s="7" t="s">
        <v>17</v>
      </c>
      <c r="F836" s="8" t="n">
        <v>10.92</v>
      </c>
      <c r="G836" s="9" t="n">
        <v>0</v>
      </c>
      <c r="H836" s="9" t="n">
        <v>0</v>
      </c>
      <c r="I836" s="9" t="n">
        <v>0</v>
      </c>
      <c r="J836" s="7" t="s">
        <v>18</v>
      </c>
      <c r="K836" s="7" t="s">
        <v>19</v>
      </c>
      <c r="L836" s="7" t="s">
        <v>20</v>
      </c>
    </row>
    <row r="837" customFormat="false" ht="22.35" hidden="false" customHeight="false" outlineLevel="0" collapsed="false">
      <c r="A837" s="4" t="s">
        <v>861</v>
      </c>
      <c r="B837" s="4" t="s">
        <v>14</v>
      </c>
      <c r="C837" s="4" t="s">
        <v>15</v>
      </c>
      <c r="D837" s="4" t="s">
        <v>16</v>
      </c>
      <c r="E837" s="4" t="s">
        <v>17</v>
      </c>
      <c r="F837" s="5" t="n">
        <v>1.82</v>
      </c>
      <c r="G837" s="6" t="n">
        <v>0</v>
      </c>
      <c r="H837" s="6" t="n">
        <v>0</v>
      </c>
      <c r="I837" s="6" t="n">
        <v>0</v>
      </c>
      <c r="J837" s="4" t="s">
        <v>18</v>
      </c>
      <c r="K837" s="4" t="s">
        <v>19</v>
      </c>
      <c r="L837" s="4" t="s">
        <v>20</v>
      </c>
    </row>
    <row r="838" customFormat="false" ht="22.35" hidden="false" customHeight="false" outlineLevel="0" collapsed="false">
      <c r="A838" s="7" t="s">
        <v>862</v>
      </c>
      <c r="B838" s="7" t="s">
        <v>14</v>
      </c>
      <c r="C838" s="7" t="s">
        <v>15</v>
      </c>
      <c r="D838" s="7" t="s">
        <v>16</v>
      </c>
      <c r="E838" s="7" t="s">
        <v>17</v>
      </c>
      <c r="F838" s="8" t="n">
        <v>2.99</v>
      </c>
      <c r="G838" s="9" t="n">
        <v>0</v>
      </c>
      <c r="H838" s="9" t="n">
        <v>0</v>
      </c>
      <c r="I838" s="9" t="n">
        <v>0</v>
      </c>
      <c r="J838" s="7" t="s">
        <v>18</v>
      </c>
      <c r="K838" s="7" t="s">
        <v>19</v>
      </c>
      <c r="L838" s="7" t="s">
        <v>20</v>
      </c>
    </row>
    <row r="839" customFormat="false" ht="22.35" hidden="false" customHeight="false" outlineLevel="0" collapsed="false">
      <c r="A839" s="4" t="s">
        <v>863</v>
      </c>
      <c r="B839" s="4" t="s">
        <v>14</v>
      </c>
      <c r="C839" s="4" t="s">
        <v>15</v>
      </c>
      <c r="D839" s="4" t="s">
        <v>16</v>
      </c>
      <c r="E839" s="4" t="s">
        <v>17</v>
      </c>
      <c r="F839" s="5" t="n">
        <v>3.62</v>
      </c>
      <c r="G839" s="6" t="n">
        <v>0</v>
      </c>
      <c r="H839" s="6" t="n">
        <v>0</v>
      </c>
      <c r="I839" s="6" t="n">
        <v>0</v>
      </c>
      <c r="J839" s="4" t="s">
        <v>18</v>
      </c>
      <c r="K839" s="4" t="s">
        <v>19</v>
      </c>
      <c r="L839" s="4" t="s">
        <v>20</v>
      </c>
    </row>
    <row r="840" customFormat="false" ht="22.35" hidden="false" customHeight="false" outlineLevel="0" collapsed="false">
      <c r="A840" s="7" t="s">
        <v>864</v>
      </c>
      <c r="B840" s="7" t="s">
        <v>14</v>
      </c>
      <c r="C840" s="7" t="s">
        <v>15</v>
      </c>
      <c r="D840" s="7" t="s">
        <v>16</v>
      </c>
      <c r="E840" s="7" t="s">
        <v>17</v>
      </c>
      <c r="F840" s="8" t="n">
        <v>2.68</v>
      </c>
      <c r="G840" s="9" t="n">
        <v>0</v>
      </c>
      <c r="H840" s="9" t="n">
        <v>0</v>
      </c>
      <c r="I840" s="9" t="n">
        <v>0</v>
      </c>
      <c r="J840" s="7" t="s">
        <v>18</v>
      </c>
      <c r="K840" s="7" t="s">
        <v>19</v>
      </c>
      <c r="L840" s="7" t="s">
        <v>20</v>
      </c>
    </row>
    <row r="841" customFormat="false" ht="22.35" hidden="false" customHeight="false" outlineLevel="0" collapsed="false">
      <c r="A841" s="4" t="s">
        <v>865</v>
      </c>
      <c r="B841" s="4" t="s">
        <v>14</v>
      </c>
      <c r="C841" s="4" t="s">
        <v>15</v>
      </c>
      <c r="D841" s="4" t="s">
        <v>16</v>
      </c>
      <c r="E841" s="4" t="s">
        <v>17</v>
      </c>
      <c r="F841" s="5" t="n">
        <v>2.36</v>
      </c>
      <c r="G841" s="6" t="n">
        <v>0</v>
      </c>
      <c r="H841" s="6" t="n">
        <v>0</v>
      </c>
      <c r="I841" s="6" t="n">
        <v>0</v>
      </c>
      <c r="J841" s="4" t="s">
        <v>18</v>
      </c>
      <c r="K841" s="4" t="s">
        <v>19</v>
      </c>
      <c r="L841" s="4" t="s">
        <v>20</v>
      </c>
    </row>
    <row r="842" customFormat="false" ht="22.35" hidden="false" customHeight="false" outlineLevel="0" collapsed="false">
      <c r="A842" s="7" t="s">
        <v>866</v>
      </c>
      <c r="B842" s="7" t="s">
        <v>14</v>
      </c>
      <c r="C842" s="7" t="s">
        <v>15</v>
      </c>
      <c r="D842" s="7" t="s">
        <v>16</v>
      </c>
      <c r="E842" s="7" t="s">
        <v>17</v>
      </c>
      <c r="F842" s="8" t="n">
        <v>1.8</v>
      </c>
      <c r="G842" s="9" t="n">
        <v>0</v>
      </c>
      <c r="H842" s="9" t="n">
        <v>0</v>
      </c>
      <c r="I842" s="9" t="n">
        <v>0</v>
      </c>
      <c r="J842" s="7" t="s">
        <v>18</v>
      </c>
      <c r="K842" s="7" t="s">
        <v>19</v>
      </c>
      <c r="L842" s="7" t="s">
        <v>20</v>
      </c>
    </row>
    <row r="843" customFormat="false" ht="22.35" hidden="false" customHeight="false" outlineLevel="0" collapsed="false">
      <c r="A843" s="4" t="s">
        <v>867</v>
      </c>
      <c r="B843" s="4" t="s">
        <v>14</v>
      </c>
      <c r="C843" s="4" t="s">
        <v>15</v>
      </c>
      <c r="D843" s="4" t="s">
        <v>16</v>
      </c>
      <c r="E843" s="4" t="s">
        <v>17</v>
      </c>
      <c r="F843" s="5" t="n">
        <v>7.44</v>
      </c>
      <c r="G843" s="6" t="n">
        <v>0</v>
      </c>
      <c r="H843" s="6" t="n">
        <v>0</v>
      </c>
      <c r="I843" s="6" t="n">
        <v>0</v>
      </c>
      <c r="J843" s="4" t="s">
        <v>18</v>
      </c>
      <c r="K843" s="4" t="s">
        <v>19</v>
      </c>
      <c r="L843" s="4" t="s">
        <v>20</v>
      </c>
    </row>
    <row r="844" customFormat="false" ht="22.35" hidden="false" customHeight="false" outlineLevel="0" collapsed="false">
      <c r="A844" s="7" t="s">
        <v>868</v>
      </c>
      <c r="B844" s="7" t="s">
        <v>14</v>
      </c>
      <c r="C844" s="7" t="s">
        <v>15</v>
      </c>
      <c r="D844" s="7" t="s">
        <v>16</v>
      </c>
      <c r="E844" s="7" t="s">
        <v>17</v>
      </c>
      <c r="F844" s="8" t="n">
        <v>1.5</v>
      </c>
      <c r="G844" s="9" t="n">
        <v>0</v>
      </c>
      <c r="H844" s="9" t="n">
        <v>0</v>
      </c>
      <c r="I844" s="9" t="n">
        <v>0</v>
      </c>
      <c r="J844" s="7" t="s">
        <v>18</v>
      </c>
      <c r="K844" s="7" t="s">
        <v>19</v>
      </c>
      <c r="L844" s="7" t="s">
        <v>20</v>
      </c>
    </row>
    <row r="845" customFormat="false" ht="22.35" hidden="false" customHeight="false" outlineLevel="0" collapsed="false">
      <c r="A845" s="4" t="s">
        <v>869</v>
      </c>
      <c r="B845" s="4" t="s">
        <v>14</v>
      </c>
      <c r="C845" s="4" t="s">
        <v>15</v>
      </c>
      <c r="D845" s="4" t="s">
        <v>16</v>
      </c>
      <c r="E845" s="4" t="s">
        <v>17</v>
      </c>
      <c r="F845" s="5" t="n">
        <v>1.71</v>
      </c>
      <c r="G845" s="6" t="n">
        <v>0</v>
      </c>
      <c r="H845" s="6" t="n">
        <v>0</v>
      </c>
      <c r="I845" s="6" t="n">
        <v>0</v>
      </c>
      <c r="J845" s="4" t="s">
        <v>18</v>
      </c>
      <c r="K845" s="4" t="s">
        <v>19</v>
      </c>
      <c r="L845" s="4" t="s">
        <v>20</v>
      </c>
    </row>
    <row r="846" customFormat="false" ht="22.35" hidden="false" customHeight="false" outlineLevel="0" collapsed="false">
      <c r="A846" s="7" t="s">
        <v>870</v>
      </c>
      <c r="B846" s="7" t="s">
        <v>14</v>
      </c>
      <c r="C846" s="7" t="s">
        <v>15</v>
      </c>
      <c r="D846" s="7" t="s">
        <v>16</v>
      </c>
      <c r="E846" s="7" t="s">
        <v>17</v>
      </c>
      <c r="F846" s="8" t="n">
        <v>2.51</v>
      </c>
      <c r="G846" s="9" t="n">
        <v>0</v>
      </c>
      <c r="H846" s="9" t="n">
        <v>0</v>
      </c>
      <c r="I846" s="9" t="n">
        <v>0</v>
      </c>
      <c r="J846" s="7" t="s">
        <v>18</v>
      </c>
      <c r="K846" s="7" t="s">
        <v>19</v>
      </c>
      <c r="L846" s="7" t="s">
        <v>20</v>
      </c>
    </row>
    <row r="847" customFormat="false" ht="22.35" hidden="false" customHeight="false" outlineLevel="0" collapsed="false">
      <c r="A847" s="4" t="s">
        <v>871</v>
      </c>
      <c r="B847" s="4" t="s">
        <v>14</v>
      </c>
      <c r="C847" s="4" t="s">
        <v>15</v>
      </c>
      <c r="D847" s="4" t="s">
        <v>16</v>
      </c>
      <c r="E847" s="4" t="s">
        <v>17</v>
      </c>
      <c r="F847" s="5" t="n">
        <v>1.98</v>
      </c>
      <c r="G847" s="6" t="n">
        <v>0</v>
      </c>
      <c r="H847" s="6" t="n">
        <v>0</v>
      </c>
      <c r="I847" s="6" t="n">
        <v>0</v>
      </c>
      <c r="J847" s="4" t="s">
        <v>18</v>
      </c>
      <c r="K847" s="4" t="s">
        <v>19</v>
      </c>
      <c r="L847" s="4" t="s">
        <v>20</v>
      </c>
    </row>
    <row r="848" customFormat="false" ht="22.35" hidden="false" customHeight="false" outlineLevel="0" collapsed="false">
      <c r="A848" s="7" t="s">
        <v>872</v>
      </c>
      <c r="B848" s="7" t="s">
        <v>14</v>
      </c>
      <c r="C848" s="7" t="s">
        <v>15</v>
      </c>
      <c r="D848" s="7" t="s">
        <v>16</v>
      </c>
      <c r="E848" s="7" t="s">
        <v>17</v>
      </c>
      <c r="F848" s="8" t="n">
        <v>2.4</v>
      </c>
      <c r="G848" s="9" t="n">
        <v>0</v>
      </c>
      <c r="H848" s="9" t="n">
        <v>0</v>
      </c>
      <c r="I848" s="9" t="n">
        <v>0</v>
      </c>
      <c r="J848" s="7" t="s">
        <v>18</v>
      </c>
      <c r="K848" s="7" t="s">
        <v>19</v>
      </c>
      <c r="L848" s="7" t="s">
        <v>20</v>
      </c>
    </row>
    <row r="849" customFormat="false" ht="22.35" hidden="false" customHeight="false" outlineLevel="0" collapsed="false">
      <c r="A849" s="4" t="s">
        <v>873</v>
      </c>
      <c r="B849" s="4" t="s">
        <v>14</v>
      </c>
      <c r="C849" s="4" t="s">
        <v>15</v>
      </c>
      <c r="D849" s="4" t="s">
        <v>16</v>
      </c>
      <c r="E849" s="4" t="s">
        <v>17</v>
      </c>
      <c r="F849" s="5" t="n">
        <v>3.15</v>
      </c>
      <c r="G849" s="6" t="n">
        <v>0</v>
      </c>
      <c r="H849" s="6" t="n">
        <v>0</v>
      </c>
      <c r="I849" s="6" t="n">
        <v>0</v>
      </c>
      <c r="J849" s="4" t="s">
        <v>18</v>
      </c>
      <c r="K849" s="4" t="s">
        <v>19</v>
      </c>
      <c r="L849" s="4" t="s">
        <v>20</v>
      </c>
    </row>
    <row r="850" customFormat="false" ht="22.35" hidden="false" customHeight="false" outlineLevel="0" collapsed="false">
      <c r="A850" s="7" t="s">
        <v>874</v>
      </c>
      <c r="B850" s="7" t="s">
        <v>14</v>
      </c>
      <c r="C850" s="7" t="s">
        <v>15</v>
      </c>
      <c r="D850" s="7" t="s">
        <v>16</v>
      </c>
      <c r="E850" s="7" t="s">
        <v>17</v>
      </c>
      <c r="F850" s="8" t="n">
        <v>1.3</v>
      </c>
      <c r="G850" s="9" t="n">
        <v>0</v>
      </c>
      <c r="H850" s="9" t="n">
        <v>0</v>
      </c>
      <c r="I850" s="9" t="n">
        <v>0</v>
      </c>
      <c r="J850" s="7" t="s">
        <v>18</v>
      </c>
      <c r="K850" s="7" t="s">
        <v>19</v>
      </c>
      <c r="L850" s="7" t="s">
        <v>20</v>
      </c>
    </row>
    <row r="851" customFormat="false" ht="22.35" hidden="false" customHeight="false" outlineLevel="0" collapsed="false">
      <c r="A851" s="4" t="s">
        <v>875</v>
      </c>
      <c r="B851" s="4" t="s">
        <v>14</v>
      </c>
      <c r="C851" s="4" t="s">
        <v>15</v>
      </c>
      <c r="D851" s="4" t="s">
        <v>16</v>
      </c>
      <c r="E851" s="4" t="s">
        <v>17</v>
      </c>
      <c r="F851" s="5" t="n">
        <v>17.78</v>
      </c>
      <c r="G851" s="6" t="n">
        <v>0</v>
      </c>
      <c r="H851" s="6" t="n">
        <v>0</v>
      </c>
      <c r="I851" s="6" t="n">
        <v>0</v>
      </c>
      <c r="J851" s="4" t="s">
        <v>18</v>
      </c>
      <c r="K851" s="4" t="s">
        <v>19</v>
      </c>
      <c r="L851" s="4" t="s">
        <v>20</v>
      </c>
    </row>
    <row r="852" customFormat="false" ht="22.35" hidden="false" customHeight="false" outlineLevel="0" collapsed="false">
      <c r="A852" s="7" t="s">
        <v>876</v>
      </c>
      <c r="B852" s="7" t="s">
        <v>14</v>
      </c>
      <c r="C852" s="7" t="s">
        <v>15</v>
      </c>
      <c r="D852" s="7" t="s">
        <v>16</v>
      </c>
      <c r="E852" s="7" t="s">
        <v>17</v>
      </c>
      <c r="F852" s="8" t="n">
        <v>0.15</v>
      </c>
      <c r="G852" s="9" t="n">
        <v>0</v>
      </c>
      <c r="H852" s="9" t="n">
        <v>0</v>
      </c>
      <c r="I852" s="9" t="n">
        <v>0</v>
      </c>
      <c r="J852" s="7" t="s">
        <v>18</v>
      </c>
      <c r="K852" s="7" t="s">
        <v>19</v>
      </c>
      <c r="L852" s="7" t="s">
        <v>20</v>
      </c>
    </row>
    <row r="853" customFormat="false" ht="22.35" hidden="false" customHeight="false" outlineLevel="0" collapsed="false">
      <c r="A853" s="4" t="s">
        <v>877</v>
      </c>
      <c r="B853" s="4" t="s">
        <v>14</v>
      </c>
      <c r="C853" s="4" t="s">
        <v>15</v>
      </c>
      <c r="D853" s="4" t="s">
        <v>16</v>
      </c>
      <c r="E853" s="4" t="s">
        <v>17</v>
      </c>
      <c r="F853" s="5" t="n">
        <v>1.28</v>
      </c>
      <c r="G853" s="6" t="n">
        <v>0</v>
      </c>
      <c r="H853" s="6" t="n">
        <v>0</v>
      </c>
      <c r="I853" s="6" t="n">
        <v>0</v>
      </c>
      <c r="J853" s="4" t="s">
        <v>18</v>
      </c>
      <c r="K853" s="4" t="s">
        <v>19</v>
      </c>
      <c r="L853" s="4" t="s">
        <v>20</v>
      </c>
    </row>
    <row r="854" customFormat="false" ht="22.35" hidden="false" customHeight="false" outlineLevel="0" collapsed="false">
      <c r="A854" s="7" t="s">
        <v>878</v>
      </c>
      <c r="B854" s="7" t="s">
        <v>14</v>
      </c>
      <c r="C854" s="7" t="s">
        <v>15</v>
      </c>
      <c r="D854" s="7" t="s">
        <v>16</v>
      </c>
      <c r="E854" s="7" t="s">
        <v>17</v>
      </c>
      <c r="F854" s="8" t="n">
        <v>0.37</v>
      </c>
      <c r="G854" s="9" t="n">
        <v>0</v>
      </c>
      <c r="H854" s="9" t="n">
        <v>0</v>
      </c>
      <c r="I854" s="9" t="n">
        <v>0</v>
      </c>
      <c r="J854" s="7" t="s">
        <v>18</v>
      </c>
      <c r="K854" s="7" t="s">
        <v>19</v>
      </c>
      <c r="L854" s="7" t="s">
        <v>20</v>
      </c>
    </row>
    <row r="855" customFormat="false" ht="22.35" hidden="false" customHeight="false" outlineLevel="0" collapsed="false">
      <c r="A855" s="4" t="s">
        <v>879</v>
      </c>
      <c r="B855" s="4" t="s">
        <v>14</v>
      </c>
      <c r="C855" s="4" t="s">
        <v>15</v>
      </c>
      <c r="D855" s="4" t="s">
        <v>16</v>
      </c>
      <c r="E855" s="4" t="s">
        <v>286</v>
      </c>
      <c r="F855" s="5" t="n">
        <v>0.17</v>
      </c>
      <c r="G855" s="6" t="n">
        <v>0</v>
      </c>
      <c r="H855" s="6" t="n">
        <v>0</v>
      </c>
      <c r="I855" s="6" t="n">
        <v>0</v>
      </c>
      <c r="J855" s="4" t="s">
        <v>18</v>
      </c>
      <c r="K855" s="4" t="s">
        <v>19</v>
      </c>
      <c r="L855" s="4" t="s">
        <v>20</v>
      </c>
    </row>
    <row r="856" customFormat="false" ht="22.35" hidden="false" customHeight="false" outlineLevel="0" collapsed="false">
      <c r="A856" s="7" t="s">
        <v>880</v>
      </c>
      <c r="B856" s="7" t="s">
        <v>14</v>
      </c>
      <c r="C856" s="7" t="s">
        <v>15</v>
      </c>
      <c r="D856" s="7" t="s">
        <v>16</v>
      </c>
      <c r="E856" s="7" t="s">
        <v>17</v>
      </c>
      <c r="F856" s="8" t="n">
        <v>1.52</v>
      </c>
      <c r="G856" s="9" t="n">
        <v>0</v>
      </c>
      <c r="H856" s="9" t="n">
        <v>0</v>
      </c>
      <c r="I856" s="9" t="n">
        <v>0</v>
      </c>
      <c r="J856" s="7" t="s">
        <v>18</v>
      </c>
      <c r="K856" s="7" t="s">
        <v>19</v>
      </c>
      <c r="L856" s="7" t="s">
        <v>20</v>
      </c>
    </row>
    <row r="857" customFormat="false" ht="22.35" hidden="false" customHeight="false" outlineLevel="0" collapsed="false">
      <c r="A857" s="4" t="s">
        <v>881</v>
      </c>
      <c r="B857" s="4" t="s">
        <v>14</v>
      </c>
      <c r="C857" s="4" t="s">
        <v>15</v>
      </c>
      <c r="D857" s="4" t="s">
        <v>16</v>
      </c>
      <c r="E857" s="4" t="s">
        <v>17</v>
      </c>
      <c r="F857" s="5" t="n">
        <v>0.9</v>
      </c>
      <c r="G857" s="6" t="n">
        <v>0</v>
      </c>
      <c r="H857" s="6" t="n">
        <v>0</v>
      </c>
      <c r="I857" s="6" t="n">
        <v>0</v>
      </c>
      <c r="J857" s="4" t="s">
        <v>18</v>
      </c>
      <c r="K857" s="4" t="s">
        <v>19</v>
      </c>
      <c r="L857" s="4" t="s">
        <v>20</v>
      </c>
    </row>
    <row r="858" customFormat="false" ht="22.35" hidden="false" customHeight="false" outlineLevel="0" collapsed="false">
      <c r="A858" s="7" t="s">
        <v>882</v>
      </c>
      <c r="B858" s="7" t="s">
        <v>14</v>
      </c>
      <c r="C858" s="7" t="s">
        <v>15</v>
      </c>
      <c r="D858" s="7" t="s">
        <v>16</v>
      </c>
      <c r="E858" s="7" t="s">
        <v>17</v>
      </c>
      <c r="F858" s="8" t="n">
        <v>1.25</v>
      </c>
      <c r="G858" s="9" t="n">
        <v>0</v>
      </c>
      <c r="H858" s="9" t="n">
        <v>0</v>
      </c>
      <c r="I858" s="9" t="n">
        <v>0</v>
      </c>
      <c r="J858" s="7" t="s">
        <v>18</v>
      </c>
      <c r="K858" s="7" t="s">
        <v>19</v>
      </c>
      <c r="L858" s="7" t="s">
        <v>20</v>
      </c>
    </row>
    <row r="859" customFormat="false" ht="22.35" hidden="false" customHeight="false" outlineLevel="0" collapsed="false">
      <c r="A859" s="4" t="s">
        <v>883</v>
      </c>
      <c r="B859" s="4" t="s">
        <v>14</v>
      </c>
      <c r="C859" s="4" t="s">
        <v>15</v>
      </c>
      <c r="D859" s="4" t="s">
        <v>16</v>
      </c>
      <c r="E859" s="4" t="s">
        <v>17</v>
      </c>
      <c r="F859" s="5" t="n">
        <v>0.87</v>
      </c>
      <c r="G859" s="6" t="n">
        <v>0</v>
      </c>
      <c r="H859" s="6" t="n">
        <v>0</v>
      </c>
      <c r="I859" s="6" t="n">
        <v>0</v>
      </c>
      <c r="J859" s="4" t="s">
        <v>18</v>
      </c>
      <c r="K859" s="4" t="s">
        <v>19</v>
      </c>
      <c r="L859" s="4" t="s">
        <v>20</v>
      </c>
    </row>
    <row r="860" customFormat="false" ht="22.35" hidden="false" customHeight="false" outlineLevel="0" collapsed="false">
      <c r="A860" s="7" t="s">
        <v>884</v>
      </c>
      <c r="B860" s="7" t="s">
        <v>14</v>
      </c>
      <c r="C860" s="7" t="s">
        <v>15</v>
      </c>
      <c r="D860" s="7" t="s">
        <v>16</v>
      </c>
      <c r="E860" s="7" t="s">
        <v>17</v>
      </c>
      <c r="F860" s="8" t="n">
        <v>0.94</v>
      </c>
      <c r="G860" s="9" t="n">
        <v>0</v>
      </c>
      <c r="H860" s="9" t="n">
        <v>0</v>
      </c>
      <c r="I860" s="9" t="n">
        <v>0</v>
      </c>
      <c r="J860" s="7" t="s">
        <v>18</v>
      </c>
      <c r="K860" s="7" t="s">
        <v>19</v>
      </c>
      <c r="L860" s="7" t="s">
        <v>20</v>
      </c>
    </row>
    <row r="861" customFormat="false" ht="22.35" hidden="false" customHeight="false" outlineLevel="0" collapsed="false">
      <c r="A861" s="4" t="s">
        <v>885</v>
      </c>
      <c r="B861" s="4" t="s">
        <v>14</v>
      </c>
      <c r="C861" s="4" t="s">
        <v>15</v>
      </c>
      <c r="D861" s="4" t="s">
        <v>16</v>
      </c>
      <c r="E861" s="4" t="s">
        <v>17</v>
      </c>
      <c r="F861" s="5" t="n">
        <v>4.12</v>
      </c>
      <c r="G861" s="6" t="n">
        <v>0</v>
      </c>
      <c r="H861" s="6" t="n">
        <v>0</v>
      </c>
      <c r="I861" s="6" t="n">
        <v>0</v>
      </c>
      <c r="J861" s="4" t="s">
        <v>18</v>
      </c>
      <c r="K861" s="4" t="s">
        <v>19</v>
      </c>
      <c r="L861" s="4" t="s">
        <v>20</v>
      </c>
    </row>
    <row r="862" customFormat="false" ht="22.35" hidden="false" customHeight="false" outlineLevel="0" collapsed="false">
      <c r="A862" s="7" t="s">
        <v>886</v>
      </c>
      <c r="B862" s="7" t="s">
        <v>14</v>
      </c>
      <c r="C862" s="7" t="s">
        <v>15</v>
      </c>
      <c r="D862" s="7" t="s">
        <v>16</v>
      </c>
      <c r="E862" s="7" t="s">
        <v>17</v>
      </c>
      <c r="F862" s="8" t="n">
        <v>1.17</v>
      </c>
      <c r="G862" s="9" t="n">
        <v>0</v>
      </c>
      <c r="H862" s="9" t="n">
        <v>0</v>
      </c>
      <c r="I862" s="9" t="n">
        <v>0</v>
      </c>
      <c r="J862" s="7" t="s">
        <v>18</v>
      </c>
      <c r="K862" s="7" t="s">
        <v>19</v>
      </c>
      <c r="L862" s="7" t="s">
        <v>20</v>
      </c>
    </row>
    <row r="863" customFormat="false" ht="22.35" hidden="false" customHeight="false" outlineLevel="0" collapsed="false">
      <c r="A863" s="4" t="s">
        <v>887</v>
      </c>
      <c r="B863" s="4" t="s">
        <v>14</v>
      </c>
      <c r="C863" s="4" t="s">
        <v>15</v>
      </c>
      <c r="D863" s="4" t="s">
        <v>16</v>
      </c>
      <c r="E863" s="4" t="s">
        <v>17</v>
      </c>
      <c r="F863" s="5" t="n">
        <v>0.8</v>
      </c>
      <c r="G863" s="6" t="n">
        <v>0</v>
      </c>
      <c r="H863" s="6" t="n">
        <v>0</v>
      </c>
      <c r="I863" s="6" t="n">
        <v>0</v>
      </c>
      <c r="J863" s="4" t="s">
        <v>18</v>
      </c>
      <c r="K863" s="4" t="s">
        <v>19</v>
      </c>
      <c r="L863" s="4" t="s">
        <v>20</v>
      </c>
    </row>
    <row r="864" customFormat="false" ht="22.35" hidden="false" customHeight="false" outlineLevel="0" collapsed="false">
      <c r="A864" s="7" t="s">
        <v>888</v>
      </c>
      <c r="B864" s="7" t="s">
        <v>14</v>
      </c>
      <c r="C864" s="7" t="s">
        <v>15</v>
      </c>
      <c r="D864" s="7" t="s">
        <v>16</v>
      </c>
      <c r="E864" s="7" t="s">
        <v>17</v>
      </c>
      <c r="F864" s="8" t="n">
        <v>0.97</v>
      </c>
      <c r="G864" s="9" t="n">
        <v>0</v>
      </c>
      <c r="H864" s="9" t="n">
        <v>0</v>
      </c>
      <c r="I864" s="9" t="n">
        <v>0</v>
      </c>
      <c r="J864" s="7" t="s">
        <v>18</v>
      </c>
      <c r="K864" s="7" t="s">
        <v>19</v>
      </c>
      <c r="L864" s="7" t="s">
        <v>20</v>
      </c>
    </row>
    <row r="865" customFormat="false" ht="22.35" hidden="false" customHeight="false" outlineLevel="0" collapsed="false">
      <c r="A865" s="4" t="s">
        <v>889</v>
      </c>
      <c r="B865" s="4" t="s">
        <v>14</v>
      </c>
      <c r="C865" s="4" t="s">
        <v>15</v>
      </c>
      <c r="D865" s="4" t="s">
        <v>16</v>
      </c>
      <c r="E865" s="4" t="s">
        <v>17</v>
      </c>
      <c r="F865" s="5" t="n">
        <v>0.96</v>
      </c>
      <c r="G865" s="6" t="n">
        <v>0</v>
      </c>
      <c r="H865" s="6" t="n">
        <v>0</v>
      </c>
      <c r="I865" s="6" t="n">
        <v>0</v>
      </c>
      <c r="J865" s="4" t="s">
        <v>18</v>
      </c>
      <c r="K865" s="4" t="s">
        <v>19</v>
      </c>
      <c r="L865" s="4" t="s">
        <v>20</v>
      </c>
    </row>
    <row r="866" customFormat="false" ht="22.35" hidden="false" customHeight="false" outlineLevel="0" collapsed="false">
      <c r="A866" s="7" t="s">
        <v>890</v>
      </c>
      <c r="B866" s="7" t="s">
        <v>14</v>
      </c>
      <c r="C866" s="7" t="s">
        <v>15</v>
      </c>
      <c r="D866" s="7" t="s">
        <v>16</v>
      </c>
      <c r="E866" s="7" t="s">
        <v>17</v>
      </c>
      <c r="F866" s="8" t="n">
        <v>1.04</v>
      </c>
      <c r="G866" s="9" t="n">
        <v>0</v>
      </c>
      <c r="H866" s="9" t="n">
        <v>0</v>
      </c>
      <c r="I866" s="9" t="n">
        <v>0</v>
      </c>
      <c r="J866" s="7" t="s">
        <v>18</v>
      </c>
      <c r="K866" s="7" t="s">
        <v>19</v>
      </c>
      <c r="L866" s="7" t="s">
        <v>20</v>
      </c>
    </row>
    <row r="867" customFormat="false" ht="22.35" hidden="false" customHeight="false" outlineLevel="0" collapsed="false">
      <c r="A867" s="4" t="s">
        <v>891</v>
      </c>
      <c r="B867" s="4" t="s">
        <v>14</v>
      </c>
      <c r="C867" s="4" t="s">
        <v>15</v>
      </c>
      <c r="D867" s="4" t="s">
        <v>16</v>
      </c>
      <c r="E867" s="4" t="s">
        <v>17</v>
      </c>
      <c r="F867" s="5" t="n">
        <v>3.06</v>
      </c>
      <c r="G867" s="6" t="n">
        <v>0</v>
      </c>
      <c r="H867" s="6" t="n">
        <v>0</v>
      </c>
      <c r="I867" s="6" t="n">
        <v>0</v>
      </c>
      <c r="J867" s="4" t="s">
        <v>18</v>
      </c>
      <c r="K867" s="4" t="s">
        <v>19</v>
      </c>
      <c r="L867" s="4" t="s">
        <v>20</v>
      </c>
    </row>
    <row r="868" customFormat="false" ht="22.35" hidden="false" customHeight="false" outlineLevel="0" collapsed="false">
      <c r="A868" s="7" t="s">
        <v>892</v>
      </c>
      <c r="B868" s="7" t="s">
        <v>14</v>
      </c>
      <c r="C868" s="7" t="s">
        <v>15</v>
      </c>
      <c r="D868" s="7" t="s">
        <v>16</v>
      </c>
      <c r="E868" s="7" t="s">
        <v>17</v>
      </c>
      <c r="F868" s="8" t="n">
        <v>2.24</v>
      </c>
      <c r="G868" s="9" t="n">
        <v>0</v>
      </c>
      <c r="H868" s="9" t="n">
        <v>0</v>
      </c>
      <c r="I868" s="9" t="n">
        <v>0</v>
      </c>
      <c r="J868" s="7" t="s">
        <v>18</v>
      </c>
      <c r="K868" s="7" t="s">
        <v>19</v>
      </c>
      <c r="L868" s="7" t="s">
        <v>20</v>
      </c>
    </row>
    <row r="869" customFormat="false" ht="22.35" hidden="false" customHeight="false" outlineLevel="0" collapsed="false">
      <c r="A869" s="4" t="s">
        <v>893</v>
      </c>
      <c r="B869" s="4" t="s">
        <v>14</v>
      </c>
      <c r="C869" s="4" t="s">
        <v>15</v>
      </c>
      <c r="D869" s="4" t="s">
        <v>16</v>
      </c>
      <c r="E869" s="4" t="s">
        <v>17</v>
      </c>
      <c r="F869" s="5" t="n">
        <v>3.21</v>
      </c>
      <c r="G869" s="6" t="n">
        <v>0</v>
      </c>
      <c r="H869" s="6" t="n">
        <v>0</v>
      </c>
      <c r="I869" s="6" t="n">
        <v>0</v>
      </c>
      <c r="J869" s="4" t="s">
        <v>18</v>
      </c>
      <c r="K869" s="4" t="s">
        <v>19</v>
      </c>
      <c r="L869" s="4" t="s">
        <v>20</v>
      </c>
    </row>
    <row r="870" customFormat="false" ht="22.35" hidden="false" customHeight="false" outlineLevel="0" collapsed="false">
      <c r="A870" s="7" t="s">
        <v>894</v>
      </c>
      <c r="B870" s="7" t="s">
        <v>14</v>
      </c>
      <c r="C870" s="7" t="s">
        <v>15</v>
      </c>
      <c r="D870" s="7" t="s">
        <v>16</v>
      </c>
      <c r="E870" s="7" t="s">
        <v>17</v>
      </c>
      <c r="F870" s="8" t="n">
        <v>0.25</v>
      </c>
      <c r="G870" s="9" t="n">
        <v>0</v>
      </c>
      <c r="H870" s="9" t="n">
        <v>0</v>
      </c>
      <c r="I870" s="9" t="n">
        <v>0</v>
      </c>
      <c r="J870" s="7" t="s">
        <v>18</v>
      </c>
      <c r="K870" s="7" t="s">
        <v>19</v>
      </c>
      <c r="L870" s="7" t="s">
        <v>20</v>
      </c>
    </row>
    <row r="871" customFormat="false" ht="22.35" hidden="false" customHeight="false" outlineLevel="0" collapsed="false">
      <c r="A871" s="4" t="s">
        <v>895</v>
      </c>
      <c r="B871" s="4" t="s">
        <v>14</v>
      </c>
      <c r="C871" s="4" t="s">
        <v>15</v>
      </c>
      <c r="D871" s="4" t="s">
        <v>16</v>
      </c>
      <c r="E871" s="4" t="s">
        <v>17</v>
      </c>
      <c r="F871" s="5" t="n">
        <v>2.07</v>
      </c>
      <c r="G871" s="6" t="n">
        <v>0</v>
      </c>
      <c r="H871" s="6" t="n">
        <v>0</v>
      </c>
      <c r="I871" s="6" t="n">
        <v>0</v>
      </c>
      <c r="J871" s="4" t="s">
        <v>18</v>
      </c>
      <c r="K871" s="4" t="s">
        <v>19</v>
      </c>
      <c r="L871" s="4" t="s">
        <v>20</v>
      </c>
    </row>
    <row r="872" customFormat="false" ht="22.35" hidden="false" customHeight="false" outlineLevel="0" collapsed="false">
      <c r="A872" s="7" t="s">
        <v>896</v>
      </c>
      <c r="B872" s="7" t="s">
        <v>14</v>
      </c>
      <c r="C872" s="7" t="s">
        <v>15</v>
      </c>
      <c r="D872" s="7" t="s">
        <v>16</v>
      </c>
      <c r="E872" s="7" t="s">
        <v>17</v>
      </c>
      <c r="F872" s="8" t="n">
        <v>1.4</v>
      </c>
      <c r="G872" s="9" t="n">
        <v>0</v>
      </c>
      <c r="H872" s="9" t="n">
        <v>0</v>
      </c>
      <c r="I872" s="9" t="n">
        <v>0</v>
      </c>
      <c r="J872" s="7" t="s">
        <v>18</v>
      </c>
      <c r="K872" s="7" t="s">
        <v>19</v>
      </c>
      <c r="L872" s="7" t="s">
        <v>20</v>
      </c>
    </row>
    <row r="873" customFormat="false" ht="22.35" hidden="false" customHeight="false" outlineLevel="0" collapsed="false">
      <c r="A873" s="4" t="s">
        <v>897</v>
      </c>
      <c r="B873" s="4" t="s">
        <v>14</v>
      </c>
      <c r="C873" s="4" t="s">
        <v>15</v>
      </c>
      <c r="D873" s="4" t="s">
        <v>16</v>
      </c>
      <c r="E873" s="4" t="s">
        <v>17</v>
      </c>
      <c r="F873" s="5" t="n">
        <v>3.5</v>
      </c>
      <c r="G873" s="6" t="n">
        <v>0</v>
      </c>
      <c r="H873" s="6" t="n">
        <v>0</v>
      </c>
      <c r="I873" s="6" t="n">
        <v>0</v>
      </c>
      <c r="J873" s="4" t="s">
        <v>18</v>
      </c>
      <c r="K873" s="4" t="s">
        <v>19</v>
      </c>
      <c r="L873" s="4" t="s">
        <v>20</v>
      </c>
    </row>
    <row r="874" customFormat="false" ht="22.35" hidden="false" customHeight="false" outlineLevel="0" collapsed="false">
      <c r="A874" s="7" t="s">
        <v>898</v>
      </c>
      <c r="B874" s="7" t="s">
        <v>14</v>
      </c>
      <c r="C874" s="7" t="s">
        <v>15</v>
      </c>
      <c r="D874" s="7" t="s">
        <v>16</v>
      </c>
      <c r="E874" s="7" t="s">
        <v>17</v>
      </c>
      <c r="F874" s="8" t="n">
        <v>1.15</v>
      </c>
      <c r="G874" s="9" t="n">
        <v>0</v>
      </c>
      <c r="H874" s="9" t="n">
        <v>0</v>
      </c>
      <c r="I874" s="9" t="n">
        <v>0</v>
      </c>
      <c r="J874" s="7" t="s">
        <v>18</v>
      </c>
      <c r="K874" s="7" t="s">
        <v>19</v>
      </c>
      <c r="L874" s="7" t="s">
        <v>20</v>
      </c>
    </row>
    <row r="875" customFormat="false" ht="22.35" hidden="false" customHeight="false" outlineLevel="0" collapsed="false">
      <c r="A875" s="4" t="s">
        <v>899</v>
      </c>
      <c r="B875" s="4" t="s">
        <v>14</v>
      </c>
      <c r="C875" s="4" t="s">
        <v>15</v>
      </c>
      <c r="D875" s="4" t="s">
        <v>16</v>
      </c>
      <c r="E875" s="4" t="s">
        <v>17</v>
      </c>
      <c r="F875" s="5" t="n">
        <v>1.29</v>
      </c>
      <c r="G875" s="6" t="n">
        <v>0</v>
      </c>
      <c r="H875" s="6" t="n">
        <v>0</v>
      </c>
      <c r="I875" s="6" t="n">
        <v>0</v>
      </c>
      <c r="J875" s="4" t="s">
        <v>18</v>
      </c>
      <c r="K875" s="4" t="s">
        <v>19</v>
      </c>
      <c r="L875" s="4" t="s">
        <v>20</v>
      </c>
    </row>
    <row r="876" customFormat="false" ht="22.35" hidden="false" customHeight="false" outlineLevel="0" collapsed="false">
      <c r="A876" s="7" t="s">
        <v>900</v>
      </c>
      <c r="B876" s="7" t="s">
        <v>14</v>
      </c>
      <c r="C876" s="7" t="s">
        <v>15</v>
      </c>
      <c r="D876" s="7" t="s">
        <v>16</v>
      </c>
      <c r="E876" s="7" t="s">
        <v>44</v>
      </c>
      <c r="F876" s="8" t="n">
        <v>2.781</v>
      </c>
      <c r="G876" s="9" t="n">
        <v>0</v>
      </c>
      <c r="H876" s="9" t="n">
        <v>0</v>
      </c>
      <c r="I876" s="9" t="n">
        <v>0</v>
      </c>
      <c r="J876" s="7" t="s">
        <v>18</v>
      </c>
      <c r="K876" s="7" t="s">
        <v>19</v>
      </c>
      <c r="L876" s="7" t="s">
        <v>20</v>
      </c>
    </row>
    <row r="877" customFormat="false" ht="22.35" hidden="false" customHeight="false" outlineLevel="0" collapsed="false">
      <c r="A877" s="4" t="s">
        <v>901</v>
      </c>
      <c r="B877" s="4" t="s">
        <v>14</v>
      </c>
      <c r="C877" s="4" t="s">
        <v>15</v>
      </c>
      <c r="D877" s="4" t="s">
        <v>16</v>
      </c>
      <c r="E877" s="4" t="s">
        <v>17</v>
      </c>
      <c r="F877" s="5" t="n">
        <v>2.42</v>
      </c>
      <c r="G877" s="6" t="n">
        <v>0</v>
      </c>
      <c r="H877" s="6" t="n">
        <v>0</v>
      </c>
      <c r="I877" s="6" t="n">
        <v>0</v>
      </c>
      <c r="J877" s="4" t="s">
        <v>18</v>
      </c>
      <c r="K877" s="4" t="s">
        <v>19</v>
      </c>
      <c r="L877" s="4" t="s">
        <v>20</v>
      </c>
    </row>
    <row r="878" customFormat="false" ht="22.35" hidden="false" customHeight="false" outlineLevel="0" collapsed="false">
      <c r="A878" s="7" t="s">
        <v>902</v>
      </c>
      <c r="B878" s="7" t="s">
        <v>14</v>
      </c>
      <c r="C878" s="7" t="s">
        <v>15</v>
      </c>
      <c r="D878" s="7" t="s">
        <v>16</v>
      </c>
      <c r="E878" s="7" t="s">
        <v>17</v>
      </c>
      <c r="F878" s="8" t="n">
        <v>1.35</v>
      </c>
      <c r="G878" s="9" t="n">
        <v>0</v>
      </c>
      <c r="H878" s="9" t="n">
        <v>0</v>
      </c>
      <c r="I878" s="9" t="n">
        <v>0</v>
      </c>
      <c r="J878" s="7" t="s">
        <v>18</v>
      </c>
      <c r="K878" s="7" t="s">
        <v>19</v>
      </c>
      <c r="L878" s="7" t="s">
        <v>20</v>
      </c>
    </row>
    <row r="879" customFormat="false" ht="22.35" hidden="false" customHeight="false" outlineLevel="0" collapsed="false">
      <c r="A879" s="4" t="s">
        <v>903</v>
      </c>
      <c r="B879" s="4" t="s">
        <v>14</v>
      </c>
      <c r="C879" s="4" t="s">
        <v>15</v>
      </c>
      <c r="D879" s="4" t="s">
        <v>16</v>
      </c>
      <c r="E879" s="4" t="s">
        <v>488</v>
      </c>
      <c r="F879" s="5" t="n">
        <v>1.96</v>
      </c>
      <c r="G879" s="6" t="n">
        <v>0</v>
      </c>
      <c r="H879" s="6" t="n">
        <v>0</v>
      </c>
      <c r="I879" s="6" t="n">
        <v>0</v>
      </c>
      <c r="J879" s="4" t="s">
        <v>18</v>
      </c>
      <c r="K879" s="4" t="s">
        <v>19</v>
      </c>
      <c r="L879" s="4" t="s">
        <v>20</v>
      </c>
    </row>
    <row r="880" customFormat="false" ht="22.35" hidden="false" customHeight="false" outlineLevel="0" collapsed="false">
      <c r="A880" s="7" t="s">
        <v>904</v>
      </c>
      <c r="B880" s="7" t="s">
        <v>14</v>
      </c>
      <c r="C880" s="7" t="s">
        <v>15</v>
      </c>
      <c r="D880" s="7" t="s">
        <v>16</v>
      </c>
      <c r="E880" s="7" t="s">
        <v>17</v>
      </c>
      <c r="F880" s="8" t="n">
        <v>16.58</v>
      </c>
      <c r="G880" s="9" t="n">
        <v>0</v>
      </c>
      <c r="H880" s="9" t="n">
        <v>0</v>
      </c>
      <c r="I880" s="9" t="n">
        <v>0</v>
      </c>
      <c r="J880" s="7" t="s">
        <v>18</v>
      </c>
      <c r="K880" s="7" t="s">
        <v>19</v>
      </c>
      <c r="L880" s="7" t="s">
        <v>20</v>
      </c>
    </row>
    <row r="881" customFormat="false" ht="22.35" hidden="false" customHeight="false" outlineLevel="0" collapsed="false">
      <c r="A881" s="4" t="s">
        <v>905</v>
      </c>
      <c r="B881" s="4" t="s">
        <v>14</v>
      </c>
      <c r="C881" s="4" t="s">
        <v>15</v>
      </c>
      <c r="D881" s="4" t="s">
        <v>16</v>
      </c>
      <c r="E881" s="4" t="s">
        <v>17</v>
      </c>
      <c r="F881" s="5" t="n">
        <v>13</v>
      </c>
      <c r="G881" s="6" t="n">
        <v>0</v>
      </c>
      <c r="H881" s="6" t="n">
        <v>0</v>
      </c>
      <c r="I881" s="6" t="n">
        <v>0</v>
      </c>
      <c r="J881" s="4" t="s">
        <v>18</v>
      </c>
      <c r="K881" s="4" t="s">
        <v>19</v>
      </c>
      <c r="L881" s="4" t="s">
        <v>20</v>
      </c>
    </row>
    <row r="882" customFormat="false" ht="22.35" hidden="false" customHeight="false" outlineLevel="0" collapsed="false">
      <c r="A882" s="7" t="s">
        <v>906</v>
      </c>
      <c r="B882" s="7" t="s">
        <v>14</v>
      </c>
      <c r="C882" s="7" t="s">
        <v>15</v>
      </c>
      <c r="D882" s="7" t="s">
        <v>16</v>
      </c>
      <c r="E882" s="7" t="s">
        <v>17</v>
      </c>
      <c r="F882" s="8" t="n">
        <v>17.17</v>
      </c>
      <c r="G882" s="9" t="n">
        <v>0</v>
      </c>
      <c r="H882" s="9" t="n">
        <v>0</v>
      </c>
      <c r="I882" s="9" t="n">
        <v>0</v>
      </c>
      <c r="J882" s="7" t="s">
        <v>18</v>
      </c>
      <c r="K882" s="7" t="s">
        <v>19</v>
      </c>
      <c r="L882" s="7" t="s">
        <v>20</v>
      </c>
    </row>
    <row r="883" customFormat="false" ht="22.35" hidden="false" customHeight="false" outlineLevel="0" collapsed="false">
      <c r="A883" s="4" t="s">
        <v>907</v>
      </c>
      <c r="B883" s="4" t="s">
        <v>14</v>
      </c>
      <c r="C883" s="4" t="s">
        <v>15</v>
      </c>
      <c r="D883" s="4" t="s">
        <v>16</v>
      </c>
      <c r="E883" s="4" t="s">
        <v>17</v>
      </c>
      <c r="F883" s="5" t="n">
        <v>1.06</v>
      </c>
      <c r="G883" s="6" t="n">
        <v>0</v>
      </c>
      <c r="H883" s="6" t="n">
        <v>0</v>
      </c>
      <c r="I883" s="6" t="n">
        <v>0</v>
      </c>
      <c r="J883" s="4" t="s">
        <v>18</v>
      </c>
      <c r="K883" s="4" t="s">
        <v>19</v>
      </c>
      <c r="L883" s="4" t="s">
        <v>20</v>
      </c>
    </row>
    <row r="884" customFormat="false" ht="22.35" hidden="false" customHeight="false" outlineLevel="0" collapsed="false">
      <c r="A884" s="7" t="s">
        <v>908</v>
      </c>
      <c r="B884" s="7" t="s">
        <v>14</v>
      </c>
      <c r="C884" s="7" t="s">
        <v>15</v>
      </c>
      <c r="D884" s="7" t="s">
        <v>16</v>
      </c>
      <c r="E884" s="7" t="s">
        <v>17</v>
      </c>
      <c r="F884" s="8" t="n">
        <v>17.69</v>
      </c>
      <c r="G884" s="9" t="n">
        <v>0</v>
      </c>
      <c r="H884" s="9" t="n">
        <v>0</v>
      </c>
      <c r="I884" s="9" t="n">
        <v>0</v>
      </c>
      <c r="J884" s="7" t="s">
        <v>18</v>
      </c>
      <c r="K884" s="7" t="s">
        <v>19</v>
      </c>
      <c r="L884" s="7" t="s">
        <v>20</v>
      </c>
    </row>
    <row r="885" customFormat="false" ht="22.35" hidden="false" customHeight="false" outlineLevel="0" collapsed="false">
      <c r="A885" s="4" t="s">
        <v>909</v>
      </c>
      <c r="B885" s="4" t="s">
        <v>14</v>
      </c>
      <c r="C885" s="4" t="s">
        <v>15</v>
      </c>
      <c r="D885" s="4" t="s">
        <v>16</v>
      </c>
      <c r="E885" s="4" t="s">
        <v>17</v>
      </c>
      <c r="F885" s="5" t="n">
        <v>27.25</v>
      </c>
      <c r="G885" s="6" t="n">
        <v>0</v>
      </c>
      <c r="H885" s="6" t="n">
        <v>0</v>
      </c>
      <c r="I885" s="6" t="n">
        <v>0</v>
      </c>
      <c r="J885" s="4" t="s">
        <v>18</v>
      </c>
      <c r="K885" s="4" t="s">
        <v>19</v>
      </c>
      <c r="L885" s="4" t="s">
        <v>20</v>
      </c>
    </row>
    <row r="886" customFormat="false" ht="22.35" hidden="false" customHeight="false" outlineLevel="0" collapsed="false">
      <c r="A886" s="7" t="s">
        <v>910</v>
      </c>
      <c r="B886" s="7" t="s">
        <v>14</v>
      </c>
      <c r="C886" s="7" t="s">
        <v>15</v>
      </c>
      <c r="D886" s="7" t="s">
        <v>16</v>
      </c>
      <c r="E886" s="7" t="s">
        <v>488</v>
      </c>
      <c r="F886" s="8" t="n">
        <v>9.36</v>
      </c>
      <c r="G886" s="9" t="n">
        <v>0</v>
      </c>
      <c r="H886" s="9" t="n">
        <v>0</v>
      </c>
      <c r="I886" s="9" t="n">
        <v>0</v>
      </c>
      <c r="J886" s="7" t="s">
        <v>18</v>
      </c>
      <c r="K886" s="7" t="s">
        <v>19</v>
      </c>
      <c r="L886" s="7" t="s">
        <v>20</v>
      </c>
    </row>
    <row r="887" customFormat="false" ht="22.35" hidden="false" customHeight="false" outlineLevel="0" collapsed="false">
      <c r="A887" s="4" t="s">
        <v>911</v>
      </c>
      <c r="B887" s="4" t="s">
        <v>14</v>
      </c>
      <c r="C887" s="4" t="s">
        <v>15</v>
      </c>
      <c r="D887" s="4" t="s">
        <v>16</v>
      </c>
      <c r="E887" s="4" t="s">
        <v>44</v>
      </c>
      <c r="F887" s="5" t="n">
        <v>13.64</v>
      </c>
      <c r="G887" s="6" t="n">
        <v>0</v>
      </c>
      <c r="H887" s="6" t="n">
        <v>0</v>
      </c>
      <c r="I887" s="6" t="n">
        <v>0</v>
      </c>
      <c r="J887" s="4" t="s">
        <v>18</v>
      </c>
      <c r="K887" s="4" t="s">
        <v>19</v>
      </c>
      <c r="L887" s="4" t="s">
        <v>20</v>
      </c>
    </row>
    <row r="888" customFormat="false" ht="22.35" hidden="false" customHeight="false" outlineLevel="0" collapsed="false">
      <c r="A888" s="7" t="s">
        <v>912</v>
      </c>
      <c r="B888" s="7" t="s">
        <v>14</v>
      </c>
      <c r="C888" s="7" t="s">
        <v>15</v>
      </c>
      <c r="D888" s="7" t="s">
        <v>16</v>
      </c>
      <c r="E888" s="7" t="s">
        <v>44</v>
      </c>
      <c r="F888" s="8" t="n">
        <v>11.16</v>
      </c>
      <c r="G888" s="9" t="n">
        <v>0</v>
      </c>
      <c r="H888" s="9" t="n">
        <v>0</v>
      </c>
      <c r="I888" s="9" t="n">
        <v>0</v>
      </c>
      <c r="J888" s="7" t="s">
        <v>18</v>
      </c>
      <c r="K888" s="7" t="s">
        <v>19</v>
      </c>
      <c r="L888" s="7" t="s">
        <v>20</v>
      </c>
    </row>
    <row r="889" customFormat="false" ht="22.35" hidden="false" customHeight="false" outlineLevel="0" collapsed="false">
      <c r="A889" s="4" t="s">
        <v>913</v>
      </c>
      <c r="B889" s="4" t="s">
        <v>14</v>
      </c>
      <c r="C889" s="4" t="s">
        <v>15</v>
      </c>
      <c r="D889" s="4" t="s">
        <v>16</v>
      </c>
      <c r="E889" s="4" t="s">
        <v>17</v>
      </c>
      <c r="F889" s="5" t="n">
        <v>12.66</v>
      </c>
      <c r="G889" s="6" t="n">
        <v>0</v>
      </c>
      <c r="H889" s="6" t="n">
        <v>0</v>
      </c>
      <c r="I889" s="6" t="n">
        <v>0</v>
      </c>
      <c r="J889" s="4" t="s">
        <v>18</v>
      </c>
      <c r="K889" s="4" t="s">
        <v>19</v>
      </c>
      <c r="L889" s="4" t="s">
        <v>20</v>
      </c>
    </row>
    <row r="890" customFormat="false" ht="22.35" hidden="false" customHeight="false" outlineLevel="0" collapsed="false">
      <c r="A890" s="7" t="s">
        <v>914</v>
      </c>
      <c r="B890" s="7" t="s">
        <v>14</v>
      </c>
      <c r="C890" s="7" t="s">
        <v>15</v>
      </c>
      <c r="D890" s="7" t="s">
        <v>16</v>
      </c>
      <c r="E890" s="7" t="s">
        <v>17</v>
      </c>
      <c r="F890" s="8" t="n">
        <v>26.25</v>
      </c>
      <c r="G890" s="9" t="n">
        <v>0</v>
      </c>
      <c r="H890" s="9" t="n">
        <v>0</v>
      </c>
      <c r="I890" s="9" t="n">
        <v>0</v>
      </c>
      <c r="J890" s="7" t="s">
        <v>18</v>
      </c>
      <c r="K890" s="7" t="s">
        <v>19</v>
      </c>
      <c r="L890" s="7" t="s">
        <v>20</v>
      </c>
    </row>
    <row r="891" customFormat="false" ht="22.35" hidden="false" customHeight="false" outlineLevel="0" collapsed="false">
      <c r="A891" s="4" t="s">
        <v>915</v>
      </c>
      <c r="B891" s="4" t="s">
        <v>14</v>
      </c>
      <c r="C891" s="4" t="s">
        <v>15</v>
      </c>
      <c r="D891" s="4" t="s">
        <v>16</v>
      </c>
      <c r="E891" s="4" t="s">
        <v>17</v>
      </c>
      <c r="F891" s="5" t="n">
        <v>6</v>
      </c>
      <c r="G891" s="6" t="n">
        <v>0</v>
      </c>
      <c r="H891" s="6" t="n">
        <v>0</v>
      </c>
      <c r="I891" s="6" t="n">
        <v>0</v>
      </c>
      <c r="J891" s="4" t="s">
        <v>18</v>
      </c>
      <c r="K891" s="4" t="s">
        <v>19</v>
      </c>
      <c r="L891" s="4" t="s">
        <v>20</v>
      </c>
    </row>
    <row r="892" customFormat="false" ht="22.35" hidden="false" customHeight="false" outlineLevel="0" collapsed="false">
      <c r="A892" s="7" t="s">
        <v>916</v>
      </c>
      <c r="B892" s="7" t="s">
        <v>14</v>
      </c>
      <c r="C892" s="7" t="s">
        <v>15</v>
      </c>
      <c r="D892" s="7" t="s">
        <v>16</v>
      </c>
      <c r="E892" s="7" t="s">
        <v>17</v>
      </c>
      <c r="F892" s="8" t="n">
        <v>7.36</v>
      </c>
      <c r="G892" s="9" t="n">
        <v>0</v>
      </c>
      <c r="H892" s="9" t="n">
        <v>0</v>
      </c>
      <c r="I892" s="9" t="n">
        <v>0</v>
      </c>
      <c r="J892" s="7" t="s">
        <v>18</v>
      </c>
      <c r="K892" s="7" t="s">
        <v>19</v>
      </c>
      <c r="L892" s="7" t="s">
        <v>20</v>
      </c>
    </row>
    <row r="893" customFormat="false" ht="22.35" hidden="false" customHeight="false" outlineLevel="0" collapsed="false">
      <c r="A893" s="4" t="s">
        <v>917</v>
      </c>
      <c r="B893" s="4" t="s">
        <v>14</v>
      </c>
      <c r="C893" s="4" t="s">
        <v>15</v>
      </c>
      <c r="D893" s="4" t="s">
        <v>16</v>
      </c>
      <c r="E893" s="4" t="s">
        <v>17</v>
      </c>
      <c r="F893" s="5" t="n">
        <v>14.94</v>
      </c>
      <c r="G893" s="6" t="n">
        <v>0</v>
      </c>
      <c r="H893" s="6" t="n">
        <v>0</v>
      </c>
      <c r="I893" s="6" t="n">
        <v>0</v>
      </c>
      <c r="J893" s="4" t="s">
        <v>18</v>
      </c>
      <c r="K893" s="4" t="s">
        <v>19</v>
      </c>
      <c r="L893" s="4" t="s">
        <v>20</v>
      </c>
    </row>
    <row r="894" customFormat="false" ht="22.35" hidden="false" customHeight="false" outlineLevel="0" collapsed="false">
      <c r="A894" s="7" t="s">
        <v>918</v>
      </c>
      <c r="B894" s="7" t="s">
        <v>14</v>
      </c>
      <c r="C894" s="7" t="s">
        <v>15</v>
      </c>
      <c r="D894" s="7" t="s">
        <v>16</v>
      </c>
      <c r="E894" s="7" t="s">
        <v>17</v>
      </c>
      <c r="F894" s="8" t="n">
        <v>3.47</v>
      </c>
      <c r="G894" s="9" t="n">
        <v>0</v>
      </c>
      <c r="H894" s="9" t="n">
        <v>0</v>
      </c>
      <c r="I894" s="9" t="n">
        <v>0</v>
      </c>
      <c r="J894" s="7" t="s">
        <v>18</v>
      </c>
      <c r="K894" s="7" t="s">
        <v>19</v>
      </c>
      <c r="L894" s="7" t="s">
        <v>20</v>
      </c>
    </row>
    <row r="895" customFormat="false" ht="22.35" hidden="false" customHeight="false" outlineLevel="0" collapsed="false">
      <c r="A895" s="4" t="s">
        <v>919</v>
      </c>
      <c r="B895" s="4" t="s">
        <v>14</v>
      </c>
      <c r="C895" s="4" t="s">
        <v>15</v>
      </c>
      <c r="D895" s="4" t="s">
        <v>16</v>
      </c>
      <c r="E895" s="4" t="s">
        <v>17</v>
      </c>
      <c r="F895" s="5" t="n">
        <v>9.7</v>
      </c>
      <c r="G895" s="6" t="n">
        <v>0</v>
      </c>
      <c r="H895" s="6" t="n">
        <v>0</v>
      </c>
      <c r="I895" s="6" t="n">
        <v>0</v>
      </c>
      <c r="J895" s="4" t="s">
        <v>18</v>
      </c>
      <c r="K895" s="4" t="s">
        <v>19</v>
      </c>
      <c r="L895" s="4" t="s">
        <v>20</v>
      </c>
    </row>
    <row r="896" customFormat="false" ht="22.35" hidden="false" customHeight="false" outlineLevel="0" collapsed="false">
      <c r="A896" s="7" t="s">
        <v>920</v>
      </c>
      <c r="B896" s="7" t="s">
        <v>14</v>
      </c>
      <c r="C896" s="7" t="s">
        <v>15</v>
      </c>
      <c r="D896" s="7" t="s">
        <v>16</v>
      </c>
      <c r="E896" s="7" t="s">
        <v>17</v>
      </c>
      <c r="F896" s="8" t="n">
        <v>1.45</v>
      </c>
      <c r="G896" s="9" t="n">
        <v>0</v>
      </c>
      <c r="H896" s="9" t="n">
        <v>0</v>
      </c>
      <c r="I896" s="9" t="n">
        <v>0</v>
      </c>
      <c r="J896" s="7" t="s">
        <v>18</v>
      </c>
      <c r="K896" s="7" t="s">
        <v>19</v>
      </c>
      <c r="L896" s="7" t="s">
        <v>20</v>
      </c>
    </row>
    <row r="897" customFormat="false" ht="22.35" hidden="false" customHeight="false" outlineLevel="0" collapsed="false">
      <c r="A897" s="4" t="s">
        <v>921</v>
      </c>
      <c r="B897" s="4" t="s">
        <v>14</v>
      </c>
      <c r="C897" s="4" t="s">
        <v>15</v>
      </c>
      <c r="D897" s="4" t="s">
        <v>16</v>
      </c>
      <c r="E897" s="4" t="s">
        <v>17</v>
      </c>
      <c r="F897" s="5" t="n">
        <v>3.55</v>
      </c>
      <c r="G897" s="6" t="n">
        <v>0</v>
      </c>
      <c r="H897" s="6" t="n">
        <v>0</v>
      </c>
      <c r="I897" s="6" t="n">
        <v>0</v>
      </c>
      <c r="J897" s="4" t="s">
        <v>18</v>
      </c>
      <c r="K897" s="4" t="s">
        <v>19</v>
      </c>
      <c r="L897" s="4" t="s">
        <v>20</v>
      </c>
    </row>
    <row r="898" customFormat="false" ht="22.35" hidden="false" customHeight="false" outlineLevel="0" collapsed="false">
      <c r="A898" s="7" t="s">
        <v>922</v>
      </c>
      <c r="B898" s="7" t="s">
        <v>14</v>
      </c>
      <c r="C898" s="7" t="s">
        <v>15</v>
      </c>
      <c r="D898" s="7" t="s">
        <v>16</v>
      </c>
      <c r="E898" s="7" t="s">
        <v>17</v>
      </c>
      <c r="F898" s="8" t="n">
        <v>3</v>
      </c>
      <c r="G898" s="9" t="n">
        <v>0</v>
      </c>
      <c r="H898" s="9" t="n">
        <v>0</v>
      </c>
      <c r="I898" s="9" t="n">
        <v>0</v>
      </c>
      <c r="J898" s="7" t="s">
        <v>18</v>
      </c>
      <c r="K898" s="7" t="s">
        <v>19</v>
      </c>
      <c r="L898" s="7" t="s">
        <v>20</v>
      </c>
    </row>
    <row r="899" customFormat="false" ht="22.35" hidden="false" customHeight="false" outlineLevel="0" collapsed="false">
      <c r="A899" s="4" t="s">
        <v>923</v>
      </c>
      <c r="B899" s="4" t="s">
        <v>14</v>
      </c>
      <c r="C899" s="4" t="s">
        <v>15</v>
      </c>
      <c r="D899" s="4" t="s">
        <v>16</v>
      </c>
      <c r="E899" s="4" t="s">
        <v>17</v>
      </c>
      <c r="F899" s="5" t="n">
        <v>3.19</v>
      </c>
      <c r="G899" s="6" t="n">
        <v>0</v>
      </c>
      <c r="H899" s="6" t="n">
        <v>0</v>
      </c>
      <c r="I899" s="6" t="n">
        <v>0</v>
      </c>
      <c r="J899" s="4" t="s">
        <v>18</v>
      </c>
      <c r="K899" s="4" t="s">
        <v>19</v>
      </c>
      <c r="L899" s="4" t="s">
        <v>20</v>
      </c>
    </row>
    <row r="900" customFormat="false" ht="22.35" hidden="false" customHeight="false" outlineLevel="0" collapsed="false">
      <c r="A900" s="7" t="s">
        <v>924</v>
      </c>
      <c r="B900" s="7" t="s">
        <v>14</v>
      </c>
      <c r="C900" s="7" t="s">
        <v>15</v>
      </c>
      <c r="D900" s="7" t="s">
        <v>16</v>
      </c>
      <c r="E900" s="7" t="s">
        <v>17</v>
      </c>
      <c r="F900" s="8" t="n">
        <v>2.545</v>
      </c>
      <c r="G900" s="9" t="n">
        <v>0</v>
      </c>
      <c r="H900" s="9" t="n">
        <v>0</v>
      </c>
      <c r="I900" s="9" t="n">
        <v>0</v>
      </c>
      <c r="J900" s="7" t="s">
        <v>18</v>
      </c>
      <c r="K900" s="7" t="s">
        <v>19</v>
      </c>
      <c r="L900" s="7" t="s">
        <v>20</v>
      </c>
    </row>
    <row r="901" customFormat="false" ht="22.35" hidden="false" customHeight="false" outlineLevel="0" collapsed="false">
      <c r="A901" s="4" t="s">
        <v>925</v>
      </c>
      <c r="B901" s="4" t="s">
        <v>14</v>
      </c>
      <c r="C901" s="4" t="s">
        <v>15</v>
      </c>
      <c r="D901" s="4" t="s">
        <v>16</v>
      </c>
      <c r="E901" s="4" t="s">
        <v>17</v>
      </c>
      <c r="F901" s="5" t="n">
        <v>2.595</v>
      </c>
      <c r="G901" s="6" t="n">
        <v>0</v>
      </c>
      <c r="H901" s="6" t="n">
        <v>0</v>
      </c>
      <c r="I901" s="6" t="n">
        <v>0</v>
      </c>
      <c r="J901" s="4" t="s">
        <v>18</v>
      </c>
      <c r="K901" s="4" t="s">
        <v>19</v>
      </c>
      <c r="L901" s="4" t="s">
        <v>20</v>
      </c>
    </row>
    <row r="902" customFormat="false" ht="22.35" hidden="false" customHeight="false" outlineLevel="0" collapsed="false">
      <c r="A902" s="7" t="s">
        <v>926</v>
      </c>
      <c r="B902" s="7" t="s">
        <v>14</v>
      </c>
      <c r="C902" s="7" t="s">
        <v>15</v>
      </c>
      <c r="D902" s="7" t="s">
        <v>16</v>
      </c>
      <c r="E902" s="7" t="s">
        <v>44</v>
      </c>
      <c r="F902" s="8" t="n">
        <v>2.595</v>
      </c>
      <c r="G902" s="9" t="n">
        <v>0</v>
      </c>
      <c r="H902" s="9" t="n">
        <v>0</v>
      </c>
      <c r="I902" s="9" t="n">
        <v>0</v>
      </c>
      <c r="J902" s="7" t="s">
        <v>18</v>
      </c>
      <c r="K902" s="7" t="s">
        <v>19</v>
      </c>
      <c r="L902" s="7" t="s">
        <v>20</v>
      </c>
    </row>
    <row r="903" customFormat="false" ht="22.35" hidden="false" customHeight="false" outlineLevel="0" collapsed="false">
      <c r="A903" s="4" t="s">
        <v>927</v>
      </c>
      <c r="B903" s="4" t="s">
        <v>14</v>
      </c>
      <c r="C903" s="4" t="s">
        <v>15</v>
      </c>
      <c r="D903" s="4" t="s">
        <v>16</v>
      </c>
      <c r="E903" s="4" t="s">
        <v>17</v>
      </c>
      <c r="F903" s="5" t="n">
        <v>2.595</v>
      </c>
      <c r="G903" s="6" t="n">
        <v>0</v>
      </c>
      <c r="H903" s="6" t="n">
        <v>0</v>
      </c>
      <c r="I903" s="6" t="n">
        <v>0</v>
      </c>
      <c r="J903" s="4" t="s">
        <v>18</v>
      </c>
      <c r="K903" s="4" t="s">
        <v>19</v>
      </c>
      <c r="L903" s="4" t="s">
        <v>20</v>
      </c>
    </row>
    <row r="904" customFormat="false" ht="22.35" hidden="false" customHeight="false" outlineLevel="0" collapsed="false">
      <c r="A904" s="7" t="s">
        <v>928</v>
      </c>
      <c r="B904" s="7" t="s">
        <v>14</v>
      </c>
      <c r="C904" s="7" t="s">
        <v>929</v>
      </c>
      <c r="D904" s="7" t="s">
        <v>930</v>
      </c>
      <c r="E904" s="7" t="s">
        <v>44</v>
      </c>
      <c r="F904" s="8" t="n">
        <v>0</v>
      </c>
      <c r="G904" s="9" t="n">
        <v>0</v>
      </c>
      <c r="H904" s="9" t="n">
        <v>0</v>
      </c>
      <c r="I904" s="9" t="n">
        <v>0</v>
      </c>
      <c r="J904" s="7" t="s">
        <v>18</v>
      </c>
      <c r="K904" s="7" t="s">
        <v>19</v>
      </c>
      <c r="L904" s="7" t="s">
        <v>20</v>
      </c>
    </row>
    <row r="905" customFormat="false" ht="22.35" hidden="false" customHeight="false" outlineLevel="0" collapsed="false">
      <c r="A905" s="4" t="s">
        <v>931</v>
      </c>
      <c r="B905" s="4" t="s">
        <v>14</v>
      </c>
      <c r="C905" s="4" t="s">
        <v>929</v>
      </c>
      <c r="D905" s="4" t="s">
        <v>930</v>
      </c>
      <c r="E905" s="4" t="s">
        <v>44</v>
      </c>
      <c r="F905" s="5" t="n">
        <v>0</v>
      </c>
      <c r="G905" s="6" t="n">
        <v>0</v>
      </c>
      <c r="H905" s="6" t="n">
        <v>0</v>
      </c>
      <c r="I905" s="6" t="n">
        <v>0</v>
      </c>
      <c r="J905" s="4" t="s">
        <v>18</v>
      </c>
      <c r="K905" s="4" t="s">
        <v>19</v>
      </c>
      <c r="L905" s="4" t="s">
        <v>20</v>
      </c>
    </row>
    <row r="906" customFormat="false" ht="22.35" hidden="false" customHeight="false" outlineLevel="0" collapsed="false">
      <c r="A906" s="7" t="s">
        <v>932</v>
      </c>
      <c r="B906" s="7" t="s">
        <v>14</v>
      </c>
      <c r="C906" s="7" t="s">
        <v>929</v>
      </c>
      <c r="D906" s="7" t="s">
        <v>930</v>
      </c>
      <c r="E906" s="7" t="s">
        <v>44</v>
      </c>
      <c r="F906" s="8" t="n">
        <v>0</v>
      </c>
      <c r="G906" s="9" t="n">
        <v>0</v>
      </c>
      <c r="H906" s="9" t="n">
        <v>0</v>
      </c>
      <c r="I906" s="9" t="n">
        <v>0</v>
      </c>
      <c r="J906" s="7" t="s">
        <v>18</v>
      </c>
      <c r="K906" s="7" t="s">
        <v>19</v>
      </c>
      <c r="L906" s="7" t="s">
        <v>20</v>
      </c>
    </row>
    <row r="907" customFormat="false" ht="22.35" hidden="false" customHeight="false" outlineLevel="0" collapsed="false">
      <c r="A907" s="4" t="s">
        <v>933</v>
      </c>
      <c r="B907" s="4" t="s">
        <v>14</v>
      </c>
      <c r="C907" s="4" t="s">
        <v>929</v>
      </c>
      <c r="D907" s="4" t="s">
        <v>930</v>
      </c>
      <c r="E907" s="4" t="s">
        <v>44</v>
      </c>
      <c r="F907" s="5" t="n">
        <v>0</v>
      </c>
      <c r="G907" s="6" t="n">
        <v>0</v>
      </c>
      <c r="H907" s="6" t="n">
        <v>0</v>
      </c>
      <c r="I907" s="6" t="n">
        <v>0</v>
      </c>
      <c r="J907" s="4" t="s">
        <v>18</v>
      </c>
      <c r="K907" s="4" t="s">
        <v>19</v>
      </c>
      <c r="L907" s="4" t="s">
        <v>20</v>
      </c>
    </row>
    <row r="908" customFormat="false" ht="22.35" hidden="false" customHeight="false" outlineLevel="0" collapsed="false">
      <c r="A908" s="7" t="s">
        <v>934</v>
      </c>
      <c r="B908" s="7" t="s">
        <v>14</v>
      </c>
      <c r="C908" s="7" t="s">
        <v>929</v>
      </c>
      <c r="D908" s="7" t="s">
        <v>930</v>
      </c>
      <c r="E908" s="7" t="s">
        <v>44</v>
      </c>
      <c r="F908" s="8" t="n">
        <v>0</v>
      </c>
      <c r="G908" s="9" t="n">
        <v>0</v>
      </c>
      <c r="H908" s="9" t="n">
        <v>0</v>
      </c>
      <c r="I908" s="9" t="n">
        <v>0</v>
      </c>
      <c r="J908" s="7" t="s">
        <v>18</v>
      </c>
      <c r="K908" s="7" t="s">
        <v>19</v>
      </c>
      <c r="L908" s="7" t="s">
        <v>20</v>
      </c>
    </row>
    <row r="909" customFormat="false" ht="22.35" hidden="false" customHeight="false" outlineLevel="0" collapsed="false">
      <c r="A909" s="4" t="s">
        <v>935</v>
      </c>
      <c r="B909" s="4" t="s">
        <v>14</v>
      </c>
      <c r="C909" s="4" t="s">
        <v>929</v>
      </c>
      <c r="D909" s="4" t="s">
        <v>930</v>
      </c>
      <c r="E909" s="4" t="s">
        <v>44</v>
      </c>
      <c r="F909" s="5" t="n">
        <v>0</v>
      </c>
      <c r="G909" s="6" t="n">
        <v>0</v>
      </c>
      <c r="H909" s="6" t="n">
        <v>0</v>
      </c>
      <c r="I909" s="6" t="n">
        <v>0</v>
      </c>
      <c r="J909" s="4" t="s">
        <v>18</v>
      </c>
      <c r="K909" s="4" t="s">
        <v>19</v>
      </c>
      <c r="L909" s="4" t="s">
        <v>20</v>
      </c>
    </row>
    <row r="910" customFormat="false" ht="22.35" hidden="false" customHeight="false" outlineLevel="0" collapsed="false">
      <c r="A910" s="7" t="s">
        <v>936</v>
      </c>
      <c r="B910" s="7" t="s">
        <v>14</v>
      </c>
      <c r="C910" s="7" t="s">
        <v>929</v>
      </c>
      <c r="D910" s="7" t="s">
        <v>930</v>
      </c>
      <c r="E910" s="7" t="s">
        <v>44</v>
      </c>
      <c r="F910" s="8" t="n">
        <v>0</v>
      </c>
      <c r="G910" s="9" t="n">
        <v>0</v>
      </c>
      <c r="H910" s="9" t="n">
        <v>0</v>
      </c>
      <c r="I910" s="9" t="n">
        <v>0</v>
      </c>
      <c r="J910" s="7" t="s">
        <v>18</v>
      </c>
      <c r="K910" s="7" t="s">
        <v>19</v>
      </c>
      <c r="L910" s="7" t="s">
        <v>20</v>
      </c>
    </row>
    <row r="911" customFormat="false" ht="22.35" hidden="false" customHeight="false" outlineLevel="0" collapsed="false">
      <c r="A911" s="4" t="s">
        <v>937</v>
      </c>
      <c r="B911" s="4" t="s">
        <v>14</v>
      </c>
      <c r="C911" s="4" t="s">
        <v>929</v>
      </c>
      <c r="D911" s="4" t="s">
        <v>930</v>
      </c>
      <c r="E911" s="4" t="s">
        <v>44</v>
      </c>
      <c r="F911" s="5" t="n">
        <v>0</v>
      </c>
      <c r="G911" s="6" t="n">
        <v>0</v>
      </c>
      <c r="H911" s="6" t="n">
        <v>0</v>
      </c>
      <c r="I911" s="6" t="n">
        <v>0</v>
      </c>
      <c r="J911" s="4" t="s">
        <v>18</v>
      </c>
      <c r="K911" s="4" t="s">
        <v>19</v>
      </c>
      <c r="L911" s="4" t="s">
        <v>20</v>
      </c>
    </row>
    <row r="912" customFormat="false" ht="22.35" hidden="false" customHeight="false" outlineLevel="0" collapsed="false">
      <c r="A912" s="7" t="s">
        <v>938</v>
      </c>
      <c r="B912" s="7" t="s">
        <v>14</v>
      </c>
      <c r="C912" s="7" t="s">
        <v>929</v>
      </c>
      <c r="D912" s="7" t="s">
        <v>930</v>
      </c>
      <c r="E912" s="7" t="s">
        <v>44</v>
      </c>
      <c r="F912" s="8" t="n">
        <v>0</v>
      </c>
      <c r="G912" s="9" t="n">
        <v>0</v>
      </c>
      <c r="H912" s="9" t="n">
        <v>0</v>
      </c>
      <c r="I912" s="9" t="n">
        <v>0</v>
      </c>
      <c r="J912" s="7" t="s">
        <v>18</v>
      </c>
      <c r="K912" s="7" t="s">
        <v>19</v>
      </c>
      <c r="L912" s="7" t="s">
        <v>20</v>
      </c>
    </row>
    <row r="913" customFormat="false" ht="22.35" hidden="false" customHeight="false" outlineLevel="0" collapsed="false">
      <c r="A913" s="4" t="s">
        <v>939</v>
      </c>
      <c r="B913" s="4" t="s">
        <v>14</v>
      </c>
      <c r="C913" s="4" t="s">
        <v>929</v>
      </c>
      <c r="D913" s="4" t="s">
        <v>930</v>
      </c>
      <c r="E913" s="4" t="s">
        <v>44</v>
      </c>
      <c r="F913" s="5" t="n">
        <v>0</v>
      </c>
      <c r="G913" s="6" t="n">
        <v>0</v>
      </c>
      <c r="H913" s="6" t="n">
        <v>0</v>
      </c>
      <c r="I913" s="6" t="n">
        <v>0</v>
      </c>
      <c r="J913" s="4" t="s">
        <v>18</v>
      </c>
      <c r="K913" s="4" t="s">
        <v>19</v>
      </c>
      <c r="L913" s="4" t="s">
        <v>20</v>
      </c>
    </row>
    <row r="914" customFormat="false" ht="22.35" hidden="false" customHeight="false" outlineLevel="0" collapsed="false">
      <c r="A914" s="7" t="s">
        <v>940</v>
      </c>
      <c r="B914" s="7" t="s">
        <v>14</v>
      </c>
      <c r="C914" s="7" t="s">
        <v>929</v>
      </c>
      <c r="D914" s="7" t="s">
        <v>930</v>
      </c>
      <c r="E914" s="7" t="s">
        <v>44</v>
      </c>
      <c r="F914" s="8" t="n">
        <v>0</v>
      </c>
      <c r="G914" s="9" t="n">
        <v>0</v>
      </c>
      <c r="H914" s="9" t="n">
        <v>0</v>
      </c>
      <c r="I914" s="9" t="n">
        <v>0</v>
      </c>
      <c r="J914" s="7" t="s">
        <v>18</v>
      </c>
      <c r="K914" s="7" t="s">
        <v>19</v>
      </c>
      <c r="L914" s="7" t="s">
        <v>20</v>
      </c>
    </row>
    <row r="915" customFormat="false" ht="22.35" hidden="false" customHeight="false" outlineLevel="0" collapsed="false">
      <c r="A915" s="4" t="s">
        <v>941</v>
      </c>
      <c r="B915" s="4" t="s">
        <v>14</v>
      </c>
      <c r="C915" s="4" t="s">
        <v>929</v>
      </c>
      <c r="D915" s="4" t="s">
        <v>930</v>
      </c>
      <c r="E915" s="4" t="s">
        <v>44</v>
      </c>
      <c r="F915" s="5" t="n">
        <v>0</v>
      </c>
      <c r="G915" s="6" t="n">
        <v>0</v>
      </c>
      <c r="H915" s="6" t="n">
        <v>0</v>
      </c>
      <c r="I915" s="6" t="n">
        <v>0</v>
      </c>
      <c r="J915" s="4" t="s">
        <v>18</v>
      </c>
      <c r="K915" s="4" t="s">
        <v>19</v>
      </c>
      <c r="L915" s="4" t="s">
        <v>20</v>
      </c>
    </row>
    <row r="916" customFormat="false" ht="22.35" hidden="false" customHeight="false" outlineLevel="0" collapsed="false">
      <c r="A916" s="7" t="s">
        <v>942</v>
      </c>
      <c r="B916" s="7" t="s">
        <v>14</v>
      </c>
      <c r="C916" s="7" t="s">
        <v>929</v>
      </c>
      <c r="D916" s="7" t="s">
        <v>930</v>
      </c>
      <c r="E916" s="7" t="s">
        <v>44</v>
      </c>
      <c r="F916" s="8" t="n">
        <v>0</v>
      </c>
      <c r="G916" s="9" t="n">
        <v>0</v>
      </c>
      <c r="H916" s="9" t="n">
        <v>0</v>
      </c>
      <c r="I916" s="9" t="n">
        <v>0</v>
      </c>
      <c r="J916" s="7" t="s">
        <v>18</v>
      </c>
      <c r="K916" s="7" t="s">
        <v>19</v>
      </c>
      <c r="L916" s="7" t="s">
        <v>20</v>
      </c>
    </row>
    <row r="917" customFormat="false" ht="22.35" hidden="false" customHeight="false" outlineLevel="0" collapsed="false">
      <c r="A917" s="4" t="s">
        <v>943</v>
      </c>
      <c r="B917" s="4" t="s">
        <v>14</v>
      </c>
      <c r="C917" s="4" t="s">
        <v>929</v>
      </c>
      <c r="D917" s="4" t="s">
        <v>930</v>
      </c>
      <c r="E917" s="4" t="s">
        <v>44</v>
      </c>
      <c r="F917" s="5" t="n">
        <v>0</v>
      </c>
      <c r="G917" s="6" t="n">
        <v>0</v>
      </c>
      <c r="H917" s="6" t="n">
        <v>0</v>
      </c>
      <c r="I917" s="6" t="n">
        <v>0</v>
      </c>
      <c r="J917" s="4" t="s">
        <v>18</v>
      </c>
      <c r="K917" s="4" t="s">
        <v>19</v>
      </c>
      <c r="L917" s="4" t="s">
        <v>20</v>
      </c>
    </row>
    <row r="918" customFormat="false" ht="22.35" hidden="false" customHeight="false" outlineLevel="0" collapsed="false">
      <c r="A918" s="7" t="s">
        <v>944</v>
      </c>
      <c r="B918" s="7" t="s">
        <v>14</v>
      </c>
      <c r="C918" s="7" t="s">
        <v>929</v>
      </c>
      <c r="D918" s="7" t="s">
        <v>930</v>
      </c>
      <c r="E918" s="7" t="s">
        <v>44</v>
      </c>
      <c r="F918" s="8" t="n">
        <v>0</v>
      </c>
      <c r="G918" s="9" t="n">
        <v>0</v>
      </c>
      <c r="H918" s="9" t="n">
        <v>0</v>
      </c>
      <c r="I918" s="9" t="n">
        <v>0</v>
      </c>
      <c r="J918" s="7" t="s">
        <v>18</v>
      </c>
      <c r="K918" s="7" t="s">
        <v>19</v>
      </c>
      <c r="L918" s="7" t="s">
        <v>20</v>
      </c>
    </row>
    <row r="919" customFormat="false" ht="22.35" hidden="false" customHeight="false" outlineLevel="0" collapsed="false">
      <c r="A919" s="4" t="s">
        <v>945</v>
      </c>
      <c r="B919" s="4" t="s">
        <v>14</v>
      </c>
      <c r="C919" s="4" t="s">
        <v>929</v>
      </c>
      <c r="D919" s="4" t="s">
        <v>930</v>
      </c>
      <c r="E919" s="4" t="s">
        <v>44</v>
      </c>
      <c r="F919" s="5" t="n">
        <v>0</v>
      </c>
      <c r="G919" s="6" t="n">
        <v>0</v>
      </c>
      <c r="H919" s="6" t="n">
        <v>0</v>
      </c>
      <c r="I919" s="6" t="n">
        <v>0</v>
      </c>
      <c r="J919" s="4" t="s">
        <v>18</v>
      </c>
      <c r="K919" s="4" t="s">
        <v>19</v>
      </c>
      <c r="L919" s="4" t="s">
        <v>20</v>
      </c>
    </row>
    <row r="920" customFormat="false" ht="22.35" hidden="false" customHeight="false" outlineLevel="0" collapsed="false">
      <c r="A920" s="7" t="s">
        <v>946</v>
      </c>
      <c r="B920" s="7" t="s">
        <v>14</v>
      </c>
      <c r="C920" s="7" t="s">
        <v>929</v>
      </c>
      <c r="D920" s="7" t="s">
        <v>930</v>
      </c>
      <c r="E920" s="7" t="s">
        <v>44</v>
      </c>
      <c r="F920" s="8" t="n">
        <v>0</v>
      </c>
      <c r="G920" s="9" t="n">
        <v>0</v>
      </c>
      <c r="H920" s="9" t="n">
        <v>0</v>
      </c>
      <c r="I920" s="9" t="n">
        <v>0</v>
      </c>
      <c r="J920" s="7" t="s">
        <v>18</v>
      </c>
      <c r="K920" s="7" t="s">
        <v>19</v>
      </c>
      <c r="L920" s="7" t="s">
        <v>20</v>
      </c>
    </row>
    <row r="921" customFormat="false" ht="22.35" hidden="false" customHeight="false" outlineLevel="0" collapsed="false">
      <c r="A921" s="4" t="s">
        <v>947</v>
      </c>
      <c r="B921" s="4" t="s">
        <v>14</v>
      </c>
      <c r="C921" s="4" t="s">
        <v>929</v>
      </c>
      <c r="D921" s="4" t="s">
        <v>930</v>
      </c>
      <c r="E921" s="4" t="s">
        <v>44</v>
      </c>
      <c r="F921" s="5" t="n">
        <v>0</v>
      </c>
      <c r="G921" s="6" t="n">
        <v>0</v>
      </c>
      <c r="H921" s="6" t="n">
        <v>0</v>
      </c>
      <c r="I921" s="6" t="n">
        <v>0</v>
      </c>
      <c r="J921" s="4" t="s">
        <v>18</v>
      </c>
      <c r="K921" s="4" t="s">
        <v>19</v>
      </c>
      <c r="L921" s="4" t="s">
        <v>20</v>
      </c>
    </row>
    <row r="922" customFormat="false" ht="22.35" hidden="false" customHeight="false" outlineLevel="0" collapsed="false">
      <c r="A922" s="7" t="s">
        <v>948</v>
      </c>
      <c r="B922" s="7" t="s">
        <v>14</v>
      </c>
      <c r="C922" s="7" t="s">
        <v>929</v>
      </c>
      <c r="D922" s="7" t="s">
        <v>930</v>
      </c>
      <c r="E922" s="7" t="s">
        <v>44</v>
      </c>
      <c r="F922" s="8" t="n">
        <v>0</v>
      </c>
      <c r="G922" s="9" t="n">
        <v>0</v>
      </c>
      <c r="H922" s="9" t="n">
        <v>0</v>
      </c>
      <c r="I922" s="9" t="n">
        <v>0</v>
      </c>
      <c r="J922" s="7" t="s">
        <v>18</v>
      </c>
      <c r="K922" s="7" t="s">
        <v>19</v>
      </c>
      <c r="L922" s="7" t="s">
        <v>20</v>
      </c>
    </row>
    <row r="923" customFormat="false" ht="22.35" hidden="false" customHeight="false" outlineLevel="0" collapsed="false">
      <c r="A923" s="4" t="s">
        <v>949</v>
      </c>
      <c r="B923" s="4" t="s">
        <v>14</v>
      </c>
      <c r="C923" s="4" t="s">
        <v>929</v>
      </c>
      <c r="D923" s="4" t="s">
        <v>930</v>
      </c>
      <c r="E923" s="4" t="s">
        <v>44</v>
      </c>
      <c r="F923" s="5" t="n">
        <v>0</v>
      </c>
      <c r="G923" s="6" t="n">
        <v>0</v>
      </c>
      <c r="H923" s="6" t="n">
        <v>0</v>
      </c>
      <c r="I923" s="6" t="n">
        <v>0</v>
      </c>
      <c r="J923" s="4" t="s">
        <v>18</v>
      </c>
      <c r="K923" s="4" t="s">
        <v>19</v>
      </c>
      <c r="L923" s="4" t="s">
        <v>20</v>
      </c>
    </row>
    <row r="924" customFormat="false" ht="22.35" hidden="false" customHeight="false" outlineLevel="0" collapsed="false">
      <c r="A924" s="7" t="s">
        <v>950</v>
      </c>
      <c r="B924" s="7" t="s">
        <v>14</v>
      </c>
      <c r="C924" s="7" t="s">
        <v>929</v>
      </c>
      <c r="D924" s="7" t="s">
        <v>930</v>
      </c>
      <c r="E924" s="7" t="s">
        <v>44</v>
      </c>
      <c r="F924" s="8" t="n">
        <v>0</v>
      </c>
      <c r="G924" s="9" t="n">
        <v>0</v>
      </c>
      <c r="H924" s="9" t="n">
        <v>0</v>
      </c>
      <c r="I924" s="9" t="n">
        <v>0</v>
      </c>
      <c r="J924" s="7" t="s">
        <v>18</v>
      </c>
      <c r="K924" s="7" t="s">
        <v>19</v>
      </c>
      <c r="L924" s="7" t="s">
        <v>20</v>
      </c>
    </row>
    <row r="925" customFormat="false" ht="22.35" hidden="false" customHeight="false" outlineLevel="0" collapsed="false">
      <c r="A925" s="4" t="s">
        <v>951</v>
      </c>
      <c r="B925" s="4" t="s">
        <v>14</v>
      </c>
      <c r="C925" s="4" t="s">
        <v>929</v>
      </c>
      <c r="D925" s="4" t="s">
        <v>930</v>
      </c>
      <c r="E925" s="4" t="s">
        <v>44</v>
      </c>
      <c r="F925" s="5" t="n">
        <v>0</v>
      </c>
      <c r="G925" s="6" t="n">
        <v>0</v>
      </c>
      <c r="H925" s="6" t="n">
        <v>0</v>
      </c>
      <c r="I925" s="6" t="n">
        <v>0</v>
      </c>
      <c r="J925" s="4" t="s">
        <v>18</v>
      </c>
      <c r="K925" s="4" t="s">
        <v>19</v>
      </c>
      <c r="L925" s="4" t="s">
        <v>20</v>
      </c>
    </row>
    <row r="926" customFormat="false" ht="22.35" hidden="false" customHeight="false" outlineLevel="0" collapsed="false">
      <c r="A926" s="7" t="s">
        <v>952</v>
      </c>
      <c r="B926" s="7" t="s">
        <v>14</v>
      </c>
      <c r="C926" s="7" t="s">
        <v>929</v>
      </c>
      <c r="D926" s="7" t="s">
        <v>930</v>
      </c>
      <c r="E926" s="7" t="s">
        <v>44</v>
      </c>
      <c r="F926" s="8" t="n">
        <v>0</v>
      </c>
      <c r="G926" s="9" t="n">
        <v>0</v>
      </c>
      <c r="H926" s="9" t="n">
        <v>0</v>
      </c>
      <c r="I926" s="9" t="n">
        <v>0</v>
      </c>
      <c r="J926" s="7" t="s">
        <v>18</v>
      </c>
      <c r="K926" s="7" t="s">
        <v>19</v>
      </c>
      <c r="L926" s="7" t="s">
        <v>20</v>
      </c>
    </row>
    <row r="927" customFormat="false" ht="22.35" hidden="false" customHeight="false" outlineLevel="0" collapsed="false">
      <c r="A927" s="4" t="s">
        <v>953</v>
      </c>
      <c r="B927" s="4" t="s">
        <v>14</v>
      </c>
      <c r="C927" s="4" t="s">
        <v>929</v>
      </c>
      <c r="D927" s="4" t="s">
        <v>930</v>
      </c>
      <c r="E927" s="4" t="s">
        <v>44</v>
      </c>
      <c r="F927" s="5" t="n">
        <v>0</v>
      </c>
      <c r="G927" s="6" t="n">
        <v>0</v>
      </c>
      <c r="H927" s="6" t="n">
        <v>0</v>
      </c>
      <c r="I927" s="6" t="n">
        <v>0</v>
      </c>
      <c r="J927" s="4" t="s">
        <v>18</v>
      </c>
      <c r="K927" s="4" t="s">
        <v>19</v>
      </c>
      <c r="L927" s="4" t="s">
        <v>20</v>
      </c>
    </row>
    <row r="928" customFormat="false" ht="22.35" hidden="false" customHeight="false" outlineLevel="0" collapsed="false">
      <c r="A928" s="7" t="s">
        <v>954</v>
      </c>
      <c r="B928" s="7" t="s">
        <v>14</v>
      </c>
      <c r="C928" s="7" t="s">
        <v>929</v>
      </c>
      <c r="D928" s="7" t="s">
        <v>930</v>
      </c>
      <c r="E928" s="7" t="s">
        <v>44</v>
      </c>
      <c r="F928" s="8" t="n">
        <v>0</v>
      </c>
      <c r="G928" s="9" t="n">
        <v>0</v>
      </c>
      <c r="H928" s="9" t="n">
        <v>0</v>
      </c>
      <c r="I928" s="9" t="n">
        <v>0</v>
      </c>
      <c r="J928" s="7" t="s">
        <v>18</v>
      </c>
      <c r="K928" s="7" t="s">
        <v>19</v>
      </c>
      <c r="L928" s="7" t="s">
        <v>20</v>
      </c>
    </row>
    <row r="929" customFormat="false" ht="22.35" hidden="false" customHeight="false" outlineLevel="0" collapsed="false">
      <c r="A929" s="4" t="s">
        <v>955</v>
      </c>
      <c r="B929" s="4" t="s">
        <v>14</v>
      </c>
      <c r="C929" s="4" t="s">
        <v>929</v>
      </c>
      <c r="D929" s="4" t="s">
        <v>930</v>
      </c>
      <c r="E929" s="4" t="s">
        <v>44</v>
      </c>
      <c r="F929" s="5" t="n">
        <v>0</v>
      </c>
      <c r="G929" s="6" t="n">
        <v>0</v>
      </c>
      <c r="H929" s="6" t="n">
        <v>0</v>
      </c>
      <c r="I929" s="6" t="n">
        <v>0</v>
      </c>
      <c r="J929" s="4" t="s">
        <v>18</v>
      </c>
      <c r="K929" s="4" t="s">
        <v>19</v>
      </c>
      <c r="L929" s="4" t="s">
        <v>20</v>
      </c>
    </row>
    <row r="930" customFormat="false" ht="22.35" hidden="false" customHeight="false" outlineLevel="0" collapsed="false">
      <c r="A930" s="7" t="s">
        <v>956</v>
      </c>
      <c r="B930" s="7" t="s">
        <v>14</v>
      </c>
      <c r="C930" s="7" t="s">
        <v>929</v>
      </c>
      <c r="D930" s="7" t="s">
        <v>930</v>
      </c>
      <c r="E930" s="7" t="s">
        <v>44</v>
      </c>
      <c r="F930" s="8" t="n">
        <v>0</v>
      </c>
      <c r="G930" s="9" t="n">
        <v>0</v>
      </c>
      <c r="H930" s="9" t="n">
        <v>0</v>
      </c>
      <c r="I930" s="9" t="n">
        <v>0</v>
      </c>
      <c r="J930" s="7" t="s">
        <v>18</v>
      </c>
      <c r="K930" s="7" t="s">
        <v>19</v>
      </c>
      <c r="L930" s="7" t="s">
        <v>20</v>
      </c>
    </row>
    <row r="931" customFormat="false" ht="22.35" hidden="false" customHeight="false" outlineLevel="0" collapsed="false">
      <c r="A931" s="4" t="s">
        <v>957</v>
      </c>
      <c r="B931" s="4" t="s">
        <v>14</v>
      </c>
      <c r="C931" s="4" t="s">
        <v>929</v>
      </c>
      <c r="D931" s="4" t="s">
        <v>930</v>
      </c>
      <c r="E931" s="4" t="s">
        <v>44</v>
      </c>
      <c r="F931" s="5" t="n">
        <v>0</v>
      </c>
      <c r="G931" s="6" t="n">
        <v>0</v>
      </c>
      <c r="H931" s="6" t="n">
        <v>0</v>
      </c>
      <c r="I931" s="6" t="n">
        <v>0</v>
      </c>
      <c r="J931" s="4" t="s">
        <v>18</v>
      </c>
      <c r="K931" s="4" t="s">
        <v>19</v>
      </c>
      <c r="L931" s="4" t="s">
        <v>20</v>
      </c>
    </row>
    <row r="932" customFormat="false" ht="22.35" hidden="false" customHeight="false" outlineLevel="0" collapsed="false">
      <c r="A932" s="7" t="s">
        <v>958</v>
      </c>
      <c r="B932" s="7" t="s">
        <v>14</v>
      </c>
      <c r="C932" s="7" t="s">
        <v>929</v>
      </c>
      <c r="D932" s="7" t="s">
        <v>930</v>
      </c>
      <c r="E932" s="7" t="s">
        <v>44</v>
      </c>
      <c r="F932" s="8" t="n">
        <v>0</v>
      </c>
      <c r="G932" s="9" t="n">
        <v>0</v>
      </c>
      <c r="H932" s="9" t="n">
        <v>0</v>
      </c>
      <c r="I932" s="9" t="n">
        <v>0</v>
      </c>
      <c r="J932" s="7" t="s">
        <v>18</v>
      </c>
      <c r="K932" s="7" t="s">
        <v>19</v>
      </c>
      <c r="L932" s="7" t="s">
        <v>20</v>
      </c>
    </row>
    <row r="933" customFormat="false" ht="22.35" hidden="false" customHeight="false" outlineLevel="0" collapsed="false">
      <c r="A933" s="4" t="s">
        <v>959</v>
      </c>
      <c r="B933" s="4" t="s">
        <v>14</v>
      </c>
      <c r="C933" s="4" t="s">
        <v>929</v>
      </c>
      <c r="D933" s="4" t="s">
        <v>930</v>
      </c>
      <c r="E933" s="4" t="s">
        <v>44</v>
      </c>
      <c r="F933" s="5" t="n">
        <v>0</v>
      </c>
      <c r="G933" s="6" t="n">
        <v>0</v>
      </c>
      <c r="H933" s="6" t="n">
        <v>0</v>
      </c>
      <c r="I933" s="6" t="n">
        <v>0</v>
      </c>
      <c r="J933" s="4" t="s">
        <v>18</v>
      </c>
      <c r="K933" s="4" t="s">
        <v>19</v>
      </c>
      <c r="L933" s="4" t="s">
        <v>20</v>
      </c>
    </row>
    <row r="934" customFormat="false" ht="22.35" hidden="false" customHeight="false" outlineLevel="0" collapsed="false">
      <c r="A934" s="7" t="s">
        <v>960</v>
      </c>
      <c r="B934" s="7" t="s">
        <v>14</v>
      </c>
      <c r="C934" s="7" t="s">
        <v>929</v>
      </c>
      <c r="D934" s="7" t="s">
        <v>930</v>
      </c>
      <c r="E934" s="7" t="s">
        <v>44</v>
      </c>
      <c r="F934" s="8" t="n">
        <v>0</v>
      </c>
      <c r="G934" s="9" t="n">
        <v>0</v>
      </c>
      <c r="H934" s="9" t="n">
        <v>0</v>
      </c>
      <c r="I934" s="9" t="n">
        <v>0</v>
      </c>
      <c r="J934" s="7" t="s">
        <v>18</v>
      </c>
      <c r="K934" s="7" t="s">
        <v>19</v>
      </c>
      <c r="L934" s="7" t="s">
        <v>20</v>
      </c>
    </row>
    <row r="935" customFormat="false" ht="22.35" hidden="false" customHeight="false" outlineLevel="0" collapsed="false">
      <c r="A935" s="4" t="s">
        <v>961</v>
      </c>
      <c r="B935" s="4" t="s">
        <v>14</v>
      </c>
      <c r="C935" s="4" t="s">
        <v>929</v>
      </c>
      <c r="D935" s="4" t="s">
        <v>930</v>
      </c>
      <c r="E935" s="4" t="s">
        <v>44</v>
      </c>
      <c r="F935" s="5" t="n">
        <v>0</v>
      </c>
      <c r="G935" s="6" t="n">
        <v>0</v>
      </c>
      <c r="H935" s="6" t="n">
        <v>0</v>
      </c>
      <c r="I935" s="6" t="n">
        <v>0</v>
      </c>
      <c r="J935" s="4" t="s">
        <v>18</v>
      </c>
      <c r="K935" s="4" t="s">
        <v>19</v>
      </c>
      <c r="L935" s="4" t="s">
        <v>20</v>
      </c>
    </row>
    <row r="936" customFormat="false" ht="22.35" hidden="false" customHeight="false" outlineLevel="0" collapsed="false">
      <c r="A936" s="7" t="s">
        <v>962</v>
      </c>
      <c r="B936" s="7" t="s">
        <v>14</v>
      </c>
      <c r="C936" s="7" t="s">
        <v>929</v>
      </c>
      <c r="D936" s="7" t="s">
        <v>930</v>
      </c>
      <c r="E936" s="7" t="s">
        <v>44</v>
      </c>
      <c r="F936" s="8" t="n">
        <v>0</v>
      </c>
      <c r="G936" s="9" t="n">
        <v>0</v>
      </c>
      <c r="H936" s="9" t="n">
        <v>0</v>
      </c>
      <c r="I936" s="9" t="n">
        <v>0</v>
      </c>
      <c r="J936" s="7" t="s">
        <v>18</v>
      </c>
      <c r="K936" s="7" t="s">
        <v>19</v>
      </c>
      <c r="L936" s="7" t="s">
        <v>20</v>
      </c>
    </row>
    <row r="937" customFormat="false" ht="22.35" hidden="false" customHeight="false" outlineLevel="0" collapsed="false">
      <c r="A937" s="4" t="s">
        <v>963</v>
      </c>
      <c r="B937" s="4" t="s">
        <v>14</v>
      </c>
      <c r="C937" s="4" t="s">
        <v>929</v>
      </c>
      <c r="D937" s="4" t="s">
        <v>930</v>
      </c>
      <c r="E937" s="4" t="s">
        <v>44</v>
      </c>
      <c r="F937" s="5" t="n">
        <v>0</v>
      </c>
      <c r="G937" s="6" t="n">
        <v>0</v>
      </c>
      <c r="H937" s="6" t="n">
        <v>0</v>
      </c>
      <c r="I937" s="6" t="n">
        <v>0</v>
      </c>
      <c r="J937" s="4" t="s">
        <v>18</v>
      </c>
      <c r="K937" s="4" t="s">
        <v>19</v>
      </c>
      <c r="L937" s="4" t="s">
        <v>20</v>
      </c>
    </row>
    <row r="938" customFormat="false" ht="22.35" hidden="false" customHeight="false" outlineLevel="0" collapsed="false">
      <c r="A938" s="7" t="s">
        <v>964</v>
      </c>
      <c r="B938" s="7" t="s">
        <v>14</v>
      </c>
      <c r="C938" s="7" t="s">
        <v>929</v>
      </c>
      <c r="D938" s="7" t="s">
        <v>930</v>
      </c>
      <c r="E938" s="7" t="s">
        <v>44</v>
      </c>
      <c r="F938" s="8" t="n">
        <v>0</v>
      </c>
      <c r="G938" s="9" t="n">
        <v>0</v>
      </c>
      <c r="H938" s="9" t="n">
        <v>0</v>
      </c>
      <c r="I938" s="9" t="n">
        <v>0</v>
      </c>
      <c r="J938" s="7" t="s">
        <v>18</v>
      </c>
      <c r="K938" s="7" t="s">
        <v>19</v>
      </c>
      <c r="L938" s="7" t="s">
        <v>20</v>
      </c>
    </row>
    <row r="939" customFormat="false" ht="22.35" hidden="false" customHeight="false" outlineLevel="0" collapsed="false">
      <c r="A939" s="4" t="s">
        <v>965</v>
      </c>
      <c r="B939" s="4" t="s">
        <v>14</v>
      </c>
      <c r="C939" s="4" t="s">
        <v>929</v>
      </c>
      <c r="D939" s="4" t="s">
        <v>930</v>
      </c>
      <c r="E939" s="4" t="s">
        <v>44</v>
      </c>
      <c r="F939" s="5" t="n">
        <v>0</v>
      </c>
      <c r="G939" s="6" t="n">
        <v>0</v>
      </c>
      <c r="H939" s="6" t="n">
        <v>0</v>
      </c>
      <c r="I939" s="6" t="n">
        <v>0</v>
      </c>
      <c r="J939" s="4" t="s">
        <v>18</v>
      </c>
      <c r="K939" s="4" t="s">
        <v>19</v>
      </c>
      <c r="L939" s="4" t="s">
        <v>20</v>
      </c>
    </row>
    <row r="940" customFormat="false" ht="22.35" hidden="false" customHeight="false" outlineLevel="0" collapsed="false">
      <c r="A940" s="7" t="s">
        <v>966</v>
      </c>
      <c r="B940" s="7" t="s">
        <v>14</v>
      </c>
      <c r="C940" s="7" t="s">
        <v>929</v>
      </c>
      <c r="D940" s="7" t="s">
        <v>930</v>
      </c>
      <c r="E940" s="7" t="s">
        <v>44</v>
      </c>
      <c r="F940" s="8" t="n">
        <v>0</v>
      </c>
      <c r="G940" s="9" t="n">
        <v>0</v>
      </c>
      <c r="H940" s="9" t="n">
        <v>0</v>
      </c>
      <c r="I940" s="9" t="n">
        <v>0</v>
      </c>
      <c r="J940" s="7" t="s">
        <v>18</v>
      </c>
      <c r="K940" s="7" t="s">
        <v>19</v>
      </c>
      <c r="L940" s="7" t="s">
        <v>20</v>
      </c>
    </row>
    <row r="941" customFormat="false" ht="22.35" hidden="false" customHeight="false" outlineLevel="0" collapsed="false">
      <c r="A941" s="4" t="s">
        <v>967</v>
      </c>
      <c r="B941" s="4" t="s">
        <v>14</v>
      </c>
      <c r="C941" s="4" t="s">
        <v>929</v>
      </c>
      <c r="D941" s="4" t="s">
        <v>930</v>
      </c>
      <c r="E941" s="4" t="s">
        <v>44</v>
      </c>
      <c r="F941" s="5" t="n">
        <v>0</v>
      </c>
      <c r="G941" s="6" t="n">
        <v>0</v>
      </c>
      <c r="H941" s="6" t="n">
        <v>0</v>
      </c>
      <c r="I941" s="6" t="n">
        <v>0</v>
      </c>
      <c r="J941" s="4" t="s">
        <v>18</v>
      </c>
      <c r="K941" s="4" t="s">
        <v>19</v>
      </c>
      <c r="L941" s="4" t="s">
        <v>20</v>
      </c>
    </row>
    <row r="942" customFormat="false" ht="22.35" hidden="false" customHeight="false" outlineLevel="0" collapsed="false">
      <c r="A942" s="7" t="s">
        <v>968</v>
      </c>
      <c r="B942" s="7" t="s">
        <v>14</v>
      </c>
      <c r="C942" s="7" t="s">
        <v>929</v>
      </c>
      <c r="D942" s="7" t="s">
        <v>930</v>
      </c>
      <c r="E942" s="7" t="s">
        <v>44</v>
      </c>
      <c r="F942" s="8" t="n">
        <v>0</v>
      </c>
      <c r="G942" s="9" t="n">
        <v>0</v>
      </c>
      <c r="H942" s="9" t="n">
        <v>0</v>
      </c>
      <c r="I942" s="9" t="n">
        <v>0</v>
      </c>
      <c r="J942" s="7" t="s">
        <v>18</v>
      </c>
      <c r="K942" s="7" t="s">
        <v>19</v>
      </c>
      <c r="L942" s="7" t="s">
        <v>20</v>
      </c>
    </row>
    <row r="943" customFormat="false" ht="22.35" hidden="false" customHeight="false" outlineLevel="0" collapsed="false">
      <c r="A943" s="4" t="s">
        <v>969</v>
      </c>
      <c r="B943" s="4" t="s">
        <v>14</v>
      </c>
      <c r="C943" s="4" t="s">
        <v>929</v>
      </c>
      <c r="D943" s="4" t="s">
        <v>930</v>
      </c>
      <c r="E943" s="4" t="s">
        <v>44</v>
      </c>
      <c r="F943" s="5" t="n">
        <v>0</v>
      </c>
      <c r="G943" s="6" t="n">
        <v>0</v>
      </c>
      <c r="H943" s="6" t="n">
        <v>0</v>
      </c>
      <c r="I943" s="6" t="n">
        <v>0</v>
      </c>
      <c r="J943" s="4" t="s">
        <v>18</v>
      </c>
      <c r="K943" s="4" t="s">
        <v>19</v>
      </c>
      <c r="L943" s="4" t="s">
        <v>20</v>
      </c>
    </row>
    <row r="944" customFormat="false" ht="22.35" hidden="false" customHeight="false" outlineLevel="0" collapsed="false">
      <c r="A944" s="7" t="s">
        <v>970</v>
      </c>
      <c r="B944" s="7" t="s">
        <v>14</v>
      </c>
      <c r="C944" s="7" t="s">
        <v>929</v>
      </c>
      <c r="D944" s="7" t="s">
        <v>930</v>
      </c>
      <c r="E944" s="7" t="s">
        <v>44</v>
      </c>
      <c r="F944" s="8" t="n">
        <v>0</v>
      </c>
      <c r="G944" s="9" t="n">
        <v>0</v>
      </c>
      <c r="H944" s="9" t="n">
        <v>0</v>
      </c>
      <c r="I944" s="9" t="n">
        <v>0</v>
      </c>
      <c r="J944" s="7" t="s">
        <v>18</v>
      </c>
      <c r="K944" s="7" t="s">
        <v>19</v>
      </c>
      <c r="L944" s="7" t="s">
        <v>20</v>
      </c>
    </row>
    <row r="945" customFormat="false" ht="22.35" hidden="false" customHeight="false" outlineLevel="0" collapsed="false">
      <c r="A945" s="4" t="s">
        <v>971</v>
      </c>
      <c r="B945" s="4" t="s">
        <v>14</v>
      </c>
      <c r="C945" s="4" t="s">
        <v>929</v>
      </c>
      <c r="D945" s="4" t="s">
        <v>930</v>
      </c>
      <c r="E945" s="4" t="s">
        <v>44</v>
      </c>
      <c r="F945" s="5" t="n">
        <v>0</v>
      </c>
      <c r="G945" s="6" t="n">
        <v>0</v>
      </c>
      <c r="H945" s="6" t="n">
        <v>0</v>
      </c>
      <c r="I945" s="6" t="n">
        <v>0</v>
      </c>
      <c r="J945" s="4" t="s">
        <v>18</v>
      </c>
      <c r="K945" s="4" t="s">
        <v>19</v>
      </c>
      <c r="L945" s="4" t="s">
        <v>20</v>
      </c>
    </row>
    <row r="946" customFormat="false" ht="22.35" hidden="false" customHeight="false" outlineLevel="0" collapsed="false">
      <c r="A946" s="7" t="s">
        <v>972</v>
      </c>
      <c r="B946" s="7" t="s">
        <v>14</v>
      </c>
      <c r="C946" s="7" t="s">
        <v>929</v>
      </c>
      <c r="D946" s="7" t="s">
        <v>930</v>
      </c>
      <c r="E946" s="7" t="s">
        <v>44</v>
      </c>
      <c r="F946" s="8" t="n">
        <v>0</v>
      </c>
      <c r="G946" s="9" t="n">
        <v>0</v>
      </c>
      <c r="H946" s="9" t="n">
        <v>0</v>
      </c>
      <c r="I946" s="9" t="n">
        <v>0</v>
      </c>
      <c r="J946" s="7" t="s">
        <v>18</v>
      </c>
      <c r="K946" s="7" t="s">
        <v>19</v>
      </c>
      <c r="L946" s="7" t="s">
        <v>20</v>
      </c>
    </row>
    <row r="947" customFormat="false" ht="22.35" hidden="false" customHeight="false" outlineLevel="0" collapsed="false">
      <c r="A947" s="4" t="s">
        <v>973</v>
      </c>
      <c r="B947" s="4" t="s">
        <v>14</v>
      </c>
      <c r="C947" s="4" t="s">
        <v>929</v>
      </c>
      <c r="D947" s="4" t="s">
        <v>930</v>
      </c>
      <c r="E947" s="4" t="s">
        <v>44</v>
      </c>
      <c r="F947" s="5" t="n">
        <v>0</v>
      </c>
      <c r="G947" s="6" t="n">
        <v>0</v>
      </c>
      <c r="H947" s="6" t="n">
        <v>0</v>
      </c>
      <c r="I947" s="6" t="n">
        <v>0</v>
      </c>
      <c r="J947" s="4" t="s">
        <v>18</v>
      </c>
      <c r="K947" s="4" t="s">
        <v>19</v>
      </c>
      <c r="L947" s="4" t="s">
        <v>20</v>
      </c>
    </row>
    <row r="948" customFormat="false" ht="22.35" hidden="false" customHeight="false" outlineLevel="0" collapsed="false">
      <c r="A948" s="7" t="s">
        <v>974</v>
      </c>
      <c r="B948" s="7" t="s">
        <v>14</v>
      </c>
      <c r="C948" s="7" t="s">
        <v>929</v>
      </c>
      <c r="D948" s="7" t="s">
        <v>930</v>
      </c>
      <c r="E948" s="7" t="s">
        <v>44</v>
      </c>
      <c r="F948" s="8" t="n">
        <v>0</v>
      </c>
      <c r="G948" s="9" t="n">
        <v>0</v>
      </c>
      <c r="H948" s="9" t="n">
        <v>0</v>
      </c>
      <c r="I948" s="9" t="n">
        <v>0</v>
      </c>
      <c r="J948" s="7" t="s">
        <v>18</v>
      </c>
      <c r="K948" s="7" t="s">
        <v>19</v>
      </c>
      <c r="L948" s="7" t="s">
        <v>20</v>
      </c>
    </row>
    <row r="949" customFormat="false" ht="22.35" hidden="false" customHeight="false" outlineLevel="0" collapsed="false">
      <c r="A949" s="4" t="s">
        <v>975</v>
      </c>
      <c r="B949" s="4" t="s">
        <v>14</v>
      </c>
      <c r="C949" s="4" t="s">
        <v>929</v>
      </c>
      <c r="D949" s="4" t="s">
        <v>930</v>
      </c>
      <c r="E949" s="4" t="s">
        <v>44</v>
      </c>
      <c r="F949" s="5" t="n">
        <v>0</v>
      </c>
      <c r="G949" s="6" t="n">
        <v>0</v>
      </c>
      <c r="H949" s="6" t="n">
        <v>0</v>
      </c>
      <c r="I949" s="6" t="n">
        <v>0</v>
      </c>
      <c r="J949" s="4" t="s">
        <v>18</v>
      </c>
      <c r="K949" s="4" t="s">
        <v>19</v>
      </c>
      <c r="L949" s="4" t="s">
        <v>20</v>
      </c>
    </row>
    <row r="950" customFormat="false" ht="22.35" hidden="false" customHeight="false" outlineLevel="0" collapsed="false">
      <c r="A950" s="7" t="s">
        <v>976</v>
      </c>
      <c r="B950" s="7" t="s">
        <v>14</v>
      </c>
      <c r="C950" s="7" t="s">
        <v>929</v>
      </c>
      <c r="D950" s="7" t="s">
        <v>930</v>
      </c>
      <c r="E950" s="7" t="s">
        <v>44</v>
      </c>
      <c r="F950" s="8" t="n">
        <v>0</v>
      </c>
      <c r="G950" s="9" t="n">
        <v>0</v>
      </c>
      <c r="H950" s="9" t="n">
        <v>0</v>
      </c>
      <c r="I950" s="9" t="n">
        <v>0</v>
      </c>
      <c r="J950" s="7" t="s">
        <v>18</v>
      </c>
      <c r="K950" s="7" t="s">
        <v>19</v>
      </c>
      <c r="L950" s="7" t="s">
        <v>20</v>
      </c>
    </row>
    <row r="951" customFormat="false" ht="22.35" hidden="false" customHeight="false" outlineLevel="0" collapsed="false">
      <c r="A951" s="4" t="s">
        <v>977</v>
      </c>
      <c r="B951" s="4" t="s">
        <v>14</v>
      </c>
      <c r="C951" s="4" t="s">
        <v>929</v>
      </c>
      <c r="D951" s="4" t="s">
        <v>930</v>
      </c>
      <c r="E951" s="4" t="s">
        <v>44</v>
      </c>
      <c r="F951" s="5" t="n">
        <v>0</v>
      </c>
      <c r="G951" s="6" t="n">
        <v>0</v>
      </c>
      <c r="H951" s="6" t="n">
        <v>0</v>
      </c>
      <c r="I951" s="6" t="n">
        <v>0</v>
      </c>
      <c r="J951" s="4" t="s">
        <v>18</v>
      </c>
      <c r="K951" s="4" t="s">
        <v>19</v>
      </c>
      <c r="L951" s="4" t="s">
        <v>20</v>
      </c>
    </row>
    <row r="952" customFormat="false" ht="22.35" hidden="false" customHeight="false" outlineLevel="0" collapsed="false">
      <c r="A952" s="7" t="s">
        <v>978</v>
      </c>
      <c r="B952" s="7" t="s">
        <v>14</v>
      </c>
      <c r="C952" s="7" t="s">
        <v>929</v>
      </c>
      <c r="D952" s="7" t="s">
        <v>930</v>
      </c>
      <c r="E952" s="7" t="s">
        <v>44</v>
      </c>
      <c r="F952" s="8" t="n">
        <v>0</v>
      </c>
      <c r="G952" s="9" t="n">
        <v>0</v>
      </c>
      <c r="H952" s="9" t="n">
        <v>0</v>
      </c>
      <c r="I952" s="9" t="n">
        <v>0</v>
      </c>
      <c r="J952" s="7" t="s">
        <v>18</v>
      </c>
      <c r="K952" s="7" t="s">
        <v>19</v>
      </c>
      <c r="L952" s="7" t="s">
        <v>20</v>
      </c>
    </row>
    <row r="953" customFormat="false" ht="22.35" hidden="false" customHeight="false" outlineLevel="0" collapsed="false">
      <c r="A953" s="4" t="s">
        <v>979</v>
      </c>
      <c r="B953" s="4" t="s">
        <v>14</v>
      </c>
      <c r="C953" s="4" t="s">
        <v>929</v>
      </c>
      <c r="D953" s="4" t="s">
        <v>930</v>
      </c>
      <c r="E953" s="4" t="s">
        <v>44</v>
      </c>
      <c r="F953" s="5" t="n">
        <v>0</v>
      </c>
      <c r="G953" s="6" t="n">
        <v>0</v>
      </c>
      <c r="H953" s="6" t="n">
        <v>0</v>
      </c>
      <c r="I953" s="6" t="n">
        <v>0</v>
      </c>
      <c r="J953" s="4" t="s">
        <v>18</v>
      </c>
      <c r="K953" s="4" t="s">
        <v>19</v>
      </c>
      <c r="L953" s="4" t="s">
        <v>20</v>
      </c>
    </row>
    <row r="954" customFormat="false" ht="22.35" hidden="false" customHeight="false" outlineLevel="0" collapsed="false">
      <c r="A954" s="7" t="s">
        <v>980</v>
      </c>
      <c r="B954" s="7" t="s">
        <v>14</v>
      </c>
      <c r="C954" s="7" t="s">
        <v>929</v>
      </c>
      <c r="D954" s="7" t="s">
        <v>930</v>
      </c>
      <c r="E954" s="7" t="s">
        <v>44</v>
      </c>
      <c r="F954" s="8" t="n">
        <v>0</v>
      </c>
      <c r="G954" s="9" t="n">
        <v>0</v>
      </c>
      <c r="H954" s="9" t="n">
        <v>0</v>
      </c>
      <c r="I954" s="9" t="n">
        <v>0</v>
      </c>
      <c r="J954" s="7" t="s">
        <v>18</v>
      </c>
      <c r="K954" s="7" t="s">
        <v>19</v>
      </c>
      <c r="L954" s="7" t="s">
        <v>20</v>
      </c>
    </row>
    <row r="955" customFormat="false" ht="22.35" hidden="false" customHeight="false" outlineLevel="0" collapsed="false">
      <c r="A955" s="4" t="s">
        <v>981</v>
      </c>
      <c r="B955" s="4" t="s">
        <v>14</v>
      </c>
      <c r="C955" s="4" t="s">
        <v>929</v>
      </c>
      <c r="D955" s="4" t="s">
        <v>930</v>
      </c>
      <c r="E955" s="4" t="s">
        <v>44</v>
      </c>
      <c r="F955" s="5" t="n">
        <v>0</v>
      </c>
      <c r="G955" s="6" t="n">
        <v>0</v>
      </c>
      <c r="H955" s="6" t="n">
        <v>0</v>
      </c>
      <c r="I955" s="6" t="n">
        <v>0</v>
      </c>
      <c r="J955" s="4" t="s">
        <v>18</v>
      </c>
      <c r="K955" s="4" t="s">
        <v>19</v>
      </c>
      <c r="L955" s="4" t="s">
        <v>20</v>
      </c>
    </row>
    <row r="956" customFormat="false" ht="22.35" hidden="false" customHeight="false" outlineLevel="0" collapsed="false">
      <c r="A956" s="7" t="s">
        <v>982</v>
      </c>
      <c r="B956" s="7" t="s">
        <v>14</v>
      </c>
      <c r="C956" s="7" t="s">
        <v>929</v>
      </c>
      <c r="D956" s="7" t="s">
        <v>930</v>
      </c>
      <c r="E956" s="7" t="s">
        <v>44</v>
      </c>
      <c r="F956" s="8" t="n">
        <v>0</v>
      </c>
      <c r="G956" s="9" t="n">
        <v>0</v>
      </c>
      <c r="H956" s="9" t="n">
        <v>0</v>
      </c>
      <c r="I956" s="9" t="n">
        <v>0</v>
      </c>
      <c r="J956" s="7" t="s">
        <v>18</v>
      </c>
      <c r="K956" s="7" t="s">
        <v>19</v>
      </c>
      <c r="L956" s="7" t="s">
        <v>20</v>
      </c>
    </row>
    <row r="957" customFormat="false" ht="22.35" hidden="false" customHeight="false" outlineLevel="0" collapsed="false">
      <c r="A957" s="4" t="s">
        <v>983</v>
      </c>
      <c r="B957" s="4" t="s">
        <v>14</v>
      </c>
      <c r="C957" s="4" t="s">
        <v>929</v>
      </c>
      <c r="D957" s="4" t="s">
        <v>930</v>
      </c>
      <c r="E957" s="4" t="s">
        <v>44</v>
      </c>
      <c r="F957" s="5" t="n">
        <v>0</v>
      </c>
      <c r="G957" s="6" t="n">
        <v>0</v>
      </c>
      <c r="H957" s="6" t="n">
        <v>0</v>
      </c>
      <c r="I957" s="6" t="n">
        <v>0</v>
      </c>
      <c r="J957" s="4" t="s">
        <v>18</v>
      </c>
      <c r="K957" s="4" t="s">
        <v>19</v>
      </c>
      <c r="L957" s="4" t="s">
        <v>20</v>
      </c>
    </row>
    <row r="958" customFormat="false" ht="22.35" hidden="false" customHeight="false" outlineLevel="0" collapsed="false">
      <c r="A958" s="7" t="s">
        <v>984</v>
      </c>
      <c r="B958" s="7" t="s">
        <v>14</v>
      </c>
      <c r="C958" s="7" t="s">
        <v>929</v>
      </c>
      <c r="D958" s="7" t="s">
        <v>930</v>
      </c>
      <c r="E958" s="7" t="s">
        <v>44</v>
      </c>
      <c r="F958" s="8" t="n">
        <v>0</v>
      </c>
      <c r="G958" s="9" t="n">
        <v>0</v>
      </c>
      <c r="H958" s="9" t="n">
        <v>0</v>
      </c>
      <c r="I958" s="9" t="n">
        <v>0</v>
      </c>
      <c r="J958" s="7" t="s">
        <v>18</v>
      </c>
      <c r="K958" s="7" t="s">
        <v>19</v>
      </c>
      <c r="L958" s="7" t="s">
        <v>20</v>
      </c>
    </row>
    <row r="959" customFormat="false" ht="22.35" hidden="false" customHeight="false" outlineLevel="0" collapsed="false">
      <c r="A959" s="4" t="s">
        <v>985</v>
      </c>
      <c r="B959" s="4" t="s">
        <v>14</v>
      </c>
      <c r="C959" s="4" t="s">
        <v>929</v>
      </c>
      <c r="D959" s="4" t="s">
        <v>930</v>
      </c>
      <c r="E959" s="4" t="s">
        <v>44</v>
      </c>
      <c r="F959" s="5" t="n">
        <v>0</v>
      </c>
      <c r="G959" s="6" t="n">
        <v>0</v>
      </c>
      <c r="H959" s="6" t="n">
        <v>0</v>
      </c>
      <c r="I959" s="6" t="n">
        <v>0</v>
      </c>
      <c r="J959" s="4" t="s">
        <v>18</v>
      </c>
      <c r="K959" s="4" t="s">
        <v>19</v>
      </c>
      <c r="L959" s="4" t="s">
        <v>20</v>
      </c>
    </row>
    <row r="960" customFormat="false" ht="22.35" hidden="false" customHeight="false" outlineLevel="0" collapsed="false">
      <c r="A960" s="7" t="s">
        <v>986</v>
      </c>
      <c r="B960" s="7" t="s">
        <v>14</v>
      </c>
      <c r="C960" s="7" t="s">
        <v>929</v>
      </c>
      <c r="D960" s="7" t="s">
        <v>930</v>
      </c>
      <c r="E960" s="7" t="s">
        <v>44</v>
      </c>
      <c r="F960" s="8" t="n">
        <v>0</v>
      </c>
      <c r="G960" s="9" t="n">
        <v>0</v>
      </c>
      <c r="H960" s="9" t="n">
        <v>0</v>
      </c>
      <c r="I960" s="9" t="n">
        <v>0</v>
      </c>
      <c r="J960" s="7" t="s">
        <v>18</v>
      </c>
      <c r="K960" s="7" t="s">
        <v>19</v>
      </c>
      <c r="L960" s="7" t="s">
        <v>20</v>
      </c>
    </row>
    <row r="961" customFormat="false" ht="22.35" hidden="false" customHeight="false" outlineLevel="0" collapsed="false">
      <c r="A961" s="4" t="s">
        <v>987</v>
      </c>
      <c r="B961" s="4" t="s">
        <v>14</v>
      </c>
      <c r="C961" s="4" t="s">
        <v>929</v>
      </c>
      <c r="D961" s="4" t="s">
        <v>930</v>
      </c>
      <c r="E961" s="4" t="s">
        <v>44</v>
      </c>
      <c r="F961" s="5" t="n">
        <v>0</v>
      </c>
      <c r="G961" s="6" t="n">
        <v>0</v>
      </c>
      <c r="H961" s="6" t="n">
        <v>0</v>
      </c>
      <c r="I961" s="6" t="n">
        <v>0</v>
      </c>
      <c r="J961" s="4" t="s">
        <v>18</v>
      </c>
      <c r="K961" s="4" t="s">
        <v>19</v>
      </c>
      <c r="L961" s="4" t="s">
        <v>20</v>
      </c>
    </row>
    <row r="962" customFormat="false" ht="22.35" hidden="false" customHeight="false" outlineLevel="0" collapsed="false">
      <c r="A962" s="7" t="s">
        <v>988</v>
      </c>
      <c r="B962" s="7" t="s">
        <v>14</v>
      </c>
      <c r="C962" s="7" t="s">
        <v>929</v>
      </c>
      <c r="D962" s="7" t="s">
        <v>930</v>
      </c>
      <c r="E962" s="7" t="s">
        <v>44</v>
      </c>
      <c r="F962" s="8" t="n">
        <v>0</v>
      </c>
      <c r="G962" s="9" t="n">
        <v>0</v>
      </c>
      <c r="H962" s="9" t="n">
        <v>0</v>
      </c>
      <c r="I962" s="9" t="n">
        <v>0</v>
      </c>
      <c r="J962" s="7" t="s">
        <v>18</v>
      </c>
      <c r="K962" s="7" t="s">
        <v>19</v>
      </c>
      <c r="L962" s="7" t="s">
        <v>20</v>
      </c>
    </row>
    <row r="963" customFormat="false" ht="22.35" hidden="false" customHeight="false" outlineLevel="0" collapsed="false">
      <c r="A963" s="4" t="s">
        <v>989</v>
      </c>
      <c r="B963" s="4" t="s">
        <v>14</v>
      </c>
      <c r="C963" s="4" t="s">
        <v>929</v>
      </c>
      <c r="D963" s="4" t="s">
        <v>930</v>
      </c>
      <c r="E963" s="4" t="s">
        <v>44</v>
      </c>
      <c r="F963" s="5" t="n">
        <v>0</v>
      </c>
      <c r="G963" s="6" t="n">
        <v>0</v>
      </c>
      <c r="H963" s="6" t="n">
        <v>0</v>
      </c>
      <c r="I963" s="6" t="n">
        <v>0</v>
      </c>
      <c r="J963" s="4" t="s">
        <v>18</v>
      </c>
      <c r="K963" s="4" t="s">
        <v>19</v>
      </c>
      <c r="L963" s="4" t="s">
        <v>20</v>
      </c>
    </row>
    <row r="964" customFormat="false" ht="22.35" hidden="false" customHeight="false" outlineLevel="0" collapsed="false">
      <c r="A964" s="7" t="s">
        <v>990</v>
      </c>
      <c r="B964" s="7" t="s">
        <v>14</v>
      </c>
      <c r="C964" s="7" t="s">
        <v>929</v>
      </c>
      <c r="D964" s="7" t="s">
        <v>930</v>
      </c>
      <c r="E964" s="7" t="s">
        <v>44</v>
      </c>
      <c r="F964" s="8" t="n">
        <v>0</v>
      </c>
      <c r="G964" s="9" t="n">
        <v>0</v>
      </c>
      <c r="H964" s="9" t="n">
        <v>0</v>
      </c>
      <c r="I964" s="9" t="n">
        <v>0</v>
      </c>
      <c r="J964" s="7" t="s">
        <v>18</v>
      </c>
      <c r="K964" s="7" t="s">
        <v>19</v>
      </c>
      <c r="L964" s="7" t="s">
        <v>20</v>
      </c>
    </row>
    <row r="965" customFormat="false" ht="22.35" hidden="false" customHeight="false" outlineLevel="0" collapsed="false">
      <c r="A965" s="4" t="s">
        <v>991</v>
      </c>
      <c r="B965" s="4" t="s">
        <v>14</v>
      </c>
      <c r="C965" s="4" t="s">
        <v>929</v>
      </c>
      <c r="D965" s="4" t="s">
        <v>930</v>
      </c>
      <c r="E965" s="4" t="s">
        <v>44</v>
      </c>
      <c r="F965" s="5" t="n">
        <v>0</v>
      </c>
      <c r="G965" s="6" t="n">
        <v>0</v>
      </c>
      <c r="H965" s="6" t="n">
        <v>0</v>
      </c>
      <c r="I965" s="6" t="n">
        <v>0</v>
      </c>
      <c r="J965" s="4" t="s">
        <v>18</v>
      </c>
      <c r="K965" s="4" t="s">
        <v>19</v>
      </c>
      <c r="L965" s="4" t="s">
        <v>20</v>
      </c>
    </row>
    <row r="966" customFormat="false" ht="22.35" hidden="false" customHeight="false" outlineLevel="0" collapsed="false">
      <c r="A966" s="7" t="s">
        <v>992</v>
      </c>
      <c r="B966" s="7" t="s">
        <v>14</v>
      </c>
      <c r="C966" s="7" t="s">
        <v>929</v>
      </c>
      <c r="D966" s="7" t="s">
        <v>930</v>
      </c>
      <c r="E966" s="7" t="s">
        <v>44</v>
      </c>
      <c r="F966" s="8" t="n">
        <v>0</v>
      </c>
      <c r="G966" s="9" t="n">
        <v>0</v>
      </c>
      <c r="H966" s="9" t="n">
        <v>0</v>
      </c>
      <c r="I966" s="9" t="n">
        <v>0</v>
      </c>
      <c r="J966" s="7" t="s">
        <v>18</v>
      </c>
      <c r="K966" s="7" t="s">
        <v>19</v>
      </c>
      <c r="L966" s="7" t="s">
        <v>20</v>
      </c>
    </row>
    <row r="967" customFormat="false" ht="22.35" hidden="false" customHeight="false" outlineLevel="0" collapsed="false">
      <c r="A967" s="4" t="s">
        <v>993</v>
      </c>
      <c r="B967" s="4" t="s">
        <v>14</v>
      </c>
      <c r="C967" s="4" t="s">
        <v>929</v>
      </c>
      <c r="D967" s="4" t="s">
        <v>930</v>
      </c>
      <c r="E967" s="4" t="s">
        <v>44</v>
      </c>
      <c r="F967" s="5" t="n">
        <v>0</v>
      </c>
      <c r="G967" s="6" t="n">
        <v>0</v>
      </c>
      <c r="H967" s="6" t="n">
        <v>0</v>
      </c>
      <c r="I967" s="6" t="n">
        <v>0</v>
      </c>
      <c r="J967" s="4" t="s">
        <v>18</v>
      </c>
      <c r="K967" s="4" t="s">
        <v>19</v>
      </c>
      <c r="L967" s="4" t="s">
        <v>20</v>
      </c>
    </row>
    <row r="968" customFormat="false" ht="22.35" hidden="false" customHeight="false" outlineLevel="0" collapsed="false">
      <c r="A968" s="7" t="s">
        <v>994</v>
      </c>
      <c r="B968" s="7" t="s">
        <v>14</v>
      </c>
      <c r="C968" s="7" t="s">
        <v>929</v>
      </c>
      <c r="D968" s="7" t="s">
        <v>930</v>
      </c>
      <c r="E968" s="7" t="s">
        <v>44</v>
      </c>
      <c r="F968" s="8" t="n">
        <v>0</v>
      </c>
      <c r="G968" s="9" t="n">
        <v>0</v>
      </c>
      <c r="H968" s="9" t="n">
        <v>0</v>
      </c>
      <c r="I968" s="9" t="n">
        <v>0</v>
      </c>
      <c r="J968" s="7" t="s">
        <v>18</v>
      </c>
      <c r="K968" s="7" t="s">
        <v>19</v>
      </c>
      <c r="L968" s="7" t="s">
        <v>20</v>
      </c>
    </row>
    <row r="969" customFormat="false" ht="22.35" hidden="false" customHeight="false" outlineLevel="0" collapsed="false">
      <c r="A969" s="4" t="s">
        <v>995</v>
      </c>
      <c r="B969" s="4" t="s">
        <v>14</v>
      </c>
      <c r="C969" s="4" t="s">
        <v>929</v>
      </c>
      <c r="D969" s="4" t="s">
        <v>930</v>
      </c>
      <c r="E969" s="4" t="s">
        <v>44</v>
      </c>
      <c r="F969" s="5" t="n">
        <v>0</v>
      </c>
      <c r="G969" s="6" t="n">
        <v>0</v>
      </c>
      <c r="H969" s="6" t="n">
        <v>0</v>
      </c>
      <c r="I969" s="6" t="n">
        <v>0</v>
      </c>
      <c r="J969" s="4" t="s">
        <v>18</v>
      </c>
      <c r="K969" s="4" t="s">
        <v>19</v>
      </c>
      <c r="L969" s="4" t="s">
        <v>20</v>
      </c>
    </row>
    <row r="970" customFormat="false" ht="22.35" hidden="false" customHeight="false" outlineLevel="0" collapsed="false">
      <c r="A970" s="7" t="s">
        <v>996</v>
      </c>
      <c r="B970" s="7" t="s">
        <v>14</v>
      </c>
      <c r="C970" s="7" t="s">
        <v>929</v>
      </c>
      <c r="D970" s="7" t="s">
        <v>930</v>
      </c>
      <c r="E970" s="7" t="s">
        <v>44</v>
      </c>
      <c r="F970" s="8" t="n">
        <v>0</v>
      </c>
      <c r="G970" s="9" t="n">
        <v>0</v>
      </c>
      <c r="H970" s="9" t="n">
        <v>0</v>
      </c>
      <c r="I970" s="9" t="n">
        <v>0</v>
      </c>
      <c r="J970" s="7" t="s">
        <v>18</v>
      </c>
      <c r="K970" s="7" t="s">
        <v>19</v>
      </c>
      <c r="L970" s="7" t="s">
        <v>20</v>
      </c>
    </row>
    <row r="971" customFormat="false" ht="22.35" hidden="false" customHeight="false" outlineLevel="0" collapsed="false">
      <c r="A971" s="4" t="s">
        <v>997</v>
      </c>
      <c r="B971" s="4" t="s">
        <v>14</v>
      </c>
      <c r="C971" s="4" t="s">
        <v>929</v>
      </c>
      <c r="D971" s="4" t="s">
        <v>930</v>
      </c>
      <c r="E971" s="4" t="s">
        <v>44</v>
      </c>
      <c r="F971" s="5" t="n">
        <v>0</v>
      </c>
      <c r="G971" s="6" t="n">
        <v>0</v>
      </c>
      <c r="H971" s="6" t="n">
        <v>0</v>
      </c>
      <c r="I971" s="6" t="n">
        <v>0</v>
      </c>
      <c r="J971" s="4" t="s">
        <v>18</v>
      </c>
      <c r="K971" s="4" t="s">
        <v>19</v>
      </c>
      <c r="L971" s="4" t="s">
        <v>20</v>
      </c>
    </row>
    <row r="972" customFormat="false" ht="22.35" hidden="false" customHeight="false" outlineLevel="0" collapsed="false">
      <c r="A972" s="7" t="s">
        <v>998</v>
      </c>
      <c r="B972" s="7" t="s">
        <v>14</v>
      </c>
      <c r="C972" s="7" t="s">
        <v>929</v>
      </c>
      <c r="D972" s="7" t="s">
        <v>930</v>
      </c>
      <c r="E972" s="7" t="s">
        <v>44</v>
      </c>
      <c r="F972" s="8" t="n">
        <v>0</v>
      </c>
      <c r="G972" s="9" t="n">
        <v>0</v>
      </c>
      <c r="H972" s="9" t="n">
        <v>0</v>
      </c>
      <c r="I972" s="9" t="n">
        <v>0</v>
      </c>
      <c r="J972" s="7" t="s">
        <v>18</v>
      </c>
      <c r="K972" s="7" t="s">
        <v>19</v>
      </c>
      <c r="L972" s="7" t="s">
        <v>20</v>
      </c>
    </row>
    <row r="973" customFormat="false" ht="22.35" hidden="false" customHeight="false" outlineLevel="0" collapsed="false">
      <c r="A973" s="4" t="s">
        <v>999</v>
      </c>
      <c r="B973" s="4" t="s">
        <v>14</v>
      </c>
      <c r="C973" s="4" t="s">
        <v>929</v>
      </c>
      <c r="D973" s="4" t="s">
        <v>930</v>
      </c>
      <c r="E973" s="4" t="s">
        <v>44</v>
      </c>
      <c r="F973" s="5" t="n">
        <v>0</v>
      </c>
      <c r="G973" s="6" t="n">
        <v>0</v>
      </c>
      <c r="H973" s="6" t="n">
        <v>0</v>
      </c>
      <c r="I973" s="6" t="n">
        <v>0</v>
      </c>
      <c r="J973" s="4" t="s">
        <v>18</v>
      </c>
      <c r="K973" s="4" t="s">
        <v>19</v>
      </c>
      <c r="L973" s="4" t="s">
        <v>20</v>
      </c>
    </row>
    <row r="974" customFormat="false" ht="22.35" hidden="false" customHeight="false" outlineLevel="0" collapsed="false">
      <c r="A974" s="7" t="s">
        <v>1000</v>
      </c>
      <c r="B974" s="7" t="s">
        <v>14</v>
      </c>
      <c r="C974" s="7" t="s">
        <v>929</v>
      </c>
      <c r="D974" s="7" t="s">
        <v>930</v>
      </c>
      <c r="E974" s="7" t="s">
        <v>44</v>
      </c>
      <c r="F974" s="8" t="n">
        <v>0</v>
      </c>
      <c r="G974" s="9" t="n">
        <v>0</v>
      </c>
      <c r="H974" s="9" t="n">
        <v>0</v>
      </c>
      <c r="I974" s="9" t="n">
        <v>0</v>
      </c>
      <c r="J974" s="7" t="s">
        <v>18</v>
      </c>
      <c r="K974" s="7" t="s">
        <v>19</v>
      </c>
      <c r="L974" s="7" t="s">
        <v>20</v>
      </c>
    </row>
    <row r="975" customFormat="false" ht="22.35" hidden="false" customHeight="false" outlineLevel="0" collapsed="false">
      <c r="A975" s="4" t="s">
        <v>1001</v>
      </c>
      <c r="B975" s="4" t="s">
        <v>14</v>
      </c>
      <c r="C975" s="4" t="s">
        <v>929</v>
      </c>
      <c r="D975" s="4" t="s">
        <v>930</v>
      </c>
      <c r="E975" s="4" t="s">
        <v>44</v>
      </c>
      <c r="F975" s="5" t="n">
        <v>0</v>
      </c>
      <c r="G975" s="6" t="n">
        <v>0</v>
      </c>
      <c r="H975" s="6" t="n">
        <v>0</v>
      </c>
      <c r="I975" s="6" t="n">
        <v>0</v>
      </c>
      <c r="J975" s="4" t="s">
        <v>18</v>
      </c>
      <c r="K975" s="4" t="s">
        <v>19</v>
      </c>
      <c r="L975" s="4" t="s">
        <v>20</v>
      </c>
    </row>
    <row r="976" customFormat="false" ht="22.35" hidden="false" customHeight="false" outlineLevel="0" collapsed="false">
      <c r="A976" s="7" t="s">
        <v>1002</v>
      </c>
      <c r="B976" s="7" t="s">
        <v>14</v>
      </c>
      <c r="C976" s="7" t="s">
        <v>929</v>
      </c>
      <c r="D976" s="7" t="s">
        <v>930</v>
      </c>
      <c r="E976" s="7" t="s">
        <v>44</v>
      </c>
      <c r="F976" s="8" t="n">
        <v>0</v>
      </c>
      <c r="G976" s="9" t="n">
        <v>0</v>
      </c>
      <c r="H976" s="9" t="n">
        <v>0</v>
      </c>
      <c r="I976" s="9" t="n">
        <v>0</v>
      </c>
      <c r="J976" s="7" t="s">
        <v>18</v>
      </c>
      <c r="K976" s="7" t="s">
        <v>19</v>
      </c>
      <c r="L976" s="7" t="s">
        <v>20</v>
      </c>
    </row>
    <row r="977" customFormat="false" ht="22.35" hidden="false" customHeight="false" outlineLevel="0" collapsed="false">
      <c r="A977" s="4" t="s">
        <v>1003</v>
      </c>
      <c r="B977" s="4" t="s">
        <v>14</v>
      </c>
      <c r="C977" s="4" t="s">
        <v>929</v>
      </c>
      <c r="D977" s="4" t="s">
        <v>930</v>
      </c>
      <c r="E977" s="4" t="s">
        <v>44</v>
      </c>
      <c r="F977" s="5" t="n">
        <v>0</v>
      </c>
      <c r="G977" s="6" t="n">
        <v>0</v>
      </c>
      <c r="H977" s="6" t="n">
        <v>0</v>
      </c>
      <c r="I977" s="6" t="n">
        <v>0</v>
      </c>
      <c r="J977" s="4" t="s">
        <v>18</v>
      </c>
      <c r="K977" s="4" t="s">
        <v>19</v>
      </c>
      <c r="L977" s="4" t="s">
        <v>20</v>
      </c>
    </row>
    <row r="978" customFormat="false" ht="22.35" hidden="false" customHeight="false" outlineLevel="0" collapsed="false">
      <c r="A978" s="7" t="s">
        <v>1004</v>
      </c>
      <c r="B978" s="7" t="s">
        <v>14</v>
      </c>
      <c r="C978" s="7" t="s">
        <v>929</v>
      </c>
      <c r="D978" s="7" t="s">
        <v>930</v>
      </c>
      <c r="E978" s="7" t="s">
        <v>44</v>
      </c>
      <c r="F978" s="8" t="n">
        <v>0</v>
      </c>
      <c r="G978" s="9" t="n">
        <v>0</v>
      </c>
      <c r="H978" s="9" t="n">
        <v>0</v>
      </c>
      <c r="I978" s="9" t="n">
        <v>0</v>
      </c>
      <c r="J978" s="7" t="s">
        <v>18</v>
      </c>
      <c r="K978" s="7" t="s">
        <v>19</v>
      </c>
      <c r="L978" s="7" t="s">
        <v>20</v>
      </c>
    </row>
    <row r="979" customFormat="false" ht="22.35" hidden="false" customHeight="false" outlineLevel="0" collapsed="false">
      <c r="A979" s="4" t="s">
        <v>1005</v>
      </c>
      <c r="B979" s="4" t="s">
        <v>14</v>
      </c>
      <c r="C979" s="4" t="s">
        <v>929</v>
      </c>
      <c r="D979" s="4" t="s">
        <v>930</v>
      </c>
      <c r="E979" s="4" t="s">
        <v>44</v>
      </c>
      <c r="F979" s="5" t="n">
        <v>0</v>
      </c>
      <c r="G979" s="6" t="n">
        <v>0</v>
      </c>
      <c r="H979" s="6" t="n">
        <v>0</v>
      </c>
      <c r="I979" s="6" t="n">
        <v>0</v>
      </c>
      <c r="J979" s="4" t="s">
        <v>18</v>
      </c>
      <c r="K979" s="4" t="s">
        <v>19</v>
      </c>
      <c r="L979" s="4" t="s">
        <v>20</v>
      </c>
    </row>
    <row r="980" customFormat="false" ht="22.35" hidden="false" customHeight="false" outlineLevel="0" collapsed="false">
      <c r="A980" s="7" t="s">
        <v>1006</v>
      </c>
      <c r="B980" s="7" t="s">
        <v>14</v>
      </c>
      <c r="C980" s="7" t="s">
        <v>929</v>
      </c>
      <c r="D980" s="7" t="s">
        <v>930</v>
      </c>
      <c r="E980" s="7" t="s">
        <v>44</v>
      </c>
      <c r="F980" s="8" t="n">
        <v>0</v>
      </c>
      <c r="G980" s="9" t="n">
        <v>0</v>
      </c>
      <c r="H980" s="9" t="n">
        <v>0</v>
      </c>
      <c r="I980" s="9" t="n">
        <v>0</v>
      </c>
      <c r="J980" s="7" t="s">
        <v>18</v>
      </c>
      <c r="K980" s="7" t="s">
        <v>19</v>
      </c>
      <c r="L980" s="7" t="s">
        <v>20</v>
      </c>
    </row>
    <row r="981" customFormat="false" ht="22.35" hidden="false" customHeight="false" outlineLevel="0" collapsed="false">
      <c r="A981" s="4" t="s">
        <v>1007</v>
      </c>
      <c r="B981" s="4" t="s">
        <v>14</v>
      </c>
      <c r="C981" s="4" t="s">
        <v>929</v>
      </c>
      <c r="D981" s="4" t="s">
        <v>930</v>
      </c>
      <c r="E981" s="4" t="s">
        <v>44</v>
      </c>
      <c r="F981" s="5" t="n">
        <v>0</v>
      </c>
      <c r="G981" s="6" t="n">
        <v>0</v>
      </c>
      <c r="H981" s="6" t="n">
        <v>0</v>
      </c>
      <c r="I981" s="6" t="n">
        <v>0</v>
      </c>
      <c r="J981" s="4" t="s">
        <v>18</v>
      </c>
      <c r="K981" s="4" t="s">
        <v>19</v>
      </c>
      <c r="L981" s="4" t="s">
        <v>20</v>
      </c>
    </row>
    <row r="982" customFormat="false" ht="22.35" hidden="false" customHeight="false" outlineLevel="0" collapsed="false">
      <c r="A982" s="7" t="s">
        <v>1008</v>
      </c>
      <c r="B982" s="7" t="s">
        <v>14</v>
      </c>
      <c r="C982" s="7" t="s">
        <v>929</v>
      </c>
      <c r="D982" s="7" t="s">
        <v>930</v>
      </c>
      <c r="E982" s="7" t="s">
        <v>44</v>
      </c>
      <c r="F982" s="8" t="n">
        <v>0</v>
      </c>
      <c r="G982" s="9" t="n">
        <v>0</v>
      </c>
      <c r="H982" s="9" t="n">
        <v>0</v>
      </c>
      <c r="I982" s="9" t="n">
        <v>0</v>
      </c>
      <c r="J982" s="7" t="s">
        <v>18</v>
      </c>
      <c r="K982" s="7" t="s">
        <v>19</v>
      </c>
      <c r="L982" s="7" t="s">
        <v>20</v>
      </c>
    </row>
    <row r="983" customFormat="false" ht="22.35" hidden="false" customHeight="false" outlineLevel="0" collapsed="false">
      <c r="A983" s="4" t="s">
        <v>1009</v>
      </c>
      <c r="B983" s="4" t="s">
        <v>14</v>
      </c>
      <c r="C983" s="4" t="s">
        <v>929</v>
      </c>
      <c r="D983" s="4" t="s">
        <v>930</v>
      </c>
      <c r="E983" s="4" t="s">
        <v>44</v>
      </c>
      <c r="F983" s="5" t="n">
        <v>0</v>
      </c>
      <c r="G983" s="6" t="n">
        <v>0</v>
      </c>
      <c r="H983" s="6" t="n">
        <v>0</v>
      </c>
      <c r="I983" s="6" t="n">
        <v>0</v>
      </c>
      <c r="J983" s="4" t="s">
        <v>18</v>
      </c>
      <c r="K983" s="4" t="s">
        <v>19</v>
      </c>
      <c r="L983" s="4" t="s">
        <v>20</v>
      </c>
    </row>
    <row r="984" customFormat="false" ht="22.35" hidden="false" customHeight="false" outlineLevel="0" collapsed="false">
      <c r="A984" s="7" t="s">
        <v>1010</v>
      </c>
      <c r="B984" s="7" t="s">
        <v>14</v>
      </c>
      <c r="C984" s="7" t="s">
        <v>929</v>
      </c>
      <c r="D984" s="7" t="s">
        <v>930</v>
      </c>
      <c r="E984" s="7" t="s">
        <v>44</v>
      </c>
      <c r="F984" s="8" t="n">
        <v>0</v>
      </c>
      <c r="G984" s="9" t="n">
        <v>0</v>
      </c>
      <c r="H984" s="9" t="n">
        <v>0</v>
      </c>
      <c r="I984" s="9" t="n">
        <v>0</v>
      </c>
      <c r="J984" s="7" t="s">
        <v>18</v>
      </c>
      <c r="K984" s="7" t="s">
        <v>19</v>
      </c>
      <c r="L984" s="7" t="s">
        <v>20</v>
      </c>
    </row>
    <row r="985" customFormat="false" ht="22.35" hidden="false" customHeight="false" outlineLevel="0" collapsed="false">
      <c r="A985" s="4" t="s">
        <v>1011</v>
      </c>
      <c r="B985" s="4" t="s">
        <v>14</v>
      </c>
      <c r="C985" s="4" t="s">
        <v>929</v>
      </c>
      <c r="D985" s="4" t="s">
        <v>930</v>
      </c>
      <c r="E985" s="4" t="s">
        <v>44</v>
      </c>
      <c r="F985" s="5" t="n">
        <v>0</v>
      </c>
      <c r="G985" s="6" t="n">
        <v>0</v>
      </c>
      <c r="H985" s="6" t="n">
        <v>0</v>
      </c>
      <c r="I985" s="6" t="n">
        <v>0</v>
      </c>
      <c r="J985" s="4" t="s">
        <v>18</v>
      </c>
      <c r="K985" s="4" t="s">
        <v>19</v>
      </c>
      <c r="L985" s="4" t="s">
        <v>20</v>
      </c>
    </row>
    <row r="986" customFormat="false" ht="22.35" hidden="false" customHeight="false" outlineLevel="0" collapsed="false">
      <c r="A986" s="7" t="s">
        <v>1012</v>
      </c>
      <c r="B986" s="7" t="s">
        <v>14</v>
      </c>
      <c r="C986" s="7" t="s">
        <v>929</v>
      </c>
      <c r="D986" s="7" t="s">
        <v>930</v>
      </c>
      <c r="E986" s="7" t="s">
        <v>44</v>
      </c>
      <c r="F986" s="8" t="n">
        <v>0</v>
      </c>
      <c r="G986" s="9" t="n">
        <v>0</v>
      </c>
      <c r="H986" s="9" t="n">
        <v>0</v>
      </c>
      <c r="I986" s="9" t="n">
        <v>0</v>
      </c>
      <c r="J986" s="7" t="s">
        <v>18</v>
      </c>
      <c r="K986" s="7" t="s">
        <v>19</v>
      </c>
      <c r="L986" s="7" t="s">
        <v>20</v>
      </c>
    </row>
    <row r="987" customFormat="false" ht="22.35" hidden="false" customHeight="false" outlineLevel="0" collapsed="false">
      <c r="A987" s="4" t="s">
        <v>1013</v>
      </c>
      <c r="B987" s="4" t="s">
        <v>14</v>
      </c>
      <c r="C987" s="4" t="s">
        <v>929</v>
      </c>
      <c r="D987" s="4" t="s">
        <v>930</v>
      </c>
      <c r="E987" s="4" t="s">
        <v>44</v>
      </c>
      <c r="F987" s="5" t="n">
        <v>0</v>
      </c>
      <c r="G987" s="6" t="n">
        <v>0</v>
      </c>
      <c r="H987" s="6" t="n">
        <v>0</v>
      </c>
      <c r="I987" s="6" t="n">
        <v>0</v>
      </c>
      <c r="J987" s="4" t="s">
        <v>18</v>
      </c>
      <c r="K987" s="4" t="s">
        <v>19</v>
      </c>
      <c r="L987" s="4" t="s">
        <v>20</v>
      </c>
    </row>
    <row r="988" customFormat="false" ht="22.35" hidden="false" customHeight="false" outlineLevel="0" collapsed="false">
      <c r="A988" s="7" t="s">
        <v>1014</v>
      </c>
      <c r="B988" s="7" t="s">
        <v>14</v>
      </c>
      <c r="C988" s="7" t="s">
        <v>929</v>
      </c>
      <c r="D988" s="7" t="s">
        <v>930</v>
      </c>
      <c r="E988" s="7" t="s">
        <v>44</v>
      </c>
      <c r="F988" s="8" t="n">
        <v>0</v>
      </c>
      <c r="G988" s="9" t="n">
        <v>0</v>
      </c>
      <c r="H988" s="9" t="n">
        <v>0</v>
      </c>
      <c r="I988" s="9" t="n">
        <v>0</v>
      </c>
      <c r="J988" s="7" t="s">
        <v>18</v>
      </c>
      <c r="K988" s="7" t="s">
        <v>19</v>
      </c>
      <c r="L988" s="7" t="s">
        <v>20</v>
      </c>
    </row>
    <row r="989" customFormat="false" ht="22.35" hidden="false" customHeight="false" outlineLevel="0" collapsed="false">
      <c r="A989" s="4" t="s">
        <v>1015</v>
      </c>
      <c r="B989" s="4" t="s">
        <v>14</v>
      </c>
      <c r="C989" s="4" t="s">
        <v>929</v>
      </c>
      <c r="D989" s="4" t="s">
        <v>930</v>
      </c>
      <c r="E989" s="4" t="s">
        <v>44</v>
      </c>
      <c r="F989" s="5" t="n">
        <v>0</v>
      </c>
      <c r="G989" s="6" t="n">
        <v>0</v>
      </c>
      <c r="H989" s="6" t="n">
        <v>0</v>
      </c>
      <c r="I989" s="6" t="n">
        <v>0</v>
      </c>
      <c r="J989" s="4" t="s">
        <v>18</v>
      </c>
      <c r="K989" s="4" t="s">
        <v>19</v>
      </c>
      <c r="L989" s="4" t="s">
        <v>20</v>
      </c>
    </row>
    <row r="990" customFormat="false" ht="22.35" hidden="false" customHeight="false" outlineLevel="0" collapsed="false">
      <c r="A990" s="7" t="s">
        <v>1016</v>
      </c>
      <c r="B990" s="7" t="s">
        <v>14</v>
      </c>
      <c r="C990" s="7" t="s">
        <v>929</v>
      </c>
      <c r="D990" s="7" t="s">
        <v>930</v>
      </c>
      <c r="E990" s="7" t="s">
        <v>44</v>
      </c>
      <c r="F990" s="8" t="n">
        <v>0</v>
      </c>
      <c r="G990" s="9" t="n">
        <v>0</v>
      </c>
      <c r="H990" s="9" t="n">
        <v>0</v>
      </c>
      <c r="I990" s="9" t="n">
        <v>0</v>
      </c>
      <c r="J990" s="7" t="s">
        <v>18</v>
      </c>
      <c r="K990" s="7" t="s">
        <v>19</v>
      </c>
      <c r="L990" s="7" t="s">
        <v>20</v>
      </c>
    </row>
    <row r="991" customFormat="false" ht="22.35" hidden="false" customHeight="false" outlineLevel="0" collapsed="false">
      <c r="A991" s="4" t="s">
        <v>1017</v>
      </c>
      <c r="B991" s="4" t="s">
        <v>14</v>
      </c>
      <c r="C991" s="4" t="s">
        <v>929</v>
      </c>
      <c r="D991" s="4" t="s">
        <v>930</v>
      </c>
      <c r="E991" s="4" t="s">
        <v>44</v>
      </c>
      <c r="F991" s="5" t="n">
        <v>0</v>
      </c>
      <c r="G991" s="6" t="n">
        <v>0</v>
      </c>
      <c r="H991" s="6" t="n">
        <v>0</v>
      </c>
      <c r="I991" s="6" t="n">
        <v>0</v>
      </c>
      <c r="J991" s="4" t="s">
        <v>18</v>
      </c>
      <c r="K991" s="4" t="s">
        <v>19</v>
      </c>
      <c r="L991" s="4" t="s">
        <v>20</v>
      </c>
    </row>
    <row r="992" customFormat="false" ht="22.35" hidden="false" customHeight="false" outlineLevel="0" collapsed="false">
      <c r="A992" s="7" t="s">
        <v>1018</v>
      </c>
      <c r="B992" s="7" t="s">
        <v>14</v>
      </c>
      <c r="C992" s="7" t="s">
        <v>929</v>
      </c>
      <c r="D992" s="7" t="s">
        <v>930</v>
      </c>
      <c r="E992" s="7" t="s">
        <v>44</v>
      </c>
      <c r="F992" s="8" t="n">
        <v>0</v>
      </c>
      <c r="G992" s="9" t="n">
        <v>0</v>
      </c>
      <c r="H992" s="9" t="n">
        <v>0</v>
      </c>
      <c r="I992" s="9" t="n">
        <v>0</v>
      </c>
      <c r="J992" s="7" t="s">
        <v>18</v>
      </c>
      <c r="K992" s="7" t="s">
        <v>19</v>
      </c>
      <c r="L992" s="7" t="s">
        <v>20</v>
      </c>
    </row>
    <row r="993" customFormat="false" ht="22.35" hidden="false" customHeight="false" outlineLevel="0" collapsed="false">
      <c r="A993" s="4" t="s">
        <v>1019</v>
      </c>
      <c r="B993" s="4" t="s">
        <v>14</v>
      </c>
      <c r="C993" s="4" t="s">
        <v>929</v>
      </c>
      <c r="D993" s="4" t="s">
        <v>930</v>
      </c>
      <c r="E993" s="4" t="s">
        <v>44</v>
      </c>
      <c r="F993" s="5" t="n">
        <v>0</v>
      </c>
      <c r="G993" s="6" t="n">
        <v>0</v>
      </c>
      <c r="H993" s="6" t="n">
        <v>0</v>
      </c>
      <c r="I993" s="6" t="n">
        <v>0</v>
      </c>
      <c r="J993" s="4" t="s">
        <v>18</v>
      </c>
      <c r="K993" s="4" t="s">
        <v>19</v>
      </c>
      <c r="L993" s="4" t="s">
        <v>20</v>
      </c>
    </row>
    <row r="994" customFormat="false" ht="22.35" hidden="false" customHeight="false" outlineLevel="0" collapsed="false">
      <c r="A994" s="7" t="s">
        <v>1020</v>
      </c>
      <c r="B994" s="7" t="s">
        <v>14</v>
      </c>
      <c r="C994" s="7" t="s">
        <v>929</v>
      </c>
      <c r="D994" s="7" t="s">
        <v>930</v>
      </c>
      <c r="E994" s="7" t="s">
        <v>44</v>
      </c>
      <c r="F994" s="8" t="n">
        <v>0</v>
      </c>
      <c r="G994" s="9" t="n">
        <v>0</v>
      </c>
      <c r="H994" s="9" t="n">
        <v>0</v>
      </c>
      <c r="I994" s="9" t="n">
        <v>0</v>
      </c>
      <c r="J994" s="7" t="s">
        <v>18</v>
      </c>
      <c r="K994" s="7" t="s">
        <v>19</v>
      </c>
      <c r="L994" s="7" t="s">
        <v>20</v>
      </c>
    </row>
    <row r="995" customFormat="false" ht="22.35" hidden="false" customHeight="false" outlineLevel="0" collapsed="false">
      <c r="A995" s="4" t="s">
        <v>1021</v>
      </c>
      <c r="B995" s="4" t="s">
        <v>14</v>
      </c>
      <c r="C995" s="4" t="s">
        <v>929</v>
      </c>
      <c r="D995" s="4" t="s">
        <v>930</v>
      </c>
      <c r="E995" s="4" t="s">
        <v>44</v>
      </c>
      <c r="F995" s="5" t="n">
        <v>0</v>
      </c>
      <c r="G995" s="6" t="n">
        <v>0</v>
      </c>
      <c r="H995" s="6" t="n">
        <v>0</v>
      </c>
      <c r="I995" s="6" t="n">
        <v>0</v>
      </c>
      <c r="J995" s="4" t="s">
        <v>18</v>
      </c>
      <c r="K995" s="4" t="s">
        <v>19</v>
      </c>
      <c r="L995" s="4" t="s">
        <v>20</v>
      </c>
    </row>
    <row r="996" customFormat="false" ht="22.35" hidden="false" customHeight="false" outlineLevel="0" collapsed="false">
      <c r="A996" s="7" t="s">
        <v>1022</v>
      </c>
      <c r="B996" s="7" t="s">
        <v>14</v>
      </c>
      <c r="C996" s="7" t="s">
        <v>929</v>
      </c>
      <c r="D996" s="7" t="s">
        <v>930</v>
      </c>
      <c r="E996" s="7" t="s">
        <v>44</v>
      </c>
      <c r="F996" s="8" t="n">
        <v>0</v>
      </c>
      <c r="G996" s="9" t="n">
        <v>0</v>
      </c>
      <c r="H996" s="9" t="n">
        <v>0</v>
      </c>
      <c r="I996" s="9" t="n">
        <v>0</v>
      </c>
      <c r="J996" s="7" t="s">
        <v>18</v>
      </c>
      <c r="K996" s="7" t="s">
        <v>19</v>
      </c>
      <c r="L996" s="7" t="s">
        <v>20</v>
      </c>
    </row>
    <row r="997" customFormat="false" ht="22.35" hidden="false" customHeight="false" outlineLevel="0" collapsed="false">
      <c r="A997" s="4" t="s">
        <v>1023</v>
      </c>
      <c r="B997" s="4" t="s">
        <v>14</v>
      </c>
      <c r="C997" s="4" t="s">
        <v>929</v>
      </c>
      <c r="D997" s="4" t="s">
        <v>930</v>
      </c>
      <c r="E997" s="4" t="s">
        <v>44</v>
      </c>
      <c r="F997" s="5" t="n">
        <v>0</v>
      </c>
      <c r="G997" s="6" t="n">
        <v>0</v>
      </c>
      <c r="H997" s="6" t="n">
        <v>0</v>
      </c>
      <c r="I997" s="6" t="n">
        <v>0</v>
      </c>
      <c r="J997" s="4" t="s">
        <v>18</v>
      </c>
      <c r="K997" s="4" t="s">
        <v>19</v>
      </c>
      <c r="L997" s="4" t="s">
        <v>20</v>
      </c>
    </row>
    <row r="998" customFormat="false" ht="22.35" hidden="false" customHeight="false" outlineLevel="0" collapsed="false">
      <c r="A998" s="7" t="s">
        <v>1024</v>
      </c>
      <c r="B998" s="7" t="s">
        <v>14</v>
      </c>
      <c r="C998" s="7" t="s">
        <v>929</v>
      </c>
      <c r="D998" s="7" t="s">
        <v>930</v>
      </c>
      <c r="E998" s="7" t="s">
        <v>44</v>
      </c>
      <c r="F998" s="8" t="n">
        <v>0</v>
      </c>
      <c r="G998" s="9" t="n">
        <v>0</v>
      </c>
      <c r="H998" s="9" t="n">
        <v>0</v>
      </c>
      <c r="I998" s="9" t="n">
        <v>0</v>
      </c>
      <c r="J998" s="7" t="s">
        <v>18</v>
      </c>
      <c r="K998" s="7" t="s">
        <v>19</v>
      </c>
      <c r="L998" s="7" t="s">
        <v>20</v>
      </c>
    </row>
    <row r="999" customFormat="false" ht="22.35" hidden="false" customHeight="false" outlineLevel="0" collapsed="false">
      <c r="A999" s="4" t="s">
        <v>1025</v>
      </c>
      <c r="B999" s="4" t="s">
        <v>14</v>
      </c>
      <c r="C999" s="4" t="s">
        <v>929</v>
      </c>
      <c r="D999" s="4" t="s">
        <v>930</v>
      </c>
      <c r="E999" s="4" t="s">
        <v>44</v>
      </c>
      <c r="F999" s="5" t="n">
        <v>0</v>
      </c>
      <c r="G999" s="6" t="n">
        <v>0</v>
      </c>
      <c r="H999" s="6" t="n">
        <v>0</v>
      </c>
      <c r="I999" s="6" t="n">
        <v>0</v>
      </c>
      <c r="J999" s="4" t="s">
        <v>18</v>
      </c>
      <c r="K999" s="4" t="s">
        <v>19</v>
      </c>
      <c r="L999" s="4" t="s">
        <v>20</v>
      </c>
    </row>
    <row r="1000" customFormat="false" ht="22.35" hidden="false" customHeight="false" outlineLevel="0" collapsed="false">
      <c r="A1000" s="7" t="s">
        <v>1026</v>
      </c>
      <c r="B1000" s="7" t="s">
        <v>14</v>
      </c>
      <c r="C1000" s="7" t="s">
        <v>929</v>
      </c>
      <c r="D1000" s="7" t="s">
        <v>930</v>
      </c>
      <c r="E1000" s="7" t="s">
        <v>44</v>
      </c>
      <c r="F1000" s="8" t="n">
        <v>0</v>
      </c>
      <c r="G1000" s="9" t="n">
        <v>0</v>
      </c>
      <c r="H1000" s="9" t="n">
        <v>0</v>
      </c>
      <c r="I1000" s="9" t="n">
        <v>0</v>
      </c>
      <c r="J1000" s="7" t="s">
        <v>18</v>
      </c>
      <c r="K1000" s="7" t="s">
        <v>19</v>
      </c>
      <c r="L1000" s="7" t="s">
        <v>20</v>
      </c>
    </row>
    <row r="1001" customFormat="false" ht="22.35" hidden="false" customHeight="false" outlineLevel="0" collapsed="false">
      <c r="A1001" s="4" t="s">
        <v>1027</v>
      </c>
      <c r="B1001" s="4" t="s">
        <v>14</v>
      </c>
      <c r="C1001" s="4" t="s">
        <v>929</v>
      </c>
      <c r="D1001" s="4" t="s">
        <v>930</v>
      </c>
      <c r="E1001" s="4" t="s">
        <v>44</v>
      </c>
      <c r="F1001" s="5" t="n">
        <v>0</v>
      </c>
      <c r="G1001" s="6" t="n">
        <v>0</v>
      </c>
      <c r="H1001" s="6" t="n">
        <v>0</v>
      </c>
      <c r="I1001" s="6" t="n">
        <v>0</v>
      </c>
      <c r="J1001" s="4" t="s">
        <v>18</v>
      </c>
      <c r="K1001" s="4" t="s">
        <v>19</v>
      </c>
      <c r="L1001" s="4" t="s">
        <v>20</v>
      </c>
    </row>
    <row r="1002" customFormat="false" ht="22.35" hidden="false" customHeight="false" outlineLevel="0" collapsed="false">
      <c r="A1002" s="7" t="s">
        <v>1028</v>
      </c>
      <c r="B1002" s="7" t="s">
        <v>14</v>
      </c>
      <c r="C1002" s="7" t="s">
        <v>929</v>
      </c>
      <c r="D1002" s="7" t="s">
        <v>930</v>
      </c>
      <c r="E1002" s="7" t="s">
        <v>44</v>
      </c>
      <c r="F1002" s="8" t="n">
        <v>0</v>
      </c>
      <c r="G1002" s="9" t="n">
        <v>0</v>
      </c>
      <c r="H1002" s="9" t="n">
        <v>0</v>
      </c>
      <c r="I1002" s="9" t="n">
        <v>0</v>
      </c>
      <c r="J1002" s="7" t="s">
        <v>18</v>
      </c>
      <c r="K1002" s="7" t="s">
        <v>19</v>
      </c>
      <c r="L1002" s="7" t="s">
        <v>20</v>
      </c>
    </row>
    <row r="1003" customFormat="false" ht="22.35" hidden="false" customHeight="false" outlineLevel="0" collapsed="false">
      <c r="A1003" s="4" t="s">
        <v>1029</v>
      </c>
      <c r="B1003" s="4" t="s">
        <v>14</v>
      </c>
      <c r="C1003" s="4" t="s">
        <v>929</v>
      </c>
      <c r="D1003" s="4" t="s">
        <v>930</v>
      </c>
      <c r="E1003" s="4" t="s">
        <v>44</v>
      </c>
      <c r="F1003" s="5" t="n">
        <v>0</v>
      </c>
      <c r="G1003" s="6" t="n">
        <v>0</v>
      </c>
      <c r="H1003" s="6" t="n">
        <v>0</v>
      </c>
      <c r="I1003" s="6" t="n">
        <v>0</v>
      </c>
      <c r="J1003" s="4" t="s">
        <v>18</v>
      </c>
      <c r="K1003" s="4" t="s">
        <v>19</v>
      </c>
      <c r="L1003" s="4" t="s">
        <v>20</v>
      </c>
    </row>
    <row r="1004" customFormat="false" ht="22.35" hidden="false" customHeight="false" outlineLevel="0" collapsed="false">
      <c r="A1004" s="7" t="s">
        <v>1030</v>
      </c>
      <c r="B1004" s="7" t="s">
        <v>14</v>
      </c>
      <c r="C1004" s="7" t="s">
        <v>929</v>
      </c>
      <c r="D1004" s="7" t="s">
        <v>930</v>
      </c>
      <c r="E1004" s="7" t="s">
        <v>44</v>
      </c>
      <c r="F1004" s="8" t="n">
        <v>0</v>
      </c>
      <c r="G1004" s="9" t="n">
        <v>0</v>
      </c>
      <c r="H1004" s="9" t="n">
        <v>0</v>
      </c>
      <c r="I1004" s="9" t="n">
        <v>0</v>
      </c>
      <c r="J1004" s="7" t="s">
        <v>18</v>
      </c>
      <c r="K1004" s="7" t="s">
        <v>19</v>
      </c>
      <c r="L1004" s="7" t="s">
        <v>20</v>
      </c>
    </row>
    <row r="1005" customFormat="false" ht="22.35" hidden="false" customHeight="false" outlineLevel="0" collapsed="false">
      <c r="A1005" s="4" t="s">
        <v>1031</v>
      </c>
      <c r="B1005" s="4" t="s">
        <v>14</v>
      </c>
      <c r="C1005" s="4" t="s">
        <v>929</v>
      </c>
      <c r="D1005" s="4" t="s">
        <v>930</v>
      </c>
      <c r="E1005" s="4" t="s">
        <v>44</v>
      </c>
      <c r="F1005" s="5" t="n">
        <v>0</v>
      </c>
      <c r="G1005" s="6" t="n">
        <v>0</v>
      </c>
      <c r="H1005" s="6" t="n">
        <v>0</v>
      </c>
      <c r="I1005" s="6" t="n">
        <v>0</v>
      </c>
      <c r="J1005" s="4" t="s">
        <v>18</v>
      </c>
      <c r="K1005" s="4" t="s">
        <v>19</v>
      </c>
      <c r="L1005" s="4" t="s">
        <v>20</v>
      </c>
    </row>
    <row r="1006" customFormat="false" ht="22.35" hidden="false" customHeight="false" outlineLevel="0" collapsed="false">
      <c r="A1006" s="7" t="s">
        <v>1032</v>
      </c>
      <c r="B1006" s="7" t="s">
        <v>14</v>
      </c>
      <c r="C1006" s="7" t="s">
        <v>929</v>
      </c>
      <c r="D1006" s="7" t="s">
        <v>930</v>
      </c>
      <c r="E1006" s="7" t="s">
        <v>44</v>
      </c>
      <c r="F1006" s="8" t="n">
        <v>0</v>
      </c>
      <c r="G1006" s="9" t="n">
        <v>0</v>
      </c>
      <c r="H1006" s="9" t="n">
        <v>0</v>
      </c>
      <c r="I1006" s="9" t="n">
        <v>0</v>
      </c>
      <c r="J1006" s="7" t="s">
        <v>18</v>
      </c>
      <c r="K1006" s="7" t="s">
        <v>19</v>
      </c>
      <c r="L1006" s="7" t="s">
        <v>20</v>
      </c>
    </row>
    <row r="1007" customFormat="false" ht="22.35" hidden="false" customHeight="false" outlineLevel="0" collapsed="false">
      <c r="A1007" s="4" t="s">
        <v>1033</v>
      </c>
      <c r="B1007" s="4" t="s">
        <v>14</v>
      </c>
      <c r="C1007" s="4" t="s">
        <v>929</v>
      </c>
      <c r="D1007" s="4" t="s">
        <v>930</v>
      </c>
      <c r="E1007" s="4" t="s">
        <v>44</v>
      </c>
      <c r="F1007" s="5" t="n">
        <v>0</v>
      </c>
      <c r="G1007" s="6" t="n">
        <v>0</v>
      </c>
      <c r="H1007" s="6" t="n">
        <v>0</v>
      </c>
      <c r="I1007" s="6" t="n">
        <v>0</v>
      </c>
      <c r="J1007" s="4" t="s">
        <v>18</v>
      </c>
      <c r="K1007" s="4" t="s">
        <v>19</v>
      </c>
      <c r="L1007" s="4" t="s">
        <v>20</v>
      </c>
    </row>
    <row r="1008" customFormat="false" ht="22.35" hidden="false" customHeight="false" outlineLevel="0" collapsed="false">
      <c r="A1008" s="7" t="s">
        <v>1034</v>
      </c>
      <c r="B1008" s="7" t="s">
        <v>14</v>
      </c>
      <c r="C1008" s="7" t="s">
        <v>929</v>
      </c>
      <c r="D1008" s="7" t="s">
        <v>930</v>
      </c>
      <c r="E1008" s="7" t="s">
        <v>44</v>
      </c>
      <c r="F1008" s="8" t="n">
        <v>0</v>
      </c>
      <c r="G1008" s="9" t="n">
        <v>0</v>
      </c>
      <c r="H1008" s="9" t="n">
        <v>0</v>
      </c>
      <c r="I1008" s="9" t="n">
        <v>0</v>
      </c>
      <c r="J1008" s="7" t="s">
        <v>18</v>
      </c>
      <c r="K1008" s="7" t="s">
        <v>19</v>
      </c>
      <c r="L1008" s="7" t="s">
        <v>20</v>
      </c>
    </row>
    <row r="1009" customFormat="false" ht="22.35" hidden="false" customHeight="false" outlineLevel="0" collapsed="false">
      <c r="A1009" s="4" t="s">
        <v>1035</v>
      </c>
      <c r="B1009" s="4" t="s">
        <v>14</v>
      </c>
      <c r="C1009" s="4" t="s">
        <v>929</v>
      </c>
      <c r="D1009" s="4" t="s">
        <v>930</v>
      </c>
      <c r="E1009" s="4" t="s">
        <v>44</v>
      </c>
      <c r="F1009" s="5" t="n">
        <v>0</v>
      </c>
      <c r="G1009" s="6" t="n">
        <v>0</v>
      </c>
      <c r="H1009" s="6" t="n">
        <v>0</v>
      </c>
      <c r="I1009" s="6" t="n">
        <v>0</v>
      </c>
      <c r="J1009" s="4" t="s">
        <v>18</v>
      </c>
      <c r="K1009" s="4" t="s">
        <v>19</v>
      </c>
      <c r="L1009" s="4" t="s">
        <v>20</v>
      </c>
    </row>
    <row r="1010" customFormat="false" ht="22.35" hidden="false" customHeight="false" outlineLevel="0" collapsed="false">
      <c r="A1010" s="7" t="s">
        <v>1036</v>
      </c>
      <c r="B1010" s="7" t="s">
        <v>14</v>
      </c>
      <c r="C1010" s="7" t="s">
        <v>929</v>
      </c>
      <c r="D1010" s="7" t="s">
        <v>930</v>
      </c>
      <c r="E1010" s="7" t="s">
        <v>44</v>
      </c>
      <c r="F1010" s="8" t="n">
        <v>0</v>
      </c>
      <c r="G1010" s="9" t="n">
        <v>0</v>
      </c>
      <c r="H1010" s="9" t="n">
        <v>0</v>
      </c>
      <c r="I1010" s="9" t="n">
        <v>0</v>
      </c>
      <c r="J1010" s="7" t="s">
        <v>18</v>
      </c>
      <c r="K1010" s="7" t="s">
        <v>19</v>
      </c>
      <c r="L1010" s="7" t="s">
        <v>20</v>
      </c>
    </row>
    <row r="1011" customFormat="false" ht="22.35" hidden="false" customHeight="false" outlineLevel="0" collapsed="false">
      <c r="A1011" s="4" t="s">
        <v>1037</v>
      </c>
      <c r="B1011" s="4" t="s">
        <v>14</v>
      </c>
      <c r="C1011" s="4" t="s">
        <v>929</v>
      </c>
      <c r="D1011" s="4" t="s">
        <v>930</v>
      </c>
      <c r="E1011" s="4" t="s">
        <v>44</v>
      </c>
      <c r="F1011" s="5" t="n">
        <v>0</v>
      </c>
      <c r="G1011" s="6" t="n">
        <v>0</v>
      </c>
      <c r="H1011" s="6" t="n">
        <v>0</v>
      </c>
      <c r="I1011" s="6" t="n">
        <v>0</v>
      </c>
      <c r="J1011" s="4" t="s">
        <v>18</v>
      </c>
      <c r="K1011" s="4" t="s">
        <v>19</v>
      </c>
      <c r="L1011" s="4" t="s">
        <v>20</v>
      </c>
    </row>
    <row r="1012" customFormat="false" ht="22.35" hidden="false" customHeight="false" outlineLevel="0" collapsed="false">
      <c r="A1012" s="7" t="s">
        <v>1038</v>
      </c>
      <c r="B1012" s="7" t="s">
        <v>14</v>
      </c>
      <c r="C1012" s="7" t="s">
        <v>929</v>
      </c>
      <c r="D1012" s="7" t="s">
        <v>930</v>
      </c>
      <c r="E1012" s="7" t="s">
        <v>44</v>
      </c>
      <c r="F1012" s="8" t="n">
        <v>0</v>
      </c>
      <c r="G1012" s="9" t="n">
        <v>0</v>
      </c>
      <c r="H1012" s="9" t="n">
        <v>0</v>
      </c>
      <c r="I1012" s="9" t="n">
        <v>0</v>
      </c>
      <c r="J1012" s="7" t="s">
        <v>18</v>
      </c>
      <c r="K1012" s="7" t="s">
        <v>19</v>
      </c>
      <c r="L1012" s="7" t="s">
        <v>20</v>
      </c>
    </row>
    <row r="1013" customFormat="false" ht="22.35" hidden="false" customHeight="false" outlineLevel="0" collapsed="false">
      <c r="A1013" s="4" t="s">
        <v>1039</v>
      </c>
      <c r="B1013" s="4" t="s">
        <v>14</v>
      </c>
      <c r="C1013" s="4" t="s">
        <v>929</v>
      </c>
      <c r="D1013" s="4" t="s">
        <v>930</v>
      </c>
      <c r="E1013" s="4" t="s">
        <v>44</v>
      </c>
      <c r="F1013" s="5" t="n">
        <v>0</v>
      </c>
      <c r="G1013" s="6" t="n">
        <v>0</v>
      </c>
      <c r="H1013" s="6" t="n">
        <v>0</v>
      </c>
      <c r="I1013" s="6" t="n">
        <v>0</v>
      </c>
      <c r="J1013" s="4" t="s">
        <v>18</v>
      </c>
      <c r="K1013" s="4" t="s">
        <v>19</v>
      </c>
      <c r="L1013" s="4" t="s">
        <v>20</v>
      </c>
    </row>
    <row r="1014" customFormat="false" ht="22.35" hidden="false" customHeight="false" outlineLevel="0" collapsed="false">
      <c r="A1014" s="7" t="s">
        <v>1040</v>
      </c>
      <c r="B1014" s="7" t="s">
        <v>14</v>
      </c>
      <c r="C1014" s="7" t="s">
        <v>929</v>
      </c>
      <c r="D1014" s="7" t="s">
        <v>930</v>
      </c>
      <c r="E1014" s="7" t="s">
        <v>44</v>
      </c>
      <c r="F1014" s="8" t="n">
        <v>0</v>
      </c>
      <c r="G1014" s="9" t="n">
        <v>0</v>
      </c>
      <c r="H1014" s="9" t="n">
        <v>0</v>
      </c>
      <c r="I1014" s="9" t="n">
        <v>0</v>
      </c>
      <c r="J1014" s="7" t="s">
        <v>18</v>
      </c>
      <c r="K1014" s="7" t="s">
        <v>19</v>
      </c>
      <c r="L1014" s="7" t="s">
        <v>20</v>
      </c>
    </row>
    <row r="1015" customFormat="false" ht="22.35" hidden="false" customHeight="false" outlineLevel="0" collapsed="false">
      <c r="A1015" s="4" t="s">
        <v>1041</v>
      </c>
      <c r="B1015" s="4" t="s">
        <v>14</v>
      </c>
      <c r="C1015" s="4" t="s">
        <v>929</v>
      </c>
      <c r="D1015" s="4" t="s">
        <v>930</v>
      </c>
      <c r="E1015" s="4" t="s">
        <v>44</v>
      </c>
      <c r="F1015" s="5" t="n">
        <v>0</v>
      </c>
      <c r="G1015" s="6" t="n">
        <v>0</v>
      </c>
      <c r="H1015" s="6" t="n">
        <v>0</v>
      </c>
      <c r="I1015" s="6" t="n">
        <v>0</v>
      </c>
      <c r="J1015" s="4" t="s">
        <v>18</v>
      </c>
      <c r="K1015" s="4" t="s">
        <v>19</v>
      </c>
      <c r="L1015" s="4" t="s">
        <v>20</v>
      </c>
    </row>
    <row r="1016" customFormat="false" ht="22.35" hidden="false" customHeight="false" outlineLevel="0" collapsed="false">
      <c r="A1016" s="7" t="s">
        <v>1042</v>
      </c>
      <c r="B1016" s="7" t="s">
        <v>14</v>
      </c>
      <c r="C1016" s="7" t="s">
        <v>929</v>
      </c>
      <c r="D1016" s="7" t="s">
        <v>930</v>
      </c>
      <c r="E1016" s="7" t="s">
        <v>44</v>
      </c>
      <c r="F1016" s="8" t="n">
        <v>0</v>
      </c>
      <c r="G1016" s="9" t="n">
        <v>0</v>
      </c>
      <c r="H1016" s="9" t="n">
        <v>0</v>
      </c>
      <c r="I1016" s="9" t="n">
        <v>0</v>
      </c>
      <c r="J1016" s="7" t="s">
        <v>18</v>
      </c>
      <c r="K1016" s="7" t="s">
        <v>19</v>
      </c>
      <c r="L1016" s="7" t="s">
        <v>20</v>
      </c>
    </row>
    <row r="1017" customFormat="false" ht="22.35" hidden="false" customHeight="false" outlineLevel="0" collapsed="false">
      <c r="A1017" s="4" t="s">
        <v>1043</v>
      </c>
      <c r="B1017" s="4" t="s">
        <v>14</v>
      </c>
      <c r="C1017" s="4" t="s">
        <v>929</v>
      </c>
      <c r="D1017" s="4" t="s">
        <v>930</v>
      </c>
      <c r="E1017" s="4" t="s">
        <v>44</v>
      </c>
      <c r="F1017" s="5" t="n">
        <v>0</v>
      </c>
      <c r="G1017" s="6" t="n">
        <v>0</v>
      </c>
      <c r="H1017" s="6" t="n">
        <v>0</v>
      </c>
      <c r="I1017" s="6" t="n">
        <v>0</v>
      </c>
      <c r="J1017" s="4" t="s">
        <v>18</v>
      </c>
      <c r="K1017" s="4" t="s">
        <v>19</v>
      </c>
      <c r="L1017" s="4" t="s">
        <v>20</v>
      </c>
    </row>
    <row r="1018" customFormat="false" ht="22.35" hidden="false" customHeight="false" outlineLevel="0" collapsed="false">
      <c r="A1018" s="7" t="s">
        <v>1044</v>
      </c>
      <c r="B1018" s="7" t="s">
        <v>14</v>
      </c>
      <c r="C1018" s="7" t="s">
        <v>929</v>
      </c>
      <c r="D1018" s="7" t="s">
        <v>930</v>
      </c>
      <c r="E1018" s="7" t="s">
        <v>44</v>
      </c>
      <c r="F1018" s="8" t="n">
        <v>0</v>
      </c>
      <c r="G1018" s="9" t="n">
        <v>0</v>
      </c>
      <c r="H1018" s="9" t="n">
        <v>0</v>
      </c>
      <c r="I1018" s="9" t="n">
        <v>0</v>
      </c>
      <c r="J1018" s="7" t="s">
        <v>18</v>
      </c>
      <c r="K1018" s="7" t="s">
        <v>19</v>
      </c>
      <c r="L1018" s="7" t="s">
        <v>20</v>
      </c>
    </row>
    <row r="1019" customFormat="false" ht="22.35" hidden="false" customHeight="false" outlineLevel="0" collapsed="false">
      <c r="A1019" s="4" t="s">
        <v>1045</v>
      </c>
      <c r="B1019" s="4" t="s">
        <v>14</v>
      </c>
      <c r="C1019" s="4" t="s">
        <v>929</v>
      </c>
      <c r="D1019" s="4" t="s">
        <v>930</v>
      </c>
      <c r="E1019" s="4" t="s">
        <v>44</v>
      </c>
      <c r="F1019" s="5" t="n">
        <v>0</v>
      </c>
      <c r="G1019" s="6" t="n">
        <v>0</v>
      </c>
      <c r="H1019" s="6" t="n">
        <v>0</v>
      </c>
      <c r="I1019" s="6" t="n">
        <v>0</v>
      </c>
      <c r="J1019" s="4" t="s">
        <v>18</v>
      </c>
      <c r="K1019" s="4" t="s">
        <v>19</v>
      </c>
      <c r="L1019" s="4" t="s">
        <v>20</v>
      </c>
    </row>
    <row r="1020" customFormat="false" ht="22.35" hidden="false" customHeight="false" outlineLevel="0" collapsed="false">
      <c r="A1020" s="7" t="s">
        <v>1046</v>
      </c>
      <c r="B1020" s="7" t="s">
        <v>14</v>
      </c>
      <c r="C1020" s="7" t="s">
        <v>929</v>
      </c>
      <c r="D1020" s="7" t="s">
        <v>930</v>
      </c>
      <c r="E1020" s="7" t="s">
        <v>44</v>
      </c>
      <c r="F1020" s="8" t="n">
        <v>0</v>
      </c>
      <c r="G1020" s="9" t="n">
        <v>0</v>
      </c>
      <c r="H1020" s="9" t="n">
        <v>0</v>
      </c>
      <c r="I1020" s="9" t="n">
        <v>0</v>
      </c>
      <c r="J1020" s="7" t="s">
        <v>18</v>
      </c>
      <c r="K1020" s="7" t="s">
        <v>19</v>
      </c>
      <c r="L1020" s="7" t="s">
        <v>20</v>
      </c>
    </row>
    <row r="1021" customFormat="false" ht="22.35" hidden="false" customHeight="false" outlineLevel="0" collapsed="false">
      <c r="A1021" s="4" t="s">
        <v>1047</v>
      </c>
      <c r="B1021" s="4" t="s">
        <v>14</v>
      </c>
      <c r="C1021" s="4" t="s">
        <v>929</v>
      </c>
      <c r="D1021" s="4" t="s">
        <v>930</v>
      </c>
      <c r="E1021" s="4" t="s">
        <v>44</v>
      </c>
      <c r="F1021" s="5" t="n">
        <v>0</v>
      </c>
      <c r="G1021" s="6" t="n">
        <v>0</v>
      </c>
      <c r="H1021" s="6" t="n">
        <v>0</v>
      </c>
      <c r="I1021" s="6" t="n">
        <v>0</v>
      </c>
      <c r="J1021" s="4" t="s">
        <v>18</v>
      </c>
      <c r="K1021" s="4" t="s">
        <v>19</v>
      </c>
      <c r="L1021" s="4" t="s">
        <v>20</v>
      </c>
    </row>
    <row r="1022" customFormat="false" ht="22.35" hidden="false" customHeight="false" outlineLevel="0" collapsed="false">
      <c r="A1022" s="7" t="s">
        <v>1048</v>
      </c>
      <c r="B1022" s="7" t="s">
        <v>14</v>
      </c>
      <c r="C1022" s="7" t="s">
        <v>929</v>
      </c>
      <c r="D1022" s="7" t="s">
        <v>930</v>
      </c>
      <c r="E1022" s="7" t="s">
        <v>44</v>
      </c>
      <c r="F1022" s="8" t="n">
        <v>0</v>
      </c>
      <c r="G1022" s="9" t="n">
        <v>0</v>
      </c>
      <c r="H1022" s="9" t="n">
        <v>0</v>
      </c>
      <c r="I1022" s="9" t="n">
        <v>0</v>
      </c>
      <c r="J1022" s="7" t="s">
        <v>18</v>
      </c>
      <c r="K1022" s="7" t="s">
        <v>19</v>
      </c>
      <c r="L1022" s="7" t="s">
        <v>20</v>
      </c>
    </row>
    <row r="1023" customFormat="false" ht="22.35" hidden="false" customHeight="false" outlineLevel="0" collapsed="false">
      <c r="A1023" s="4" t="s">
        <v>1049</v>
      </c>
      <c r="B1023" s="4" t="s">
        <v>14</v>
      </c>
      <c r="C1023" s="4" t="s">
        <v>929</v>
      </c>
      <c r="D1023" s="4" t="s">
        <v>930</v>
      </c>
      <c r="E1023" s="4" t="s">
        <v>44</v>
      </c>
      <c r="F1023" s="5" t="n">
        <v>0</v>
      </c>
      <c r="G1023" s="6" t="n">
        <v>0</v>
      </c>
      <c r="H1023" s="6" t="n">
        <v>0</v>
      </c>
      <c r="I1023" s="6" t="n">
        <v>0</v>
      </c>
      <c r="J1023" s="4" t="s">
        <v>18</v>
      </c>
      <c r="K1023" s="4" t="s">
        <v>19</v>
      </c>
      <c r="L1023" s="4" t="s">
        <v>20</v>
      </c>
    </row>
    <row r="1024" customFormat="false" ht="22.35" hidden="false" customHeight="false" outlineLevel="0" collapsed="false">
      <c r="A1024" s="7" t="s">
        <v>1050</v>
      </c>
      <c r="B1024" s="7" t="s">
        <v>14</v>
      </c>
      <c r="C1024" s="7" t="s">
        <v>929</v>
      </c>
      <c r="D1024" s="7" t="s">
        <v>930</v>
      </c>
      <c r="E1024" s="7" t="s">
        <v>44</v>
      </c>
      <c r="F1024" s="8" t="n">
        <v>0</v>
      </c>
      <c r="G1024" s="9" t="n">
        <v>0</v>
      </c>
      <c r="H1024" s="9" t="n">
        <v>0</v>
      </c>
      <c r="I1024" s="9" t="n">
        <v>0</v>
      </c>
      <c r="J1024" s="7" t="s">
        <v>18</v>
      </c>
      <c r="K1024" s="7" t="s">
        <v>19</v>
      </c>
      <c r="L1024" s="7" t="s">
        <v>20</v>
      </c>
    </row>
    <row r="1025" customFormat="false" ht="22.35" hidden="false" customHeight="false" outlineLevel="0" collapsed="false">
      <c r="A1025" s="4" t="s">
        <v>1051</v>
      </c>
      <c r="B1025" s="4" t="s">
        <v>14</v>
      </c>
      <c r="C1025" s="4" t="s">
        <v>929</v>
      </c>
      <c r="D1025" s="4" t="s">
        <v>930</v>
      </c>
      <c r="E1025" s="4" t="s">
        <v>44</v>
      </c>
      <c r="F1025" s="5" t="n">
        <v>0</v>
      </c>
      <c r="G1025" s="6" t="n">
        <v>0</v>
      </c>
      <c r="H1025" s="6" t="n">
        <v>0</v>
      </c>
      <c r="I1025" s="6" t="n">
        <v>0</v>
      </c>
      <c r="J1025" s="4" t="s">
        <v>18</v>
      </c>
      <c r="K1025" s="4" t="s">
        <v>19</v>
      </c>
      <c r="L1025" s="4" t="s">
        <v>20</v>
      </c>
    </row>
    <row r="1026" customFormat="false" ht="22.35" hidden="false" customHeight="false" outlineLevel="0" collapsed="false">
      <c r="A1026" s="7" t="s">
        <v>1052</v>
      </c>
      <c r="B1026" s="7" t="s">
        <v>14</v>
      </c>
      <c r="C1026" s="7" t="s">
        <v>929</v>
      </c>
      <c r="D1026" s="7" t="s">
        <v>930</v>
      </c>
      <c r="E1026" s="7" t="s">
        <v>44</v>
      </c>
      <c r="F1026" s="8" t="n">
        <v>0</v>
      </c>
      <c r="G1026" s="9" t="n">
        <v>0</v>
      </c>
      <c r="H1026" s="9" t="n">
        <v>0</v>
      </c>
      <c r="I1026" s="9" t="n">
        <v>0</v>
      </c>
      <c r="J1026" s="7" t="s">
        <v>18</v>
      </c>
      <c r="K1026" s="7" t="s">
        <v>19</v>
      </c>
      <c r="L1026" s="7" t="s">
        <v>20</v>
      </c>
    </row>
    <row r="1027" customFormat="false" ht="22.35" hidden="false" customHeight="false" outlineLevel="0" collapsed="false">
      <c r="A1027" s="4" t="s">
        <v>1053</v>
      </c>
      <c r="B1027" s="4" t="s">
        <v>14</v>
      </c>
      <c r="C1027" s="4" t="s">
        <v>929</v>
      </c>
      <c r="D1027" s="4" t="s">
        <v>930</v>
      </c>
      <c r="E1027" s="4" t="s">
        <v>44</v>
      </c>
      <c r="F1027" s="5" t="n">
        <v>0</v>
      </c>
      <c r="G1027" s="6" t="n">
        <v>0</v>
      </c>
      <c r="H1027" s="6" t="n">
        <v>0</v>
      </c>
      <c r="I1027" s="6" t="n">
        <v>0</v>
      </c>
      <c r="J1027" s="4" t="s">
        <v>18</v>
      </c>
      <c r="K1027" s="4" t="s">
        <v>19</v>
      </c>
      <c r="L1027" s="4" t="s">
        <v>20</v>
      </c>
    </row>
    <row r="1028" customFormat="false" ht="22.35" hidden="false" customHeight="false" outlineLevel="0" collapsed="false">
      <c r="A1028" s="7" t="s">
        <v>1054</v>
      </c>
      <c r="B1028" s="7" t="s">
        <v>14</v>
      </c>
      <c r="C1028" s="7" t="s">
        <v>929</v>
      </c>
      <c r="D1028" s="7" t="s">
        <v>930</v>
      </c>
      <c r="E1028" s="7" t="s">
        <v>44</v>
      </c>
      <c r="F1028" s="8" t="n">
        <v>0</v>
      </c>
      <c r="G1028" s="9" t="n">
        <v>0</v>
      </c>
      <c r="H1028" s="9" t="n">
        <v>0</v>
      </c>
      <c r="I1028" s="9" t="n">
        <v>0</v>
      </c>
      <c r="J1028" s="7" t="s">
        <v>18</v>
      </c>
      <c r="K1028" s="7" t="s">
        <v>19</v>
      </c>
      <c r="L1028" s="7" t="s">
        <v>20</v>
      </c>
    </row>
    <row r="1029" customFormat="false" ht="22.35" hidden="false" customHeight="false" outlineLevel="0" collapsed="false">
      <c r="A1029" s="4" t="s">
        <v>1055</v>
      </c>
      <c r="B1029" s="4" t="s">
        <v>14</v>
      </c>
      <c r="C1029" s="4" t="s">
        <v>929</v>
      </c>
      <c r="D1029" s="4" t="s">
        <v>930</v>
      </c>
      <c r="E1029" s="4" t="s">
        <v>44</v>
      </c>
      <c r="F1029" s="5" t="n">
        <v>0</v>
      </c>
      <c r="G1029" s="6" t="n">
        <v>0</v>
      </c>
      <c r="H1029" s="6" t="n">
        <v>0</v>
      </c>
      <c r="I1029" s="6" t="n">
        <v>0</v>
      </c>
      <c r="J1029" s="4" t="s">
        <v>18</v>
      </c>
      <c r="K1029" s="4" t="s">
        <v>19</v>
      </c>
      <c r="L1029" s="4" t="s">
        <v>20</v>
      </c>
    </row>
    <row r="1030" customFormat="false" ht="22.35" hidden="false" customHeight="false" outlineLevel="0" collapsed="false">
      <c r="A1030" s="7" t="s">
        <v>1056</v>
      </c>
      <c r="B1030" s="7" t="s">
        <v>14</v>
      </c>
      <c r="C1030" s="7" t="s">
        <v>929</v>
      </c>
      <c r="D1030" s="7" t="s">
        <v>930</v>
      </c>
      <c r="E1030" s="7" t="s">
        <v>44</v>
      </c>
      <c r="F1030" s="8" t="n">
        <v>0</v>
      </c>
      <c r="G1030" s="9" t="n">
        <v>0</v>
      </c>
      <c r="H1030" s="9" t="n">
        <v>0</v>
      </c>
      <c r="I1030" s="9" t="n">
        <v>0</v>
      </c>
      <c r="J1030" s="7" t="s">
        <v>18</v>
      </c>
      <c r="K1030" s="7" t="s">
        <v>19</v>
      </c>
      <c r="L1030" s="7" t="s">
        <v>20</v>
      </c>
    </row>
    <row r="1031" customFormat="false" ht="22.35" hidden="false" customHeight="false" outlineLevel="0" collapsed="false">
      <c r="A1031" s="4" t="s">
        <v>1057</v>
      </c>
      <c r="B1031" s="4" t="s">
        <v>14</v>
      </c>
      <c r="C1031" s="4" t="s">
        <v>929</v>
      </c>
      <c r="D1031" s="4" t="s">
        <v>930</v>
      </c>
      <c r="E1031" s="4" t="s">
        <v>44</v>
      </c>
      <c r="F1031" s="5" t="n">
        <v>0</v>
      </c>
      <c r="G1031" s="6" t="n">
        <v>0</v>
      </c>
      <c r="H1031" s="6" t="n">
        <v>0</v>
      </c>
      <c r="I1031" s="6" t="n">
        <v>0</v>
      </c>
      <c r="J1031" s="4" t="s">
        <v>18</v>
      </c>
      <c r="K1031" s="4" t="s">
        <v>19</v>
      </c>
      <c r="L1031" s="4" t="s">
        <v>20</v>
      </c>
    </row>
    <row r="1032" customFormat="false" ht="22.35" hidden="false" customHeight="false" outlineLevel="0" collapsed="false">
      <c r="A1032" s="7" t="s">
        <v>1058</v>
      </c>
      <c r="B1032" s="7" t="s">
        <v>14</v>
      </c>
      <c r="C1032" s="7" t="s">
        <v>929</v>
      </c>
      <c r="D1032" s="7" t="s">
        <v>930</v>
      </c>
      <c r="E1032" s="7" t="s">
        <v>44</v>
      </c>
      <c r="F1032" s="8" t="n">
        <v>0</v>
      </c>
      <c r="G1032" s="9" t="n">
        <v>0</v>
      </c>
      <c r="H1032" s="9" t="n">
        <v>0</v>
      </c>
      <c r="I1032" s="9" t="n">
        <v>0</v>
      </c>
      <c r="J1032" s="7" t="s">
        <v>18</v>
      </c>
      <c r="K1032" s="7" t="s">
        <v>19</v>
      </c>
      <c r="L1032" s="7" t="s">
        <v>20</v>
      </c>
    </row>
    <row r="1033" customFormat="false" ht="22.35" hidden="false" customHeight="false" outlineLevel="0" collapsed="false">
      <c r="A1033" s="4" t="s">
        <v>1059</v>
      </c>
      <c r="B1033" s="4" t="s">
        <v>14</v>
      </c>
      <c r="C1033" s="4" t="s">
        <v>929</v>
      </c>
      <c r="D1033" s="4" t="s">
        <v>930</v>
      </c>
      <c r="E1033" s="4" t="s">
        <v>44</v>
      </c>
      <c r="F1033" s="5" t="n">
        <v>0</v>
      </c>
      <c r="G1033" s="6" t="n">
        <v>0</v>
      </c>
      <c r="H1033" s="6" t="n">
        <v>0</v>
      </c>
      <c r="I1033" s="6" t="n">
        <v>0</v>
      </c>
      <c r="J1033" s="4" t="s">
        <v>18</v>
      </c>
      <c r="K1033" s="4" t="s">
        <v>19</v>
      </c>
      <c r="L1033" s="4" t="s">
        <v>20</v>
      </c>
    </row>
    <row r="1034" customFormat="false" ht="22.35" hidden="false" customHeight="false" outlineLevel="0" collapsed="false">
      <c r="A1034" s="7" t="s">
        <v>1060</v>
      </c>
      <c r="B1034" s="7" t="s">
        <v>14</v>
      </c>
      <c r="C1034" s="7" t="s">
        <v>929</v>
      </c>
      <c r="D1034" s="7" t="s">
        <v>930</v>
      </c>
      <c r="E1034" s="7" t="s">
        <v>44</v>
      </c>
      <c r="F1034" s="8" t="n">
        <v>0</v>
      </c>
      <c r="G1034" s="9" t="n">
        <v>0</v>
      </c>
      <c r="H1034" s="9" t="n">
        <v>0</v>
      </c>
      <c r="I1034" s="9" t="n">
        <v>0</v>
      </c>
      <c r="J1034" s="7" t="s">
        <v>18</v>
      </c>
      <c r="K1034" s="7" t="s">
        <v>19</v>
      </c>
      <c r="L1034" s="7" t="s">
        <v>20</v>
      </c>
    </row>
    <row r="1035" customFormat="false" ht="22.35" hidden="false" customHeight="false" outlineLevel="0" collapsed="false">
      <c r="A1035" s="4" t="s">
        <v>1061</v>
      </c>
      <c r="B1035" s="4" t="s">
        <v>14</v>
      </c>
      <c r="C1035" s="4" t="s">
        <v>929</v>
      </c>
      <c r="D1035" s="4" t="s">
        <v>930</v>
      </c>
      <c r="E1035" s="4" t="s">
        <v>44</v>
      </c>
      <c r="F1035" s="5" t="n">
        <v>0</v>
      </c>
      <c r="G1035" s="6" t="n">
        <v>0</v>
      </c>
      <c r="H1035" s="6" t="n">
        <v>0</v>
      </c>
      <c r="I1035" s="6" t="n">
        <v>0</v>
      </c>
      <c r="J1035" s="4" t="s">
        <v>18</v>
      </c>
      <c r="K1035" s="4" t="s">
        <v>19</v>
      </c>
      <c r="L1035" s="4" t="s">
        <v>20</v>
      </c>
    </row>
    <row r="1036" customFormat="false" ht="22.35" hidden="false" customHeight="false" outlineLevel="0" collapsed="false">
      <c r="A1036" s="7" t="s">
        <v>1062</v>
      </c>
      <c r="B1036" s="7" t="s">
        <v>14</v>
      </c>
      <c r="C1036" s="7" t="s">
        <v>929</v>
      </c>
      <c r="D1036" s="7" t="s">
        <v>930</v>
      </c>
      <c r="E1036" s="7" t="s">
        <v>44</v>
      </c>
      <c r="F1036" s="8" t="n">
        <v>0</v>
      </c>
      <c r="G1036" s="9" t="n">
        <v>0</v>
      </c>
      <c r="H1036" s="9" t="n">
        <v>0</v>
      </c>
      <c r="I1036" s="9" t="n">
        <v>0</v>
      </c>
      <c r="J1036" s="7" t="s">
        <v>18</v>
      </c>
      <c r="K1036" s="7" t="s">
        <v>19</v>
      </c>
      <c r="L1036" s="7" t="s">
        <v>20</v>
      </c>
    </row>
    <row r="1037" customFormat="false" ht="22.35" hidden="false" customHeight="false" outlineLevel="0" collapsed="false">
      <c r="A1037" s="4" t="s">
        <v>1063</v>
      </c>
      <c r="B1037" s="4" t="s">
        <v>14</v>
      </c>
      <c r="C1037" s="4" t="s">
        <v>929</v>
      </c>
      <c r="D1037" s="4" t="s">
        <v>930</v>
      </c>
      <c r="E1037" s="4" t="s">
        <v>44</v>
      </c>
      <c r="F1037" s="5" t="n">
        <v>0</v>
      </c>
      <c r="G1037" s="6" t="n">
        <v>0</v>
      </c>
      <c r="H1037" s="6" t="n">
        <v>0</v>
      </c>
      <c r="I1037" s="6" t="n">
        <v>0</v>
      </c>
      <c r="J1037" s="4" t="s">
        <v>18</v>
      </c>
      <c r="K1037" s="4" t="s">
        <v>19</v>
      </c>
      <c r="L1037" s="4" t="s">
        <v>20</v>
      </c>
    </row>
    <row r="1038" customFormat="false" ht="22.35" hidden="false" customHeight="false" outlineLevel="0" collapsed="false">
      <c r="A1038" s="7" t="s">
        <v>1064</v>
      </c>
      <c r="B1038" s="7" t="s">
        <v>14</v>
      </c>
      <c r="C1038" s="7" t="s">
        <v>929</v>
      </c>
      <c r="D1038" s="7" t="s">
        <v>930</v>
      </c>
      <c r="E1038" s="7" t="s">
        <v>1065</v>
      </c>
      <c r="F1038" s="8" t="n">
        <v>0</v>
      </c>
      <c r="G1038" s="9" t="n">
        <v>0</v>
      </c>
      <c r="H1038" s="9" t="n">
        <v>0</v>
      </c>
      <c r="I1038" s="9" t="n">
        <v>0</v>
      </c>
      <c r="J1038" s="7" t="s">
        <v>18</v>
      </c>
      <c r="K1038" s="7" t="s">
        <v>19</v>
      </c>
      <c r="L1038" s="7" t="s">
        <v>20</v>
      </c>
    </row>
    <row r="1039" customFormat="false" ht="22.35" hidden="false" customHeight="false" outlineLevel="0" collapsed="false">
      <c r="A1039" s="4" t="s">
        <v>1066</v>
      </c>
      <c r="B1039" s="4" t="s">
        <v>14</v>
      </c>
      <c r="C1039" s="4" t="s">
        <v>929</v>
      </c>
      <c r="D1039" s="4" t="s">
        <v>930</v>
      </c>
      <c r="E1039" s="4" t="s">
        <v>44</v>
      </c>
      <c r="F1039" s="5" t="n">
        <v>0</v>
      </c>
      <c r="G1039" s="6" t="n">
        <v>0</v>
      </c>
      <c r="H1039" s="6" t="n">
        <v>0</v>
      </c>
      <c r="I1039" s="6" t="n">
        <v>0</v>
      </c>
      <c r="J1039" s="4" t="s">
        <v>18</v>
      </c>
      <c r="K1039" s="4" t="s">
        <v>19</v>
      </c>
      <c r="L1039" s="4" t="s">
        <v>20</v>
      </c>
    </row>
    <row r="1040" customFormat="false" ht="22.35" hidden="false" customHeight="false" outlineLevel="0" collapsed="false">
      <c r="A1040" s="7" t="s">
        <v>1067</v>
      </c>
      <c r="B1040" s="7" t="s">
        <v>14</v>
      </c>
      <c r="C1040" s="7" t="s">
        <v>929</v>
      </c>
      <c r="D1040" s="7" t="s">
        <v>930</v>
      </c>
      <c r="E1040" s="7" t="s">
        <v>44</v>
      </c>
      <c r="F1040" s="8" t="n">
        <v>0</v>
      </c>
      <c r="G1040" s="9" t="n">
        <v>0</v>
      </c>
      <c r="H1040" s="9" t="n">
        <v>0</v>
      </c>
      <c r="I1040" s="9" t="n">
        <v>0</v>
      </c>
      <c r="J1040" s="7" t="s">
        <v>18</v>
      </c>
      <c r="K1040" s="7" t="s">
        <v>19</v>
      </c>
      <c r="L1040" s="7" t="s">
        <v>20</v>
      </c>
    </row>
    <row r="1041" customFormat="false" ht="22.35" hidden="false" customHeight="false" outlineLevel="0" collapsed="false">
      <c r="A1041" s="4" t="s">
        <v>1068</v>
      </c>
      <c r="B1041" s="4" t="s">
        <v>14</v>
      </c>
      <c r="C1041" s="4" t="s">
        <v>929</v>
      </c>
      <c r="D1041" s="4" t="s">
        <v>930</v>
      </c>
      <c r="E1041" s="4" t="s">
        <v>44</v>
      </c>
      <c r="F1041" s="5" t="n">
        <v>0</v>
      </c>
      <c r="G1041" s="6" t="n">
        <v>0</v>
      </c>
      <c r="H1041" s="6" t="n">
        <v>0</v>
      </c>
      <c r="I1041" s="6" t="n">
        <v>0</v>
      </c>
      <c r="J1041" s="4" t="s">
        <v>18</v>
      </c>
      <c r="K1041" s="4" t="s">
        <v>19</v>
      </c>
      <c r="L1041" s="4" t="s">
        <v>20</v>
      </c>
    </row>
    <row r="1042" customFormat="false" ht="22.35" hidden="false" customHeight="false" outlineLevel="0" collapsed="false">
      <c r="A1042" s="7" t="s">
        <v>1069</v>
      </c>
      <c r="B1042" s="7" t="s">
        <v>14</v>
      </c>
      <c r="C1042" s="7" t="s">
        <v>929</v>
      </c>
      <c r="D1042" s="7" t="s">
        <v>930</v>
      </c>
      <c r="E1042" s="7" t="s">
        <v>44</v>
      </c>
      <c r="F1042" s="8" t="n">
        <v>0</v>
      </c>
      <c r="G1042" s="9" t="n">
        <v>0</v>
      </c>
      <c r="H1042" s="9" t="n">
        <v>0</v>
      </c>
      <c r="I1042" s="9" t="n">
        <v>0</v>
      </c>
      <c r="J1042" s="7" t="s">
        <v>18</v>
      </c>
      <c r="K1042" s="7" t="s">
        <v>19</v>
      </c>
      <c r="L1042" s="7" t="s">
        <v>20</v>
      </c>
    </row>
    <row r="1043" customFormat="false" ht="22.35" hidden="false" customHeight="false" outlineLevel="0" collapsed="false">
      <c r="A1043" s="4" t="s">
        <v>1070</v>
      </c>
      <c r="B1043" s="4" t="s">
        <v>14</v>
      </c>
      <c r="C1043" s="4" t="s">
        <v>929</v>
      </c>
      <c r="D1043" s="4" t="s">
        <v>930</v>
      </c>
      <c r="E1043" s="4" t="s">
        <v>44</v>
      </c>
      <c r="F1043" s="5" t="n">
        <v>0</v>
      </c>
      <c r="G1043" s="6" t="n">
        <v>0</v>
      </c>
      <c r="H1043" s="6" t="n">
        <v>0</v>
      </c>
      <c r="I1043" s="6" t="n">
        <v>0</v>
      </c>
      <c r="J1043" s="4" t="s">
        <v>18</v>
      </c>
      <c r="K1043" s="4" t="s">
        <v>19</v>
      </c>
      <c r="L1043" s="4" t="s">
        <v>20</v>
      </c>
    </row>
    <row r="1044" customFormat="false" ht="22.35" hidden="false" customHeight="false" outlineLevel="0" collapsed="false">
      <c r="A1044" s="7" t="s">
        <v>1071</v>
      </c>
      <c r="B1044" s="7" t="s">
        <v>14</v>
      </c>
      <c r="C1044" s="7" t="s">
        <v>929</v>
      </c>
      <c r="D1044" s="7" t="s">
        <v>930</v>
      </c>
      <c r="E1044" s="7" t="s">
        <v>44</v>
      </c>
      <c r="F1044" s="8" t="n">
        <v>0</v>
      </c>
      <c r="G1044" s="9" t="n">
        <v>0</v>
      </c>
      <c r="H1044" s="9" t="n">
        <v>0</v>
      </c>
      <c r="I1044" s="9" t="n">
        <v>0</v>
      </c>
      <c r="J1044" s="7" t="s">
        <v>18</v>
      </c>
      <c r="K1044" s="7" t="s">
        <v>19</v>
      </c>
      <c r="L1044" s="7" t="s">
        <v>20</v>
      </c>
    </row>
    <row r="1045" customFormat="false" ht="22.35" hidden="false" customHeight="false" outlineLevel="0" collapsed="false">
      <c r="A1045" s="4" t="s">
        <v>1072</v>
      </c>
      <c r="B1045" s="4" t="s">
        <v>14</v>
      </c>
      <c r="C1045" s="4" t="s">
        <v>929</v>
      </c>
      <c r="D1045" s="4" t="s">
        <v>930</v>
      </c>
      <c r="E1045" s="4" t="s">
        <v>1065</v>
      </c>
      <c r="F1045" s="5" t="n">
        <v>0</v>
      </c>
      <c r="G1045" s="6" t="n">
        <v>0</v>
      </c>
      <c r="H1045" s="6" t="n">
        <v>0</v>
      </c>
      <c r="I1045" s="6" t="n">
        <v>0</v>
      </c>
      <c r="J1045" s="4" t="s">
        <v>18</v>
      </c>
      <c r="K1045" s="4" t="s">
        <v>19</v>
      </c>
      <c r="L1045" s="4" t="s">
        <v>20</v>
      </c>
    </row>
    <row r="1046" customFormat="false" ht="22.35" hidden="false" customHeight="false" outlineLevel="0" collapsed="false">
      <c r="A1046" s="7" t="s">
        <v>1073</v>
      </c>
      <c r="B1046" s="7" t="s">
        <v>14</v>
      </c>
      <c r="C1046" s="7" t="s">
        <v>929</v>
      </c>
      <c r="D1046" s="7" t="s">
        <v>930</v>
      </c>
      <c r="E1046" s="7" t="s">
        <v>44</v>
      </c>
      <c r="F1046" s="8" t="n">
        <v>0</v>
      </c>
      <c r="G1046" s="9" t="n">
        <v>0</v>
      </c>
      <c r="H1046" s="9" t="n">
        <v>0</v>
      </c>
      <c r="I1046" s="9" t="n">
        <v>0</v>
      </c>
      <c r="J1046" s="7" t="s">
        <v>18</v>
      </c>
      <c r="K1046" s="7" t="s">
        <v>19</v>
      </c>
      <c r="L1046" s="7" t="s">
        <v>20</v>
      </c>
    </row>
    <row r="1047" customFormat="false" ht="22.35" hidden="false" customHeight="false" outlineLevel="0" collapsed="false">
      <c r="A1047" s="4" t="s">
        <v>1074</v>
      </c>
      <c r="B1047" s="4" t="s">
        <v>14</v>
      </c>
      <c r="C1047" s="4" t="s">
        <v>929</v>
      </c>
      <c r="D1047" s="4" t="s">
        <v>930</v>
      </c>
      <c r="E1047" s="4" t="s">
        <v>1065</v>
      </c>
      <c r="F1047" s="5" t="n">
        <v>0</v>
      </c>
      <c r="G1047" s="6" t="n">
        <v>0</v>
      </c>
      <c r="H1047" s="6" t="n">
        <v>0</v>
      </c>
      <c r="I1047" s="6" t="n">
        <v>0</v>
      </c>
      <c r="J1047" s="4" t="s">
        <v>18</v>
      </c>
      <c r="K1047" s="4" t="s">
        <v>19</v>
      </c>
      <c r="L1047" s="4" t="s">
        <v>20</v>
      </c>
    </row>
    <row r="1048" customFormat="false" ht="22.35" hidden="false" customHeight="false" outlineLevel="0" collapsed="false">
      <c r="A1048" s="7" t="s">
        <v>1075</v>
      </c>
      <c r="B1048" s="7" t="s">
        <v>14</v>
      </c>
      <c r="C1048" s="7" t="s">
        <v>929</v>
      </c>
      <c r="D1048" s="7" t="s">
        <v>930</v>
      </c>
      <c r="E1048" s="7" t="s">
        <v>44</v>
      </c>
      <c r="F1048" s="8" t="n">
        <v>0</v>
      </c>
      <c r="G1048" s="9" t="n">
        <v>0</v>
      </c>
      <c r="H1048" s="9" t="n">
        <v>0</v>
      </c>
      <c r="I1048" s="9" t="n">
        <v>0</v>
      </c>
      <c r="J1048" s="7" t="s">
        <v>18</v>
      </c>
      <c r="K1048" s="7" t="s">
        <v>19</v>
      </c>
      <c r="L1048" s="7" t="s">
        <v>20</v>
      </c>
    </row>
    <row r="1049" customFormat="false" ht="22.35" hidden="false" customHeight="false" outlineLevel="0" collapsed="false">
      <c r="A1049" s="4" t="s">
        <v>1076</v>
      </c>
      <c r="B1049" s="4" t="s">
        <v>14</v>
      </c>
      <c r="C1049" s="4" t="s">
        <v>929</v>
      </c>
      <c r="D1049" s="4" t="s">
        <v>930</v>
      </c>
      <c r="E1049" s="4" t="s">
        <v>44</v>
      </c>
      <c r="F1049" s="5" t="n">
        <v>0</v>
      </c>
      <c r="G1049" s="6" t="n">
        <v>0</v>
      </c>
      <c r="H1049" s="6" t="n">
        <v>0</v>
      </c>
      <c r="I1049" s="6" t="n">
        <v>0</v>
      </c>
      <c r="J1049" s="4" t="s">
        <v>18</v>
      </c>
      <c r="K1049" s="4" t="s">
        <v>19</v>
      </c>
      <c r="L1049" s="4" t="s">
        <v>20</v>
      </c>
    </row>
    <row r="1050" customFormat="false" ht="22.35" hidden="false" customHeight="false" outlineLevel="0" collapsed="false">
      <c r="A1050" s="7" t="s">
        <v>1077</v>
      </c>
      <c r="B1050" s="7" t="s">
        <v>14</v>
      </c>
      <c r="C1050" s="7" t="s">
        <v>929</v>
      </c>
      <c r="D1050" s="7" t="s">
        <v>930</v>
      </c>
      <c r="E1050" s="7" t="s">
        <v>44</v>
      </c>
      <c r="F1050" s="8" t="n">
        <v>0</v>
      </c>
      <c r="G1050" s="9" t="n">
        <v>0</v>
      </c>
      <c r="H1050" s="9" t="n">
        <v>0</v>
      </c>
      <c r="I1050" s="9" t="n">
        <v>0</v>
      </c>
      <c r="J1050" s="7" t="s">
        <v>18</v>
      </c>
      <c r="K1050" s="7" t="s">
        <v>19</v>
      </c>
      <c r="L1050" s="7" t="s">
        <v>20</v>
      </c>
    </row>
    <row r="1051" customFormat="false" ht="22.35" hidden="false" customHeight="false" outlineLevel="0" collapsed="false">
      <c r="A1051" s="4" t="s">
        <v>1078</v>
      </c>
      <c r="B1051" s="4" t="s">
        <v>14</v>
      </c>
      <c r="C1051" s="4" t="s">
        <v>929</v>
      </c>
      <c r="D1051" s="4" t="s">
        <v>930</v>
      </c>
      <c r="E1051" s="4" t="s">
        <v>44</v>
      </c>
      <c r="F1051" s="5" t="n">
        <v>0</v>
      </c>
      <c r="G1051" s="6" t="n">
        <v>0</v>
      </c>
      <c r="H1051" s="6" t="n">
        <v>0</v>
      </c>
      <c r="I1051" s="6" t="n">
        <v>0</v>
      </c>
      <c r="J1051" s="4" t="s">
        <v>18</v>
      </c>
      <c r="K1051" s="4" t="s">
        <v>19</v>
      </c>
      <c r="L1051" s="4" t="s">
        <v>20</v>
      </c>
    </row>
    <row r="1052" customFormat="false" ht="22.35" hidden="false" customHeight="false" outlineLevel="0" collapsed="false">
      <c r="A1052" s="7" t="s">
        <v>1079</v>
      </c>
      <c r="B1052" s="7" t="s">
        <v>14</v>
      </c>
      <c r="C1052" s="7" t="s">
        <v>929</v>
      </c>
      <c r="D1052" s="7" t="s">
        <v>930</v>
      </c>
      <c r="E1052" s="7" t="s">
        <v>1080</v>
      </c>
      <c r="F1052" s="8" t="n">
        <v>0</v>
      </c>
      <c r="G1052" s="9" t="n">
        <v>0</v>
      </c>
      <c r="H1052" s="9" t="n">
        <v>0</v>
      </c>
      <c r="I1052" s="9" t="n">
        <v>0</v>
      </c>
      <c r="J1052" s="7" t="s">
        <v>18</v>
      </c>
      <c r="K1052" s="7" t="s">
        <v>19</v>
      </c>
      <c r="L1052" s="7" t="s">
        <v>20</v>
      </c>
    </row>
    <row r="1053" customFormat="false" ht="22.35" hidden="false" customHeight="false" outlineLevel="0" collapsed="false">
      <c r="A1053" s="4" t="s">
        <v>1081</v>
      </c>
      <c r="B1053" s="4" t="s">
        <v>14</v>
      </c>
      <c r="C1053" s="4" t="s">
        <v>929</v>
      </c>
      <c r="D1053" s="4" t="s">
        <v>930</v>
      </c>
      <c r="E1053" s="4" t="s">
        <v>44</v>
      </c>
      <c r="F1053" s="5" t="n">
        <v>0</v>
      </c>
      <c r="G1053" s="6" t="n">
        <v>0</v>
      </c>
      <c r="H1053" s="6" t="n">
        <v>0</v>
      </c>
      <c r="I1053" s="6" t="n">
        <v>0</v>
      </c>
      <c r="J1053" s="4" t="s">
        <v>18</v>
      </c>
      <c r="K1053" s="4" t="s">
        <v>19</v>
      </c>
      <c r="L1053" s="4" t="s">
        <v>20</v>
      </c>
    </row>
    <row r="1054" customFormat="false" ht="22.35" hidden="false" customHeight="false" outlineLevel="0" collapsed="false">
      <c r="A1054" s="7" t="s">
        <v>1082</v>
      </c>
      <c r="B1054" s="7" t="s">
        <v>14</v>
      </c>
      <c r="C1054" s="7" t="s">
        <v>929</v>
      </c>
      <c r="D1054" s="7" t="s">
        <v>930</v>
      </c>
      <c r="E1054" s="7" t="s">
        <v>44</v>
      </c>
      <c r="F1054" s="8" t="n">
        <v>0</v>
      </c>
      <c r="G1054" s="9" t="n">
        <v>0</v>
      </c>
      <c r="H1054" s="9" t="n">
        <v>0</v>
      </c>
      <c r="I1054" s="9" t="n">
        <v>0</v>
      </c>
      <c r="J1054" s="7" t="s">
        <v>18</v>
      </c>
      <c r="K1054" s="7" t="s">
        <v>19</v>
      </c>
      <c r="L1054" s="7" t="s">
        <v>20</v>
      </c>
    </row>
    <row r="1055" customFormat="false" ht="22.35" hidden="false" customHeight="false" outlineLevel="0" collapsed="false">
      <c r="A1055" s="4" t="s">
        <v>1083</v>
      </c>
      <c r="B1055" s="4" t="s">
        <v>14</v>
      </c>
      <c r="C1055" s="4" t="s">
        <v>929</v>
      </c>
      <c r="D1055" s="4" t="s">
        <v>930</v>
      </c>
      <c r="E1055" s="4" t="s">
        <v>44</v>
      </c>
      <c r="F1055" s="5" t="n">
        <v>0</v>
      </c>
      <c r="G1055" s="6" t="n">
        <v>0</v>
      </c>
      <c r="H1055" s="6" t="n">
        <v>0</v>
      </c>
      <c r="I1055" s="6" t="n">
        <v>0</v>
      </c>
      <c r="J1055" s="4" t="s">
        <v>18</v>
      </c>
      <c r="K1055" s="4" t="s">
        <v>19</v>
      </c>
      <c r="L1055" s="4" t="s">
        <v>20</v>
      </c>
    </row>
    <row r="1056" customFormat="false" ht="22.35" hidden="false" customHeight="false" outlineLevel="0" collapsed="false">
      <c r="A1056" s="7" t="s">
        <v>1084</v>
      </c>
      <c r="B1056" s="7" t="s">
        <v>14</v>
      </c>
      <c r="C1056" s="7" t="s">
        <v>929</v>
      </c>
      <c r="D1056" s="7" t="s">
        <v>930</v>
      </c>
      <c r="E1056" s="7" t="s">
        <v>44</v>
      </c>
      <c r="F1056" s="8" t="n">
        <v>0</v>
      </c>
      <c r="G1056" s="9" t="n">
        <v>0</v>
      </c>
      <c r="H1056" s="9" t="n">
        <v>0</v>
      </c>
      <c r="I1056" s="9" t="n">
        <v>0</v>
      </c>
      <c r="J1056" s="7" t="s">
        <v>18</v>
      </c>
      <c r="K1056" s="7" t="s">
        <v>19</v>
      </c>
      <c r="L1056" s="7" t="s">
        <v>20</v>
      </c>
    </row>
    <row r="1057" customFormat="false" ht="22.35" hidden="false" customHeight="false" outlineLevel="0" collapsed="false">
      <c r="A1057" s="4" t="s">
        <v>1085</v>
      </c>
      <c r="B1057" s="4" t="s">
        <v>14</v>
      </c>
      <c r="C1057" s="4" t="s">
        <v>929</v>
      </c>
      <c r="D1057" s="4" t="s">
        <v>930</v>
      </c>
      <c r="E1057" s="4" t="s">
        <v>44</v>
      </c>
      <c r="F1057" s="5" t="n">
        <v>0</v>
      </c>
      <c r="G1057" s="6" t="n">
        <v>0</v>
      </c>
      <c r="H1057" s="6" t="n">
        <v>0</v>
      </c>
      <c r="I1057" s="6" t="n">
        <v>0</v>
      </c>
      <c r="J1057" s="4" t="s">
        <v>18</v>
      </c>
      <c r="K1057" s="4" t="s">
        <v>19</v>
      </c>
      <c r="L1057" s="4" t="s">
        <v>20</v>
      </c>
    </row>
    <row r="1058" customFormat="false" ht="22.35" hidden="false" customHeight="false" outlineLevel="0" collapsed="false">
      <c r="A1058" s="7" t="s">
        <v>1086</v>
      </c>
      <c r="B1058" s="7" t="s">
        <v>14</v>
      </c>
      <c r="C1058" s="7" t="s">
        <v>929</v>
      </c>
      <c r="D1058" s="7" t="s">
        <v>930</v>
      </c>
      <c r="E1058" s="7" t="s">
        <v>44</v>
      </c>
      <c r="F1058" s="8" t="n">
        <v>0</v>
      </c>
      <c r="G1058" s="9" t="n">
        <v>0</v>
      </c>
      <c r="H1058" s="9" t="n">
        <v>0</v>
      </c>
      <c r="I1058" s="9" t="n">
        <v>0</v>
      </c>
      <c r="J1058" s="7" t="s">
        <v>18</v>
      </c>
      <c r="K1058" s="7" t="s">
        <v>19</v>
      </c>
      <c r="L1058" s="7" t="s">
        <v>20</v>
      </c>
    </row>
    <row r="1059" customFormat="false" ht="22.35" hidden="false" customHeight="false" outlineLevel="0" collapsed="false">
      <c r="A1059" s="4" t="s">
        <v>1087</v>
      </c>
      <c r="B1059" s="4" t="s">
        <v>14</v>
      </c>
      <c r="C1059" s="4" t="s">
        <v>929</v>
      </c>
      <c r="D1059" s="4" t="s">
        <v>930</v>
      </c>
      <c r="E1059" s="4" t="s">
        <v>44</v>
      </c>
      <c r="F1059" s="5" t="n">
        <v>0</v>
      </c>
      <c r="G1059" s="6" t="n">
        <v>0</v>
      </c>
      <c r="H1059" s="6" t="n">
        <v>0</v>
      </c>
      <c r="I1059" s="6" t="n">
        <v>0</v>
      </c>
      <c r="J1059" s="4" t="s">
        <v>18</v>
      </c>
      <c r="K1059" s="4" t="s">
        <v>19</v>
      </c>
      <c r="L1059" s="4" t="s">
        <v>20</v>
      </c>
    </row>
    <row r="1060" customFormat="false" ht="22.35" hidden="false" customHeight="false" outlineLevel="0" collapsed="false">
      <c r="A1060" s="7" t="s">
        <v>1088</v>
      </c>
      <c r="B1060" s="7" t="s">
        <v>14</v>
      </c>
      <c r="C1060" s="7" t="s">
        <v>929</v>
      </c>
      <c r="D1060" s="7" t="s">
        <v>930</v>
      </c>
      <c r="E1060" s="7" t="s">
        <v>44</v>
      </c>
      <c r="F1060" s="8" t="n">
        <v>0</v>
      </c>
      <c r="G1060" s="9" t="n">
        <v>0</v>
      </c>
      <c r="H1060" s="9" t="n">
        <v>0</v>
      </c>
      <c r="I1060" s="9" t="n">
        <v>0</v>
      </c>
      <c r="J1060" s="7" t="s">
        <v>18</v>
      </c>
      <c r="K1060" s="7" t="s">
        <v>19</v>
      </c>
      <c r="L1060" s="7" t="s">
        <v>20</v>
      </c>
    </row>
    <row r="1061" customFormat="false" ht="22.35" hidden="false" customHeight="false" outlineLevel="0" collapsed="false">
      <c r="A1061" s="4" t="s">
        <v>1089</v>
      </c>
      <c r="B1061" s="4" t="s">
        <v>14</v>
      </c>
      <c r="C1061" s="4" t="s">
        <v>929</v>
      </c>
      <c r="D1061" s="4" t="s">
        <v>930</v>
      </c>
      <c r="E1061" s="4" t="s">
        <v>44</v>
      </c>
      <c r="F1061" s="5" t="n">
        <v>0</v>
      </c>
      <c r="G1061" s="6" t="n">
        <v>0</v>
      </c>
      <c r="H1061" s="6" t="n">
        <v>0</v>
      </c>
      <c r="I1061" s="6" t="n">
        <v>0</v>
      </c>
      <c r="J1061" s="4" t="s">
        <v>18</v>
      </c>
      <c r="K1061" s="4" t="s">
        <v>19</v>
      </c>
      <c r="L1061" s="4" t="s">
        <v>20</v>
      </c>
    </row>
    <row r="1062" customFormat="false" ht="22.35" hidden="false" customHeight="false" outlineLevel="0" collapsed="false">
      <c r="A1062" s="7" t="s">
        <v>1090</v>
      </c>
      <c r="B1062" s="7" t="s">
        <v>14</v>
      </c>
      <c r="C1062" s="7" t="s">
        <v>929</v>
      </c>
      <c r="D1062" s="7" t="s">
        <v>930</v>
      </c>
      <c r="E1062" s="7" t="s">
        <v>44</v>
      </c>
      <c r="F1062" s="8" t="n">
        <v>0</v>
      </c>
      <c r="G1062" s="9" t="n">
        <v>0</v>
      </c>
      <c r="H1062" s="9" t="n">
        <v>0</v>
      </c>
      <c r="I1062" s="9" t="n">
        <v>0</v>
      </c>
      <c r="J1062" s="7" t="s">
        <v>18</v>
      </c>
      <c r="K1062" s="7" t="s">
        <v>19</v>
      </c>
      <c r="L1062" s="7" t="s">
        <v>20</v>
      </c>
    </row>
    <row r="1063" customFormat="false" ht="22.35" hidden="false" customHeight="false" outlineLevel="0" collapsed="false">
      <c r="A1063" s="4" t="s">
        <v>1091</v>
      </c>
      <c r="B1063" s="4" t="s">
        <v>14</v>
      </c>
      <c r="C1063" s="4" t="s">
        <v>929</v>
      </c>
      <c r="D1063" s="4" t="s">
        <v>930</v>
      </c>
      <c r="E1063" s="4" t="s">
        <v>44</v>
      </c>
      <c r="F1063" s="5" t="n">
        <v>0</v>
      </c>
      <c r="G1063" s="6" t="n">
        <v>0</v>
      </c>
      <c r="H1063" s="6" t="n">
        <v>0</v>
      </c>
      <c r="I1063" s="6" t="n">
        <v>0</v>
      </c>
      <c r="J1063" s="4" t="s">
        <v>18</v>
      </c>
      <c r="K1063" s="4" t="s">
        <v>19</v>
      </c>
      <c r="L1063" s="4" t="s">
        <v>20</v>
      </c>
    </row>
    <row r="1064" customFormat="false" ht="22.35" hidden="false" customHeight="false" outlineLevel="0" collapsed="false">
      <c r="A1064" s="7" t="s">
        <v>1092</v>
      </c>
      <c r="B1064" s="7" t="s">
        <v>14</v>
      </c>
      <c r="C1064" s="7" t="s">
        <v>929</v>
      </c>
      <c r="D1064" s="7" t="s">
        <v>930</v>
      </c>
      <c r="E1064" s="7" t="s">
        <v>44</v>
      </c>
      <c r="F1064" s="8" t="n">
        <v>0</v>
      </c>
      <c r="G1064" s="9" t="n">
        <v>0</v>
      </c>
      <c r="H1064" s="9" t="n">
        <v>0</v>
      </c>
      <c r="I1064" s="9" t="n">
        <v>0</v>
      </c>
      <c r="J1064" s="7" t="s">
        <v>18</v>
      </c>
      <c r="K1064" s="7" t="s">
        <v>19</v>
      </c>
      <c r="L1064" s="7" t="s">
        <v>20</v>
      </c>
    </row>
    <row r="1065" customFormat="false" ht="22.35" hidden="false" customHeight="false" outlineLevel="0" collapsed="false">
      <c r="A1065" s="4" t="s">
        <v>1093</v>
      </c>
      <c r="B1065" s="4" t="s">
        <v>14</v>
      </c>
      <c r="C1065" s="4" t="s">
        <v>929</v>
      </c>
      <c r="D1065" s="4" t="s">
        <v>930</v>
      </c>
      <c r="E1065" s="4" t="s">
        <v>44</v>
      </c>
      <c r="F1065" s="5" t="n">
        <v>0</v>
      </c>
      <c r="G1065" s="6" t="n">
        <v>0</v>
      </c>
      <c r="H1065" s="6" t="n">
        <v>0</v>
      </c>
      <c r="I1065" s="6" t="n">
        <v>0</v>
      </c>
      <c r="J1065" s="4" t="s">
        <v>18</v>
      </c>
      <c r="K1065" s="4" t="s">
        <v>19</v>
      </c>
      <c r="L1065" s="4" t="s">
        <v>20</v>
      </c>
    </row>
    <row r="1066" customFormat="false" ht="22.35" hidden="false" customHeight="false" outlineLevel="0" collapsed="false">
      <c r="A1066" s="7" t="s">
        <v>1094</v>
      </c>
      <c r="B1066" s="7" t="s">
        <v>14</v>
      </c>
      <c r="C1066" s="7" t="s">
        <v>929</v>
      </c>
      <c r="D1066" s="7" t="s">
        <v>930</v>
      </c>
      <c r="E1066" s="7" t="s">
        <v>44</v>
      </c>
      <c r="F1066" s="8" t="n">
        <v>0</v>
      </c>
      <c r="G1066" s="9" t="n">
        <v>0</v>
      </c>
      <c r="H1066" s="9" t="n">
        <v>0</v>
      </c>
      <c r="I1066" s="9" t="n">
        <v>0</v>
      </c>
      <c r="J1066" s="7" t="s">
        <v>18</v>
      </c>
      <c r="K1066" s="7" t="s">
        <v>19</v>
      </c>
      <c r="L1066" s="7" t="s">
        <v>20</v>
      </c>
    </row>
    <row r="1067" customFormat="false" ht="22.35" hidden="false" customHeight="false" outlineLevel="0" collapsed="false">
      <c r="A1067" s="4" t="s">
        <v>1095</v>
      </c>
      <c r="B1067" s="4" t="s">
        <v>14</v>
      </c>
      <c r="C1067" s="4" t="s">
        <v>929</v>
      </c>
      <c r="D1067" s="4" t="s">
        <v>930</v>
      </c>
      <c r="E1067" s="4" t="s">
        <v>44</v>
      </c>
      <c r="F1067" s="5" t="n">
        <v>0</v>
      </c>
      <c r="G1067" s="6" t="n">
        <v>0</v>
      </c>
      <c r="H1067" s="6" t="n">
        <v>0</v>
      </c>
      <c r="I1067" s="6" t="n">
        <v>0</v>
      </c>
      <c r="J1067" s="4" t="s">
        <v>18</v>
      </c>
      <c r="K1067" s="4" t="s">
        <v>19</v>
      </c>
      <c r="L1067" s="4" t="s">
        <v>20</v>
      </c>
    </row>
    <row r="1068" customFormat="false" ht="22.35" hidden="false" customHeight="false" outlineLevel="0" collapsed="false">
      <c r="A1068" s="7" t="s">
        <v>1096</v>
      </c>
      <c r="B1068" s="7" t="s">
        <v>14</v>
      </c>
      <c r="C1068" s="7" t="s">
        <v>929</v>
      </c>
      <c r="D1068" s="7" t="s">
        <v>930</v>
      </c>
      <c r="E1068" s="7" t="s">
        <v>44</v>
      </c>
      <c r="F1068" s="8" t="n">
        <v>0</v>
      </c>
      <c r="G1068" s="9" t="n">
        <v>0</v>
      </c>
      <c r="H1068" s="9" t="n">
        <v>0</v>
      </c>
      <c r="I1068" s="9" t="n">
        <v>0</v>
      </c>
      <c r="J1068" s="7" t="s">
        <v>18</v>
      </c>
      <c r="K1068" s="7" t="s">
        <v>19</v>
      </c>
      <c r="L1068" s="7" t="s">
        <v>20</v>
      </c>
    </row>
    <row r="1069" customFormat="false" ht="22.35" hidden="false" customHeight="false" outlineLevel="0" collapsed="false">
      <c r="A1069" s="4" t="s">
        <v>1097</v>
      </c>
      <c r="B1069" s="4" t="s">
        <v>14</v>
      </c>
      <c r="C1069" s="4" t="s">
        <v>929</v>
      </c>
      <c r="D1069" s="4" t="s">
        <v>930</v>
      </c>
      <c r="E1069" s="4" t="s">
        <v>44</v>
      </c>
      <c r="F1069" s="5" t="n">
        <v>0</v>
      </c>
      <c r="G1069" s="6" t="n">
        <v>0</v>
      </c>
      <c r="H1069" s="6" t="n">
        <v>0</v>
      </c>
      <c r="I1069" s="6" t="n">
        <v>0</v>
      </c>
      <c r="J1069" s="4" t="s">
        <v>18</v>
      </c>
      <c r="K1069" s="4" t="s">
        <v>19</v>
      </c>
      <c r="L1069" s="4" t="s">
        <v>20</v>
      </c>
    </row>
    <row r="1070" customFormat="false" ht="22.35" hidden="false" customHeight="false" outlineLevel="0" collapsed="false">
      <c r="A1070" s="7" t="s">
        <v>1098</v>
      </c>
      <c r="B1070" s="7" t="s">
        <v>14</v>
      </c>
      <c r="C1070" s="7" t="s">
        <v>929</v>
      </c>
      <c r="D1070" s="7" t="s">
        <v>930</v>
      </c>
      <c r="E1070" s="7" t="s">
        <v>44</v>
      </c>
      <c r="F1070" s="8" t="n">
        <v>0</v>
      </c>
      <c r="G1070" s="9" t="n">
        <v>0</v>
      </c>
      <c r="H1070" s="9" t="n">
        <v>0</v>
      </c>
      <c r="I1070" s="9" t="n">
        <v>0</v>
      </c>
      <c r="J1070" s="7" t="s">
        <v>18</v>
      </c>
      <c r="K1070" s="7" t="s">
        <v>19</v>
      </c>
      <c r="L1070" s="7" t="s">
        <v>20</v>
      </c>
    </row>
    <row r="1071" customFormat="false" ht="22.35" hidden="false" customHeight="false" outlineLevel="0" collapsed="false">
      <c r="A1071" s="4" t="s">
        <v>1099</v>
      </c>
      <c r="B1071" s="4" t="s">
        <v>14</v>
      </c>
      <c r="C1071" s="4" t="s">
        <v>929</v>
      </c>
      <c r="D1071" s="4" t="s">
        <v>930</v>
      </c>
      <c r="E1071" s="4" t="s">
        <v>44</v>
      </c>
      <c r="F1071" s="5" t="n">
        <v>0</v>
      </c>
      <c r="G1071" s="6" t="n">
        <v>0</v>
      </c>
      <c r="H1071" s="6" t="n">
        <v>0</v>
      </c>
      <c r="I1071" s="6" t="n">
        <v>0</v>
      </c>
      <c r="J1071" s="4" t="s">
        <v>18</v>
      </c>
      <c r="K1071" s="4" t="s">
        <v>19</v>
      </c>
      <c r="L1071" s="4" t="s">
        <v>20</v>
      </c>
    </row>
    <row r="1072" customFormat="false" ht="22.35" hidden="false" customHeight="false" outlineLevel="0" collapsed="false">
      <c r="A1072" s="7" t="s">
        <v>1100</v>
      </c>
      <c r="B1072" s="7" t="s">
        <v>14</v>
      </c>
      <c r="C1072" s="7" t="s">
        <v>929</v>
      </c>
      <c r="D1072" s="7" t="s">
        <v>930</v>
      </c>
      <c r="E1072" s="7" t="s">
        <v>1080</v>
      </c>
      <c r="F1072" s="8" t="n">
        <v>0</v>
      </c>
      <c r="G1072" s="9" t="n">
        <v>0</v>
      </c>
      <c r="H1072" s="9" t="n">
        <v>0</v>
      </c>
      <c r="I1072" s="9" t="n">
        <v>0</v>
      </c>
      <c r="J1072" s="7" t="s">
        <v>18</v>
      </c>
      <c r="K1072" s="7" t="s">
        <v>19</v>
      </c>
      <c r="L1072" s="7" t="s">
        <v>20</v>
      </c>
    </row>
    <row r="1073" customFormat="false" ht="22.35" hidden="false" customHeight="false" outlineLevel="0" collapsed="false">
      <c r="A1073" s="4" t="s">
        <v>1101</v>
      </c>
      <c r="B1073" s="4" t="s">
        <v>14</v>
      </c>
      <c r="C1073" s="4" t="s">
        <v>929</v>
      </c>
      <c r="D1073" s="4" t="s">
        <v>930</v>
      </c>
      <c r="E1073" s="4" t="s">
        <v>44</v>
      </c>
      <c r="F1073" s="5" t="n">
        <v>0</v>
      </c>
      <c r="G1073" s="6" t="n">
        <v>0</v>
      </c>
      <c r="H1073" s="6" t="n">
        <v>0</v>
      </c>
      <c r="I1073" s="6" t="n">
        <v>0</v>
      </c>
      <c r="J1073" s="4" t="s">
        <v>18</v>
      </c>
      <c r="K1073" s="4" t="s">
        <v>19</v>
      </c>
      <c r="L1073" s="4" t="s">
        <v>20</v>
      </c>
    </row>
    <row r="1074" customFormat="false" ht="22.35" hidden="false" customHeight="false" outlineLevel="0" collapsed="false">
      <c r="A1074" s="7" t="s">
        <v>1102</v>
      </c>
      <c r="B1074" s="7" t="s">
        <v>14</v>
      </c>
      <c r="C1074" s="7" t="s">
        <v>929</v>
      </c>
      <c r="D1074" s="7" t="s">
        <v>930</v>
      </c>
      <c r="E1074" s="7" t="s">
        <v>44</v>
      </c>
      <c r="F1074" s="8" t="n">
        <v>0</v>
      </c>
      <c r="G1074" s="9" t="n">
        <v>0</v>
      </c>
      <c r="H1074" s="9" t="n">
        <v>0</v>
      </c>
      <c r="I1074" s="9" t="n">
        <v>0</v>
      </c>
      <c r="J1074" s="7" t="s">
        <v>18</v>
      </c>
      <c r="K1074" s="7" t="s">
        <v>19</v>
      </c>
      <c r="L1074" s="7" t="s">
        <v>20</v>
      </c>
    </row>
    <row r="1075" customFormat="false" ht="22.35" hidden="false" customHeight="false" outlineLevel="0" collapsed="false">
      <c r="A1075" s="4" t="s">
        <v>1103</v>
      </c>
      <c r="B1075" s="4" t="s">
        <v>14</v>
      </c>
      <c r="C1075" s="4" t="s">
        <v>929</v>
      </c>
      <c r="D1075" s="4" t="s">
        <v>930</v>
      </c>
      <c r="E1075" s="4" t="s">
        <v>44</v>
      </c>
      <c r="F1075" s="5" t="n">
        <v>0</v>
      </c>
      <c r="G1075" s="6" t="n">
        <v>0</v>
      </c>
      <c r="H1075" s="6" t="n">
        <v>0</v>
      </c>
      <c r="I1075" s="6" t="n">
        <v>0</v>
      </c>
      <c r="J1075" s="4" t="s">
        <v>18</v>
      </c>
      <c r="K1075" s="4" t="s">
        <v>19</v>
      </c>
      <c r="L1075" s="4" t="s">
        <v>20</v>
      </c>
    </row>
    <row r="1076" customFormat="false" ht="22.35" hidden="false" customHeight="false" outlineLevel="0" collapsed="false">
      <c r="A1076" s="7" t="s">
        <v>1104</v>
      </c>
      <c r="B1076" s="7" t="s">
        <v>14</v>
      </c>
      <c r="C1076" s="7" t="s">
        <v>929</v>
      </c>
      <c r="D1076" s="7" t="s">
        <v>930</v>
      </c>
      <c r="E1076" s="7" t="s">
        <v>44</v>
      </c>
      <c r="F1076" s="8" t="n">
        <v>0</v>
      </c>
      <c r="G1076" s="9" t="n">
        <v>0</v>
      </c>
      <c r="H1076" s="9" t="n">
        <v>0</v>
      </c>
      <c r="I1076" s="9" t="n">
        <v>0</v>
      </c>
      <c r="J1076" s="7" t="s">
        <v>18</v>
      </c>
      <c r="K1076" s="7" t="s">
        <v>19</v>
      </c>
      <c r="L1076" s="7" t="s">
        <v>20</v>
      </c>
    </row>
    <row r="1077" customFormat="false" ht="22.35" hidden="false" customHeight="false" outlineLevel="0" collapsed="false">
      <c r="A1077" s="4" t="s">
        <v>1105</v>
      </c>
      <c r="B1077" s="4" t="s">
        <v>14</v>
      </c>
      <c r="C1077" s="4" t="s">
        <v>929</v>
      </c>
      <c r="D1077" s="4" t="s">
        <v>930</v>
      </c>
      <c r="E1077" s="4" t="s">
        <v>44</v>
      </c>
      <c r="F1077" s="5" t="n">
        <v>0</v>
      </c>
      <c r="G1077" s="6" t="n">
        <v>0</v>
      </c>
      <c r="H1077" s="6" t="n">
        <v>0</v>
      </c>
      <c r="I1077" s="6" t="n">
        <v>0</v>
      </c>
      <c r="J1077" s="4" t="s">
        <v>18</v>
      </c>
      <c r="K1077" s="4" t="s">
        <v>19</v>
      </c>
      <c r="L1077" s="4" t="s">
        <v>20</v>
      </c>
    </row>
    <row r="1078" customFormat="false" ht="22.35" hidden="false" customHeight="false" outlineLevel="0" collapsed="false">
      <c r="A1078" s="7" t="s">
        <v>1106</v>
      </c>
      <c r="B1078" s="7" t="s">
        <v>14</v>
      </c>
      <c r="C1078" s="7" t="s">
        <v>929</v>
      </c>
      <c r="D1078" s="7" t="s">
        <v>930</v>
      </c>
      <c r="E1078" s="7" t="s">
        <v>44</v>
      </c>
      <c r="F1078" s="8" t="n">
        <v>0</v>
      </c>
      <c r="G1078" s="9" t="n">
        <v>0</v>
      </c>
      <c r="H1078" s="9" t="n">
        <v>0</v>
      </c>
      <c r="I1078" s="9" t="n">
        <v>0</v>
      </c>
      <c r="J1078" s="7" t="s">
        <v>18</v>
      </c>
      <c r="K1078" s="7" t="s">
        <v>19</v>
      </c>
      <c r="L1078" s="7" t="s">
        <v>20</v>
      </c>
    </row>
    <row r="1079" customFormat="false" ht="22.35" hidden="false" customHeight="false" outlineLevel="0" collapsed="false">
      <c r="A1079" s="4" t="s">
        <v>1107</v>
      </c>
      <c r="B1079" s="4" t="s">
        <v>14</v>
      </c>
      <c r="C1079" s="4" t="s">
        <v>929</v>
      </c>
      <c r="D1079" s="4" t="s">
        <v>930</v>
      </c>
      <c r="E1079" s="4" t="s">
        <v>44</v>
      </c>
      <c r="F1079" s="5" t="n">
        <v>0</v>
      </c>
      <c r="G1079" s="6" t="n">
        <v>0</v>
      </c>
      <c r="H1079" s="6" t="n">
        <v>0</v>
      </c>
      <c r="I1079" s="6" t="n">
        <v>0</v>
      </c>
      <c r="J1079" s="4" t="s">
        <v>18</v>
      </c>
      <c r="K1079" s="4" t="s">
        <v>19</v>
      </c>
      <c r="L1079" s="4" t="s">
        <v>20</v>
      </c>
    </row>
    <row r="1080" customFormat="false" ht="22.35" hidden="false" customHeight="false" outlineLevel="0" collapsed="false">
      <c r="A1080" s="7" t="s">
        <v>1108</v>
      </c>
      <c r="B1080" s="7" t="s">
        <v>14</v>
      </c>
      <c r="C1080" s="7" t="s">
        <v>929</v>
      </c>
      <c r="D1080" s="7" t="s">
        <v>930</v>
      </c>
      <c r="E1080" s="7" t="s">
        <v>44</v>
      </c>
      <c r="F1080" s="8" t="n">
        <v>0</v>
      </c>
      <c r="G1080" s="9" t="n">
        <v>0</v>
      </c>
      <c r="H1080" s="9" t="n">
        <v>0</v>
      </c>
      <c r="I1080" s="9" t="n">
        <v>0</v>
      </c>
      <c r="J1080" s="7" t="s">
        <v>18</v>
      </c>
      <c r="K1080" s="7" t="s">
        <v>19</v>
      </c>
      <c r="L1080" s="7" t="s">
        <v>20</v>
      </c>
    </row>
    <row r="1081" customFormat="false" ht="22.35" hidden="false" customHeight="false" outlineLevel="0" collapsed="false">
      <c r="A1081" s="4" t="s">
        <v>1109</v>
      </c>
      <c r="B1081" s="4" t="s">
        <v>14</v>
      </c>
      <c r="C1081" s="4" t="s">
        <v>929</v>
      </c>
      <c r="D1081" s="4" t="s">
        <v>930</v>
      </c>
      <c r="E1081" s="4" t="s">
        <v>1080</v>
      </c>
      <c r="F1081" s="5" t="n">
        <v>0</v>
      </c>
      <c r="G1081" s="6" t="n">
        <v>0</v>
      </c>
      <c r="H1081" s="6" t="n">
        <v>0</v>
      </c>
      <c r="I1081" s="6" t="n">
        <v>0</v>
      </c>
      <c r="J1081" s="4" t="s">
        <v>18</v>
      </c>
      <c r="K1081" s="4" t="s">
        <v>19</v>
      </c>
      <c r="L1081" s="4" t="s">
        <v>20</v>
      </c>
    </row>
    <row r="1082" customFormat="false" ht="22.35" hidden="false" customHeight="false" outlineLevel="0" collapsed="false">
      <c r="A1082" s="7" t="s">
        <v>1110</v>
      </c>
      <c r="B1082" s="7" t="s">
        <v>14</v>
      </c>
      <c r="C1082" s="7" t="s">
        <v>929</v>
      </c>
      <c r="D1082" s="7" t="s">
        <v>930</v>
      </c>
      <c r="E1082" s="7" t="s">
        <v>44</v>
      </c>
      <c r="F1082" s="8" t="n">
        <v>0</v>
      </c>
      <c r="G1082" s="9" t="n">
        <v>0</v>
      </c>
      <c r="H1082" s="9" t="n">
        <v>0</v>
      </c>
      <c r="I1082" s="9" t="n">
        <v>0</v>
      </c>
      <c r="J1082" s="7" t="s">
        <v>18</v>
      </c>
      <c r="K1082" s="7" t="s">
        <v>19</v>
      </c>
      <c r="L1082" s="7" t="s">
        <v>20</v>
      </c>
    </row>
    <row r="1083" customFormat="false" ht="22.35" hidden="false" customHeight="false" outlineLevel="0" collapsed="false">
      <c r="A1083" s="4" t="s">
        <v>1111</v>
      </c>
      <c r="B1083" s="4" t="s">
        <v>14</v>
      </c>
      <c r="C1083" s="4" t="s">
        <v>929</v>
      </c>
      <c r="D1083" s="4" t="s">
        <v>930</v>
      </c>
      <c r="E1083" s="4" t="s">
        <v>44</v>
      </c>
      <c r="F1083" s="5" t="n">
        <v>0</v>
      </c>
      <c r="G1083" s="6" t="n">
        <v>0</v>
      </c>
      <c r="H1083" s="6" t="n">
        <v>0</v>
      </c>
      <c r="I1083" s="6" t="n">
        <v>0</v>
      </c>
      <c r="J1083" s="4" t="s">
        <v>18</v>
      </c>
      <c r="K1083" s="4" t="s">
        <v>19</v>
      </c>
      <c r="L1083" s="4" t="s">
        <v>20</v>
      </c>
    </row>
    <row r="1084" customFormat="false" ht="22.35" hidden="false" customHeight="false" outlineLevel="0" collapsed="false">
      <c r="A1084" s="7" t="s">
        <v>1112</v>
      </c>
      <c r="B1084" s="7" t="s">
        <v>14</v>
      </c>
      <c r="C1084" s="7" t="s">
        <v>929</v>
      </c>
      <c r="D1084" s="7" t="s">
        <v>930</v>
      </c>
      <c r="E1084" s="7" t="s">
        <v>44</v>
      </c>
      <c r="F1084" s="8" t="n">
        <v>0</v>
      </c>
      <c r="G1084" s="9" t="n">
        <v>0</v>
      </c>
      <c r="H1084" s="9" t="n">
        <v>0</v>
      </c>
      <c r="I1084" s="9" t="n">
        <v>0</v>
      </c>
      <c r="J1084" s="7" t="s">
        <v>18</v>
      </c>
      <c r="K1084" s="7" t="s">
        <v>19</v>
      </c>
      <c r="L1084" s="7" t="s">
        <v>20</v>
      </c>
    </row>
    <row r="1085" customFormat="false" ht="22.35" hidden="false" customHeight="false" outlineLevel="0" collapsed="false">
      <c r="A1085" s="4" t="s">
        <v>1113</v>
      </c>
      <c r="B1085" s="4" t="s">
        <v>14</v>
      </c>
      <c r="C1085" s="4" t="s">
        <v>929</v>
      </c>
      <c r="D1085" s="4" t="s">
        <v>930</v>
      </c>
      <c r="E1085" s="4" t="s">
        <v>44</v>
      </c>
      <c r="F1085" s="5" t="n">
        <v>0</v>
      </c>
      <c r="G1085" s="6" t="n">
        <v>0</v>
      </c>
      <c r="H1085" s="6" t="n">
        <v>0</v>
      </c>
      <c r="I1085" s="6" t="n">
        <v>0</v>
      </c>
      <c r="J1085" s="4" t="s">
        <v>18</v>
      </c>
      <c r="K1085" s="4" t="s">
        <v>19</v>
      </c>
      <c r="L1085" s="4" t="s">
        <v>20</v>
      </c>
    </row>
    <row r="1086" customFormat="false" ht="22.35" hidden="false" customHeight="false" outlineLevel="0" collapsed="false">
      <c r="A1086" s="7" t="s">
        <v>1114</v>
      </c>
      <c r="B1086" s="7" t="s">
        <v>14</v>
      </c>
      <c r="C1086" s="7" t="s">
        <v>929</v>
      </c>
      <c r="D1086" s="7" t="s">
        <v>930</v>
      </c>
      <c r="E1086" s="7" t="s">
        <v>44</v>
      </c>
      <c r="F1086" s="8" t="n">
        <v>0</v>
      </c>
      <c r="G1086" s="9" t="n">
        <v>0</v>
      </c>
      <c r="H1086" s="9" t="n">
        <v>0</v>
      </c>
      <c r="I1086" s="9" t="n">
        <v>0</v>
      </c>
      <c r="J1086" s="7" t="s">
        <v>18</v>
      </c>
      <c r="K1086" s="7" t="s">
        <v>19</v>
      </c>
      <c r="L1086" s="7" t="s">
        <v>20</v>
      </c>
    </row>
    <row r="1087" customFormat="false" ht="22.35" hidden="false" customHeight="false" outlineLevel="0" collapsed="false">
      <c r="A1087" s="4" t="s">
        <v>1115</v>
      </c>
      <c r="B1087" s="4" t="s">
        <v>14</v>
      </c>
      <c r="C1087" s="4" t="s">
        <v>929</v>
      </c>
      <c r="D1087" s="4" t="s">
        <v>930</v>
      </c>
      <c r="E1087" s="4" t="s">
        <v>44</v>
      </c>
      <c r="F1087" s="5" t="n">
        <v>0</v>
      </c>
      <c r="G1087" s="6" t="n">
        <v>0</v>
      </c>
      <c r="H1087" s="6" t="n">
        <v>0</v>
      </c>
      <c r="I1087" s="6" t="n">
        <v>0</v>
      </c>
      <c r="J1087" s="4" t="s">
        <v>18</v>
      </c>
      <c r="K1087" s="4" t="s">
        <v>19</v>
      </c>
      <c r="L1087" s="4" t="s">
        <v>20</v>
      </c>
    </row>
    <row r="1088" customFormat="false" ht="22.35" hidden="false" customHeight="false" outlineLevel="0" collapsed="false">
      <c r="A1088" s="7" t="s">
        <v>1116</v>
      </c>
      <c r="B1088" s="7" t="s">
        <v>14</v>
      </c>
      <c r="C1088" s="7" t="s">
        <v>929</v>
      </c>
      <c r="D1088" s="7" t="s">
        <v>930</v>
      </c>
      <c r="E1088" s="7" t="s">
        <v>1080</v>
      </c>
      <c r="F1088" s="8" t="n">
        <v>0</v>
      </c>
      <c r="G1088" s="9" t="n">
        <v>0</v>
      </c>
      <c r="H1088" s="9" t="n">
        <v>0</v>
      </c>
      <c r="I1088" s="9" t="n">
        <v>0</v>
      </c>
      <c r="J1088" s="7" t="s">
        <v>18</v>
      </c>
      <c r="K1088" s="7" t="s">
        <v>19</v>
      </c>
      <c r="L1088" s="7" t="s">
        <v>20</v>
      </c>
    </row>
    <row r="1089" customFormat="false" ht="22.35" hidden="false" customHeight="false" outlineLevel="0" collapsed="false">
      <c r="A1089" s="4" t="s">
        <v>1117</v>
      </c>
      <c r="B1089" s="4" t="s">
        <v>14</v>
      </c>
      <c r="C1089" s="4" t="s">
        <v>929</v>
      </c>
      <c r="D1089" s="4" t="s">
        <v>930</v>
      </c>
      <c r="E1089" s="4" t="s">
        <v>44</v>
      </c>
      <c r="F1089" s="5" t="n">
        <v>0</v>
      </c>
      <c r="G1089" s="6" t="n">
        <v>0</v>
      </c>
      <c r="H1089" s="6" t="n">
        <v>0</v>
      </c>
      <c r="I1089" s="6" t="n">
        <v>0</v>
      </c>
      <c r="J1089" s="4" t="s">
        <v>18</v>
      </c>
      <c r="K1089" s="4" t="s">
        <v>19</v>
      </c>
      <c r="L1089" s="4" t="s">
        <v>20</v>
      </c>
    </row>
    <row r="1090" customFormat="false" ht="22.35" hidden="false" customHeight="false" outlineLevel="0" collapsed="false">
      <c r="A1090" s="7" t="s">
        <v>1118</v>
      </c>
      <c r="B1090" s="7" t="s">
        <v>14</v>
      </c>
      <c r="C1090" s="7" t="s">
        <v>929</v>
      </c>
      <c r="D1090" s="7" t="s">
        <v>930</v>
      </c>
      <c r="E1090" s="7" t="s">
        <v>44</v>
      </c>
      <c r="F1090" s="8" t="n">
        <v>0</v>
      </c>
      <c r="G1090" s="9" t="n">
        <v>0</v>
      </c>
      <c r="H1090" s="9" t="n">
        <v>0</v>
      </c>
      <c r="I1090" s="9" t="n">
        <v>0</v>
      </c>
      <c r="J1090" s="7" t="s">
        <v>18</v>
      </c>
      <c r="K1090" s="7" t="s">
        <v>19</v>
      </c>
      <c r="L1090" s="7" t="s">
        <v>20</v>
      </c>
    </row>
    <row r="1091" customFormat="false" ht="22.35" hidden="false" customHeight="false" outlineLevel="0" collapsed="false">
      <c r="A1091" s="4" t="s">
        <v>1119</v>
      </c>
      <c r="B1091" s="4" t="s">
        <v>14</v>
      </c>
      <c r="C1091" s="4" t="s">
        <v>929</v>
      </c>
      <c r="D1091" s="4" t="s">
        <v>930</v>
      </c>
      <c r="E1091" s="4" t="s">
        <v>44</v>
      </c>
      <c r="F1091" s="5" t="n">
        <v>0</v>
      </c>
      <c r="G1091" s="6" t="n">
        <v>0</v>
      </c>
      <c r="H1091" s="6" t="n">
        <v>0</v>
      </c>
      <c r="I1091" s="6" t="n">
        <v>0</v>
      </c>
      <c r="J1091" s="4" t="s">
        <v>18</v>
      </c>
      <c r="K1091" s="4" t="s">
        <v>19</v>
      </c>
      <c r="L1091" s="4" t="s">
        <v>20</v>
      </c>
    </row>
    <row r="1092" customFormat="false" ht="22.35" hidden="false" customHeight="false" outlineLevel="0" collapsed="false">
      <c r="A1092" s="7" t="s">
        <v>1120</v>
      </c>
      <c r="B1092" s="7" t="s">
        <v>14</v>
      </c>
      <c r="C1092" s="7" t="s">
        <v>929</v>
      </c>
      <c r="D1092" s="7" t="s">
        <v>930</v>
      </c>
      <c r="E1092" s="7" t="s">
        <v>44</v>
      </c>
      <c r="F1092" s="8" t="n">
        <v>0</v>
      </c>
      <c r="G1092" s="9" t="n">
        <v>0</v>
      </c>
      <c r="H1092" s="9" t="n">
        <v>0</v>
      </c>
      <c r="I1092" s="9" t="n">
        <v>0</v>
      </c>
      <c r="J1092" s="7" t="s">
        <v>18</v>
      </c>
      <c r="K1092" s="7" t="s">
        <v>19</v>
      </c>
      <c r="L1092" s="7" t="s">
        <v>20</v>
      </c>
    </row>
    <row r="1093" customFormat="false" ht="22.35" hidden="false" customHeight="false" outlineLevel="0" collapsed="false">
      <c r="A1093" s="4" t="s">
        <v>1121</v>
      </c>
      <c r="B1093" s="4" t="s">
        <v>14</v>
      </c>
      <c r="C1093" s="4" t="s">
        <v>929</v>
      </c>
      <c r="D1093" s="4" t="s">
        <v>930</v>
      </c>
      <c r="E1093" s="4" t="s">
        <v>44</v>
      </c>
      <c r="F1093" s="5" t="n">
        <v>0</v>
      </c>
      <c r="G1093" s="6" t="n">
        <v>0</v>
      </c>
      <c r="H1093" s="6" t="n">
        <v>0</v>
      </c>
      <c r="I1093" s="6" t="n">
        <v>0</v>
      </c>
      <c r="J1093" s="4" t="s">
        <v>18</v>
      </c>
      <c r="K1093" s="4" t="s">
        <v>19</v>
      </c>
      <c r="L1093" s="4" t="s">
        <v>20</v>
      </c>
    </row>
    <row r="1094" customFormat="false" ht="22.35" hidden="false" customHeight="false" outlineLevel="0" collapsed="false">
      <c r="A1094" s="7" t="s">
        <v>1122</v>
      </c>
      <c r="B1094" s="7" t="s">
        <v>14</v>
      </c>
      <c r="C1094" s="7" t="s">
        <v>929</v>
      </c>
      <c r="D1094" s="7" t="s">
        <v>930</v>
      </c>
      <c r="E1094" s="7" t="s">
        <v>44</v>
      </c>
      <c r="F1094" s="8" t="n">
        <v>0</v>
      </c>
      <c r="G1094" s="9" t="n">
        <v>0</v>
      </c>
      <c r="H1094" s="9" t="n">
        <v>0</v>
      </c>
      <c r="I1094" s="9" t="n">
        <v>0</v>
      </c>
      <c r="J1094" s="7" t="s">
        <v>18</v>
      </c>
      <c r="K1094" s="7" t="s">
        <v>19</v>
      </c>
      <c r="L1094" s="7" t="s">
        <v>20</v>
      </c>
    </row>
    <row r="1095" customFormat="false" ht="22.35" hidden="false" customHeight="false" outlineLevel="0" collapsed="false">
      <c r="A1095" s="4" t="s">
        <v>1123</v>
      </c>
      <c r="B1095" s="4" t="s">
        <v>14</v>
      </c>
      <c r="C1095" s="4" t="s">
        <v>929</v>
      </c>
      <c r="D1095" s="4" t="s">
        <v>930</v>
      </c>
      <c r="E1095" s="4" t="s">
        <v>44</v>
      </c>
      <c r="F1095" s="5" t="n">
        <v>0</v>
      </c>
      <c r="G1095" s="6" t="n">
        <v>0</v>
      </c>
      <c r="H1095" s="6" t="n">
        <v>0</v>
      </c>
      <c r="I1095" s="6" t="n">
        <v>0</v>
      </c>
      <c r="J1095" s="4" t="s">
        <v>18</v>
      </c>
      <c r="K1095" s="4" t="s">
        <v>19</v>
      </c>
      <c r="L1095" s="4" t="s">
        <v>20</v>
      </c>
    </row>
    <row r="1096" customFormat="false" ht="22.35" hidden="false" customHeight="false" outlineLevel="0" collapsed="false">
      <c r="A1096" s="7" t="s">
        <v>1124</v>
      </c>
      <c r="B1096" s="7" t="s">
        <v>14</v>
      </c>
      <c r="C1096" s="7" t="s">
        <v>929</v>
      </c>
      <c r="D1096" s="7" t="s">
        <v>930</v>
      </c>
      <c r="E1096" s="7" t="s">
        <v>1065</v>
      </c>
      <c r="F1096" s="8" t="n">
        <v>0</v>
      </c>
      <c r="G1096" s="9" t="n">
        <v>0</v>
      </c>
      <c r="H1096" s="9" t="n">
        <v>0</v>
      </c>
      <c r="I1096" s="9" t="n">
        <v>0</v>
      </c>
      <c r="J1096" s="7" t="s">
        <v>18</v>
      </c>
      <c r="K1096" s="7" t="s">
        <v>19</v>
      </c>
      <c r="L1096" s="7" t="s">
        <v>20</v>
      </c>
    </row>
    <row r="1097" customFormat="false" ht="22.35" hidden="false" customHeight="false" outlineLevel="0" collapsed="false">
      <c r="A1097" s="4" t="s">
        <v>1125</v>
      </c>
      <c r="B1097" s="4" t="s">
        <v>14</v>
      </c>
      <c r="C1097" s="4" t="s">
        <v>929</v>
      </c>
      <c r="D1097" s="4" t="s">
        <v>930</v>
      </c>
      <c r="E1097" s="4" t="s">
        <v>44</v>
      </c>
      <c r="F1097" s="5" t="n">
        <v>0</v>
      </c>
      <c r="G1097" s="6" t="n">
        <v>0</v>
      </c>
      <c r="H1097" s="6" t="n">
        <v>0</v>
      </c>
      <c r="I1097" s="6" t="n">
        <v>0</v>
      </c>
      <c r="J1097" s="4" t="s">
        <v>18</v>
      </c>
      <c r="K1097" s="4" t="s">
        <v>19</v>
      </c>
      <c r="L1097" s="4" t="s">
        <v>20</v>
      </c>
    </row>
    <row r="1098" customFormat="false" ht="22.35" hidden="false" customHeight="false" outlineLevel="0" collapsed="false">
      <c r="A1098" s="7" t="s">
        <v>1126</v>
      </c>
      <c r="B1098" s="7" t="s">
        <v>14</v>
      </c>
      <c r="C1098" s="7" t="s">
        <v>929</v>
      </c>
      <c r="D1098" s="7" t="s">
        <v>930</v>
      </c>
      <c r="E1098" s="7" t="s">
        <v>44</v>
      </c>
      <c r="F1098" s="8" t="n">
        <v>0</v>
      </c>
      <c r="G1098" s="9" t="n">
        <v>0</v>
      </c>
      <c r="H1098" s="9" t="n">
        <v>0</v>
      </c>
      <c r="I1098" s="9" t="n">
        <v>0</v>
      </c>
      <c r="J1098" s="7" t="s">
        <v>18</v>
      </c>
      <c r="K1098" s="7" t="s">
        <v>19</v>
      </c>
      <c r="L1098" s="7" t="s">
        <v>20</v>
      </c>
    </row>
    <row r="1099" customFormat="false" ht="22.35" hidden="false" customHeight="false" outlineLevel="0" collapsed="false">
      <c r="A1099" s="4" t="s">
        <v>1127</v>
      </c>
      <c r="B1099" s="4" t="s">
        <v>14</v>
      </c>
      <c r="C1099" s="4" t="s">
        <v>929</v>
      </c>
      <c r="D1099" s="4" t="s">
        <v>930</v>
      </c>
      <c r="E1099" s="4" t="s">
        <v>44</v>
      </c>
      <c r="F1099" s="5" t="n">
        <v>0</v>
      </c>
      <c r="G1099" s="6" t="n">
        <v>0</v>
      </c>
      <c r="H1099" s="6" t="n">
        <v>0</v>
      </c>
      <c r="I1099" s="6" t="n">
        <v>0</v>
      </c>
      <c r="J1099" s="4" t="s">
        <v>18</v>
      </c>
      <c r="K1099" s="4" t="s">
        <v>19</v>
      </c>
      <c r="L1099" s="4" t="s">
        <v>20</v>
      </c>
    </row>
    <row r="1100" customFormat="false" ht="22.35" hidden="false" customHeight="false" outlineLevel="0" collapsed="false">
      <c r="A1100" s="7" t="s">
        <v>1128</v>
      </c>
      <c r="B1100" s="7" t="s">
        <v>14</v>
      </c>
      <c r="C1100" s="7" t="s">
        <v>929</v>
      </c>
      <c r="D1100" s="7" t="s">
        <v>930</v>
      </c>
      <c r="E1100" s="7" t="s">
        <v>44</v>
      </c>
      <c r="F1100" s="8" t="n">
        <v>0</v>
      </c>
      <c r="G1100" s="9" t="n">
        <v>0</v>
      </c>
      <c r="H1100" s="9" t="n">
        <v>0</v>
      </c>
      <c r="I1100" s="9" t="n">
        <v>0</v>
      </c>
      <c r="J1100" s="7" t="s">
        <v>18</v>
      </c>
      <c r="K1100" s="7" t="s">
        <v>19</v>
      </c>
      <c r="L1100" s="7" t="s">
        <v>20</v>
      </c>
    </row>
    <row r="1101" customFormat="false" ht="22.35" hidden="false" customHeight="false" outlineLevel="0" collapsed="false">
      <c r="A1101" s="4" t="s">
        <v>1129</v>
      </c>
      <c r="B1101" s="4" t="s">
        <v>14</v>
      </c>
      <c r="C1101" s="4" t="s">
        <v>929</v>
      </c>
      <c r="D1101" s="4" t="s">
        <v>930</v>
      </c>
      <c r="E1101" s="4" t="s">
        <v>44</v>
      </c>
      <c r="F1101" s="5" t="n">
        <v>0</v>
      </c>
      <c r="G1101" s="6" t="n">
        <v>0</v>
      </c>
      <c r="H1101" s="6" t="n">
        <v>0</v>
      </c>
      <c r="I1101" s="6" t="n">
        <v>0</v>
      </c>
      <c r="J1101" s="4" t="s">
        <v>18</v>
      </c>
      <c r="K1101" s="4" t="s">
        <v>19</v>
      </c>
      <c r="L1101" s="4" t="s">
        <v>20</v>
      </c>
    </row>
    <row r="1102" customFormat="false" ht="22.35" hidden="false" customHeight="false" outlineLevel="0" collapsed="false">
      <c r="A1102" s="7" t="s">
        <v>1130</v>
      </c>
      <c r="B1102" s="7" t="s">
        <v>14</v>
      </c>
      <c r="C1102" s="7" t="s">
        <v>929</v>
      </c>
      <c r="D1102" s="7" t="s">
        <v>930</v>
      </c>
      <c r="E1102" s="7" t="s">
        <v>44</v>
      </c>
      <c r="F1102" s="8" t="n">
        <v>0</v>
      </c>
      <c r="G1102" s="9" t="n">
        <v>0</v>
      </c>
      <c r="H1102" s="9" t="n">
        <v>0</v>
      </c>
      <c r="I1102" s="9" t="n">
        <v>0</v>
      </c>
      <c r="J1102" s="7" t="s">
        <v>18</v>
      </c>
      <c r="K1102" s="7" t="s">
        <v>19</v>
      </c>
      <c r="L1102" s="7" t="s">
        <v>20</v>
      </c>
    </row>
    <row r="1103" customFormat="false" ht="22.35" hidden="false" customHeight="false" outlineLevel="0" collapsed="false">
      <c r="A1103" s="4" t="s">
        <v>1131</v>
      </c>
      <c r="B1103" s="4" t="s">
        <v>14</v>
      </c>
      <c r="C1103" s="4" t="s">
        <v>929</v>
      </c>
      <c r="D1103" s="4" t="s">
        <v>930</v>
      </c>
      <c r="E1103" s="4" t="s">
        <v>44</v>
      </c>
      <c r="F1103" s="5" t="n">
        <v>0</v>
      </c>
      <c r="G1103" s="6" t="n">
        <v>0</v>
      </c>
      <c r="H1103" s="6" t="n">
        <v>0</v>
      </c>
      <c r="I1103" s="6" t="n">
        <v>0</v>
      </c>
      <c r="J1103" s="4" t="s">
        <v>18</v>
      </c>
      <c r="K1103" s="4" t="s">
        <v>19</v>
      </c>
      <c r="L1103" s="4" t="s">
        <v>20</v>
      </c>
    </row>
    <row r="1104" customFormat="false" ht="22.35" hidden="false" customHeight="false" outlineLevel="0" collapsed="false">
      <c r="A1104" s="7" t="s">
        <v>1132</v>
      </c>
      <c r="B1104" s="7" t="s">
        <v>14</v>
      </c>
      <c r="C1104" s="7" t="s">
        <v>929</v>
      </c>
      <c r="D1104" s="7" t="s">
        <v>930</v>
      </c>
      <c r="E1104" s="7" t="s">
        <v>1080</v>
      </c>
      <c r="F1104" s="8" t="n">
        <v>0</v>
      </c>
      <c r="G1104" s="9" t="n">
        <v>0</v>
      </c>
      <c r="H1104" s="9" t="n">
        <v>0</v>
      </c>
      <c r="I1104" s="9" t="n">
        <v>0</v>
      </c>
      <c r="J1104" s="7" t="s">
        <v>18</v>
      </c>
      <c r="K1104" s="7" t="s">
        <v>19</v>
      </c>
      <c r="L1104" s="7" t="s">
        <v>20</v>
      </c>
    </row>
    <row r="1105" customFormat="false" ht="22.35" hidden="false" customHeight="false" outlineLevel="0" collapsed="false">
      <c r="A1105" s="4" t="s">
        <v>1133</v>
      </c>
      <c r="B1105" s="4" t="s">
        <v>14</v>
      </c>
      <c r="C1105" s="4" t="s">
        <v>929</v>
      </c>
      <c r="D1105" s="4" t="s">
        <v>930</v>
      </c>
      <c r="E1105" s="4" t="s">
        <v>44</v>
      </c>
      <c r="F1105" s="5" t="n">
        <v>0</v>
      </c>
      <c r="G1105" s="6" t="n">
        <v>0</v>
      </c>
      <c r="H1105" s="6" t="n">
        <v>0</v>
      </c>
      <c r="I1105" s="6" t="n">
        <v>0</v>
      </c>
      <c r="J1105" s="4" t="s">
        <v>18</v>
      </c>
      <c r="K1105" s="4" t="s">
        <v>19</v>
      </c>
      <c r="L1105" s="4" t="s">
        <v>20</v>
      </c>
    </row>
    <row r="1106" customFormat="false" ht="22.35" hidden="false" customHeight="false" outlineLevel="0" collapsed="false">
      <c r="A1106" s="7" t="s">
        <v>1134</v>
      </c>
      <c r="B1106" s="7" t="s">
        <v>14</v>
      </c>
      <c r="C1106" s="7" t="s">
        <v>929</v>
      </c>
      <c r="D1106" s="7" t="s">
        <v>930</v>
      </c>
      <c r="E1106" s="7" t="s">
        <v>44</v>
      </c>
      <c r="F1106" s="8" t="n">
        <v>0</v>
      </c>
      <c r="G1106" s="9" t="n">
        <v>0</v>
      </c>
      <c r="H1106" s="9" t="n">
        <v>0</v>
      </c>
      <c r="I1106" s="9" t="n">
        <v>0</v>
      </c>
      <c r="J1106" s="7" t="s">
        <v>18</v>
      </c>
      <c r="K1106" s="7" t="s">
        <v>19</v>
      </c>
      <c r="L1106" s="7" t="s">
        <v>20</v>
      </c>
    </row>
    <row r="1107" customFormat="false" ht="22.35" hidden="false" customHeight="false" outlineLevel="0" collapsed="false">
      <c r="A1107" s="4" t="s">
        <v>1135</v>
      </c>
      <c r="B1107" s="4" t="s">
        <v>14</v>
      </c>
      <c r="C1107" s="4" t="s">
        <v>929</v>
      </c>
      <c r="D1107" s="4" t="s">
        <v>930</v>
      </c>
      <c r="E1107" s="4" t="s">
        <v>44</v>
      </c>
      <c r="F1107" s="5" t="n">
        <v>0</v>
      </c>
      <c r="G1107" s="6" t="n">
        <v>0</v>
      </c>
      <c r="H1107" s="6" t="n">
        <v>0</v>
      </c>
      <c r="I1107" s="6" t="n">
        <v>0</v>
      </c>
      <c r="J1107" s="4" t="s">
        <v>18</v>
      </c>
      <c r="K1107" s="4" t="s">
        <v>19</v>
      </c>
      <c r="L1107" s="4" t="s">
        <v>20</v>
      </c>
    </row>
    <row r="1108" customFormat="false" ht="22.35" hidden="false" customHeight="false" outlineLevel="0" collapsed="false">
      <c r="A1108" s="7" t="s">
        <v>1136</v>
      </c>
      <c r="B1108" s="7" t="s">
        <v>14</v>
      </c>
      <c r="C1108" s="7" t="s">
        <v>929</v>
      </c>
      <c r="D1108" s="7" t="s">
        <v>930</v>
      </c>
      <c r="E1108" s="7" t="s">
        <v>44</v>
      </c>
      <c r="F1108" s="8" t="n">
        <v>0</v>
      </c>
      <c r="G1108" s="9" t="n">
        <v>0</v>
      </c>
      <c r="H1108" s="9" t="n">
        <v>0</v>
      </c>
      <c r="I1108" s="9" t="n">
        <v>0</v>
      </c>
      <c r="J1108" s="7" t="s">
        <v>18</v>
      </c>
      <c r="K1108" s="7" t="s">
        <v>19</v>
      </c>
      <c r="L1108" s="7" t="s">
        <v>20</v>
      </c>
    </row>
    <row r="1109" customFormat="false" ht="22.35" hidden="false" customHeight="false" outlineLevel="0" collapsed="false">
      <c r="A1109" s="4" t="s">
        <v>1137</v>
      </c>
      <c r="B1109" s="4" t="s">
        <v>14</v>
      </c>
      <c r="C1109" s="4" t="s">
        <v>929</v>
      </c>
      <c r="D1109" s="4" t="s">
        <v>930</v>
      </c>
      <c r="E1109" s="4" t="s">
        <v>44</v>
      </c>
      <c r="F1109" s="5" t="n">
        <v>0</v>
      </c>
      <c r="G1109" s="6" t="n">
        <v>0</v>
      </c>
      <c r="H1109" s="6" t="n">
        <v>0</v>
      </c>
      <c r="I1109" s="6" t="n">
        <v>0</v>
      </c>
      <c r="J1109" s="4" t="s">
        <v>18</v>
      </c>
      <c r="K1109" s="4" t="s">
        <v>19</v>
      </c>
      <c r="L1109" s="4" t="s">
        <v>20</v>
      </c>
    </row>
    <row r="1110" customFormat="false" ht="22.35" hidden="false" customHeight="false" outlineLevel="0" collapsed="false">
      <c r="A1110" s="7" t="s">
        <v>1138</v>
      </c>
      <c r="B1110" s="7" t="s">
        <v>14</v>
      </c>
      <c r="C1110" s="7" t="s">
        <v>929</v>
      </c>
      <c r="D1110" s="7" t="s">
        <v>930</v>
      </c>
      <c r="E1110" s="7" t="s">
        <v>44</v>
      </c>
      <c r="F1110" s="8" t="n">
        <v>0</v>
      </c>
      <c r="G1110" s="9" t="n">
        <v>0</v>
      </c>
      <c r="H1110" s="9" t="n">
        <v>0</v>
      </c>
      <c r="I1110" s="9" t="n">
        <v>0</v>
      </c>
      <c r="J1110" s="7" t="s">
        <v>18</v>
      </c>
      <c r="K1110" s="7" t="s">
        <v>19</v>
      </c>
      <c r="L1110" s="7" t="s">
        <v>20</v>
      </c>
    </row>
    <row r="1111" customFormat="false" ht="22.35" hidden="false" customHeight="false" outlineLevel="0" collapsed="false">
      <c r="A1111" s="4" t="s">
        <v>1139</v>
      </c>
      <c r="B1111" s="4" t="s">
        <v>14</v>
      </c>
      <c r="C1111" s="4" t="s">
        <v>929</v>
      </c>
      <c r="D1111" s="4" t="s">
        <v>930</v>
      </c>
      <c r="E1111" s="4" t="s">
        <v>44</v>
      </c>
      <c r="F1111" s="5" t="n">
        <v>0</v>
      </c>
      <c r="G1111" s="6" t="n">
        <v>0</v>
      </c>
      <c r="H1111" s="6" t="n">
        <v>0</v>
      </c>
      <c r="I1111" s="6" t="n">
        <v>0</v>
      </c>
      <c r="J1111" s="4" t="s">
        <v>18</v>
      </c>
      <c r="K1111" s="4" t="s">
        <v>19</v>
      </c>
      <c r="L1111" s="4" t="s">
        <v>20</v>
      </c>
    </row>
    <row r="1112" customFormat="false" ht="22.35" hidden="false" customHeight="false" outlineLevel="0" collapsed="false">
      <c r="A1112" s="7" t="s">
        <v>1140</v>
      </c>
      <c r="B1112" s="7" t="s">
        <v>14</v>
      </c>
      <c r="C1112" s="7" t="s">
        <v>929</v>
      </c>
      <c r="D1112" s="7" t="s">
        <v>930</v>
      </c>
      <c r="E1112" s="7" t="s">
        <v>1080</v>
      </c>
      <c r="F1112" s="8" t="n">
        <v>0</v>
      </c>
      <c r="G1112" s="9" t="n">
        <v>0</v>
      </c>
      <c r="H1112" s="9" t="n">
        <v>0</v>
      </c>
      <c r="I1112" s="9" t="n">
        <v>0</v>
      </c>
      <c r="J1112" s="7" t="s">
        <v>18</v>
      </c>
      <c r="K1112" s="7" t="s">
        <v>19</v>
      </c>
      <c r="L1112" s="7" t="s">
        <v>20</v>
      </c>
    </row>
    <row r="1113" customFormat="false" ht="22.35" hidden="false" customHeight="false" outlineLevel="0" collapsed="false">
      <c r="A1113" s="4" t="s">
        <v>1141</v>
      </c>
      <c r="B1113" s="4" t="s">
        <v>14</v>
      </c>
      <c r="C1113" s="4" t="s">
        <v>929</v>
      </c>
      <c r="D1113" s="4" t="s">
        <v>930</v>
      </c>
      <c r="E1113" s="4" t="s">
        <v>44</v>
      </c>
      <c r="F1113" s="5" t="n">
        <v>0</v>
      </c>
      <c r="G1113" s="6" t="n">
        <v>0</v>
      </c>
      <c r="H1113" s="6" t="n">
        <v>0</v>
      </c>
      <c r="I1113" s="6" t="n">
        <v>0</v>
      </c>
      <c r="J1113" s="4" t="s">
        <v>18</v>
      </c>
      <c r="K1113" s="4" t="s">
        <v>19</v>
      </c>
      <c r="L1113" s="4" t="s">
        <v>20</v>
      </c>
    </row>
    <row r="1114" customFormat="false" ht="22.35" hidden="false" customHeight="false" outlineLevel="0" collapsed="false">
      <c r="A1114" s="7" t="s">
        <v>1142</v>
      </c>
      <c r="B1114" s="7" t="s">
        <v>14</v>
      </c>
      <c r="C1114" s="7" t="s">
        <v>929</v>
      </c>
      <c r="D1114" s="7" t="s">
        <v>930</v>
      </c>
      <c r="E1114" s="7" t="s">
        <v>1080</v>
      </c>
      <c r="F1114" s="8" t="n">
        <v>0</v>
      </c>
      <c r="G1114" s="9" t="n">
        <v>0</v>
      </c>
      <c r="H1114" s="9" t="n">
        <v>0</v>
      </c>
      <c r="I1114" s="9" t="n">
        <v>0</v>
      </c>
      <c r="J1114" s="7" t="s">
        <v>18</v>
      </c>
      <c r="K1114" s="7" t="s">
        <v>19</v>
      </c>
      <c r="L1114" s="7" t="s">
        <v>20</v>
      </c>
    </row>
    <row r="1115" customFormat="false" ht="22.35" hidden="false" customHeight="false" outlineLevel="0" collapsed="false">
      <c r="A1115" s="4" t="s">
        <v>1143</v>
      </c>
      <c r="B1115" s="4" t="s">
        <v>14</v>
      </c>
      <c r="C1115" s="4" t="s">
        <v>929</v>
      </c>
      <c r="D1115" s="4" t="s">
        <v>930</v>
      </c>
      <c r="E1115" s="4" t="s">
        <v>1080</v>
      </c>
      <c r="F1115" s="5" t="n">
        <v>0</v>
      </c>
      <c r="G1115" s="6" t="n">
        <v>0</v>
      </c>
      <c r="H1115" s="6" t="n">
        <v>0</v>
      </c>
      <c r="I1115" s="6" t="n">
        <v>0</v>
      </c>
      <c r="J1115" s="4" t="s">
        <v>18</v>
      </c>
      <c r="K1115" s="4" t="s">
        <v>19</v>
      </c>
      <c r="L1115" s="4" t="s">
        <v>20</v>
      </c>
    </row>
    <row r="1116" customFormat="false" ht="22.35" hidden="false" customHeight="false" outlineLevel="0" collapsed="false">
      <c r="A1116" s="7" t="s">
        <v>1144</v>
      </c>
      <c r="B1116" s="7" t="s">
        <v>14</v>
      </c>
      <c r="C1116" s="7" t="s">
        <v>929</v>
      </c>
      <c r="D1116" s="7" t="s">
        <v>930</v>
      </c>
      <c r="E1116" s="7" t="s">
        <v>44</v>
      </c>
      <c r="F1116" s="8" t="n">
        <v>0</v>
      </c>
      <c r="G1116" s="9" t="n">
        <v>0</v>
      </c>
      <c r="H1116" s="9" t="n">
        <v>0</v>
      </c>
      <c r="I1116" s="9" t="n">
        <v>0</v>
      </c>
      <c r="J1116" s="7" t="s">
        <v>18</v>
      </c>
      <c r="K1116" s="7" t="s">
        <v>19</v>
      </c>
      <c r="L1116" s="7" t="s">
        <v>20</v>
      </c>
    </row>
    <row r="1117" customFormat="false" ht="22.35" hidden="false" customHeight="false" outlineLevel="0" collapsed="false">
      <c r="A1117" s="4" t="s">
        <v>1145</v>
      </c>
      <c r="B1117" s="4" t="s">
        <v>14</v>
      </c>
      <c r="C1117" s="4" t="s">
        <v>929</v>
      </c>
      <c r="D1117" s="4" t="s">
        <v>930</v>
      </c>
      <c r="E1117" s="4" t="s">
        <v>44</v>
      </c>
      <c r="F1117" s="5" t="n">
        <v>0</v>
      </c>
      <c r="G1117" s="6" t="n">
        <v>0</v>
      </c>
      <c r="H1117" s="6" t="n">
        <v>0</v>
      </c>
      <c r="I1117" s="6" t="n">
        <v>0</v>
      </c>
      <c r="J1117" s="4" t="s">
        <v>18</v>
      </c>
      <c r="K1117" s="4" t="s">
        <v>19</v>
      </c>
      <c r="L1117" s="4" t="s">
        <v>20</v>
      </c>
    </row>
    <row r="1118" customFormat="false" ht="22.35" hidden="false" customHeight="false" outlineLevel="0" collapsed="false">
      <c r="A1118" s="7" t="s">
        <v>1146</v>
      </c>
      <c r="B1118" s="7" t="s">
        <v>14</v>
      </c>
      <c r="C1118" s="7" t="s">
        <v>929</v>
      </c>
      <c r="D1118" s="7" t="s">
        <v>930</v>
      </c>
      <c r="E1118" s="7" t="s">
        <v>44</v>
      </c>
      <c r="F1118" s="8" t="n">
        <v>0</v>
      </c>
      <c r="G1118" s="9" t="n">
        <v>0</v>
      </c>
      <c r="H1118" s="9" t="n">
        <v>0</v>
      </c>
      <c r="I1118" s="9" t="n">
        <v>0</v>
      </c>
      <c r="J1118" s="7" t="s">
        <v>18</v>
      </c>
      <c r="K1118" s="7" t="s">
        <v>19</v>
      </c>
      <c r="L1118" s="7" t="s">
        <v>20</v>
      </c>
    </row>
    <row r="1119" customFormat="false" ht="22.35" hidden="false" customHeight="false" outlineLevel="0" collapsed="false">
      <c r="A1119" s="4" t="s">
        <v>1147</v>
      </c>
      <c r="B1119" s="4" t="s">
        <v>14</v>
      </c>
      <c r="C1119" s="4" t="s">
        <v>929</v>
      </c>
      <c r="D1119" s="4" t="s">
        <v>930</v>
      </c>
      <c r="E1119" s="4" t="s">
        <v>44</v>
      </c>
      <c r="F1119" s="5" t="n">
        <v>0</v>
      </c>
      <c r="G1119" s="6" t="n">
        <v>0</v>
      </c>
      <c r="H1119" s="6" t="n">
        <v>0</v>
      </c>
      <c r="I1119" s="6" t="n">
        <v>0</v>
      </c>
      <c r="J1119" s="4" t="s">
        <v>18</v>
      </c>
      <c r="K1119" s="4" t="s">
        <v>19</v>
      </c>
      <c r="L1119" s="4" t="s">
        <v>20</v>
      </c>
    </row>
    <row r="1120" customFormat="false" ht="22.35" hidden="false" customHeight="false" outlineLevel="0" collapsed="false">
      <c r="A1120" s="7" t="s">
        <v>1148</v>
      </c>
      <c r="B1120" s="7" t="s">
        <v>14</v>
      </c>
      <c r="C1120" s="7" t="s">
        <v>929</v>
      </c>
      <c r="D1120" s="7" t="s">
        <v>930</v>
      </c>
      <c r="E1120" s="7" t="s">
        <v>44</v>
      </c>
      <c r="F1120" s="8" t="n">
        <v>0</v>
      </c>
      <c r="G1120" s="9" t="n">
        <v>0</v>
      </c>
      <c r="H1120" s="9" t="n">
        <v>0</v>
      </c>
      <c r="I1120" s="9" t="n">
        <v>0</v>
      </c>
      <c r="J1120" s="7" t="s">
        <v>18</v>
      </c>
      <c r="K1120" s="7" t="s">
        <v>19</v>
      </c>
      <c r="L1120" s="7" t="s">
        <v>20</v>
      </c>
    </row>
    <row r="1121" customFormat="false" ht="22.35" hidden="false" customHeight="false" outlineLevel="0" collapsed="false">
      <c r="A1121" s="4" t="s">
        <v>1149</v>
      </c>
      <c r="B1121" s="4" t="s">
        <v>14</v>
      </c>
      <c r="C1121" s="4" t="s">
        <v>929</v>
      </c>
      <c r="D1121" s="4" t="s">
        <v>930</v>
      </c>
      <c r="E1121" s="4" t="s">
        <v>44</v>
      </c>
      <c r="F1121" s="5" t="n">
        <v>0</v>
      </c>
      <c r="G1121" s="6" t="n">
        <v>0</v>
      </c>
      <c r="H1121" s="6" t="n">
        <v>0</v>
      </c>
      <c r="I1121" s="6" t="n">
        <v>0</v>
      </c>
      <c r="J1121" s="4" t="s">
        <v>18</v>
      </c>
      <c r="K1121" s="4" t="s">
        <v>19</v>
      </c>
      <c r="L1121" s="4" t="s">
        <v>20</v>
      </c>
    </row>
    <row r="1122" customFormat="false" ht="22.35" hidden="false" customHeight="false" outlineLevel="0" collapsed="false">
      <c r="A1122" s="7" t="s">
        <v>1150</v>
      </c>
      <c r="B1122" s="7" t="s">
        <v>14</v>
      </c>
      <c r="C1122" s="7" t="s">
        <v>929</v>
      </c>
      <c r="D1122" s="7" t="s">
        <v>930</v>
      </c>
      <c r="E1122" s="7" t="s">
        <v>44</v>
      </c>
      <c r="F1122" s="8" t="n">
        <v>0</v>
      </c>
      <c r="G1122" s="9" t="n">
        <v>0</v>
      </c>
      <c r="H1122" s="9" t="n">
        <v>0</v>
      </c>
      <c r="I1122" s="9" t="n">
        <v>0</v>
      </c>
      <c r="J1122" s="7" t="s">
        <v>18</v>
      </c>
      <c r="K1122" s="7" t="s">
        <v>19</v>
      </c>
      <c r="L1122" s="7" t="s">
        <v>20</v>
      </c>
    </row>
    <row r="1123" customFormat="false" ht="22.35" hidden="false" customHeight="false" outlineLevel="0" collapsed="false">
      <c r="A1123" s="4" t="s">
        <v>1151</v>
      </c>
      <c r="B1123" s="4" t="s">
        <v>14</v>
      </c>
      <c r="C1123" s="4" t="s">
        <v>929</v>
      </c>
      <c r="D1123" s="4" t="s">
        <v>930</v>
      </c>
      <c r="E1123" s="4" t="s">
        <v>44</v>
      </c>
      <c r="F1123" s="5" t="n">
        <v>0</v>
      </c>
      <c r="G1123" s="6" t="n">
        <v>0</v>
      </c>
      <c r="H1123" s="6" t="n">
        <v>0</v>
      </c>
      <c r="I1123" s="6" t="n">
        <v>0</v>
      </c>
      <c r="J1123" s="4" t="s">
        <v>18</v>
      </c>
      <c r="K1123" s="4" t="s">
        <v>19</v>
      </c>
      <c r="L1123" s="4" t="s">
        <v>20</v>
      </c>
    </row>
    <row r="1124" customFormat="false" ht="22.35" hidden="false" customHeight="false" outlineLevel="0" collapsed="false">
      <c r="A1124" s="7" t="s">
        <v>1152</v>
      </c>
      <c r="B1124" s="7" t="s">
        <v>14</v>
      </c>
      <c r="C1124" s="7" t="s">
        <v>929</v>
      </c>
      <c r="D1124" s="7" t="s">
        <v>930</v>
      </c>
      <c r="E1124" s="7" t="s">
        <v>44</v>
      </c>
      <c r="F1124" s="8" t="n">
        <v>0</v>
      </c>
      <c r="G1124" s="9" t="n">
        <v>0</v>
      </c>
      <c r="H1124" s="9" t="n">
        <v>0</v>
      </c>
      <c r="I1124" s="9" t="n">
        <v>0</v>
      </c>
      <c r="J1124" s="7" t="s">
        <v>18</v>
      </c>
      <c r="K1124" s="7" t="s">
        <v>19</v>
      </c>
      <c r="L1124" s="7" t="s">
        <v>20</v>
      </c>
    </row>
    <row r="1125" customFormat="false" ht="22.35" hidden="false" customHeight="false" outlineLevel="0" collapsed="false">
      <c r="A1125" s="4" t="s">
        <v>1153</v>
      </c>
      <c r="B1125" s="4" t="s">
        <v>14</v>
      </c>
      <c r="C1125" s="4" t="s">
        <v>929</v>
      </c>
      <c r="D1125" s="4" t="s">
        <v>930</v>
      </c>
      <c r="E1125" s="4" t="s">
        <v>44</v>
      </c>
      <c r="F1125" s="5" t="n">
        <v>0</v>
      </c>
      <c r="G1125" s="6" t="n">
        <v>0</v>
      </c>
      <c r="H1125" s="6" t="n">
        <v>0</v>
      </c>
      <c r="I1125" s="6" t="n">
        <v>0</v>
      </c>
      <c r="J1125" s="4" t="s">
        <v>18</v>
      </c>
      <c r="K1125" s="4" t="s">
        <v>19</v>
      </c>
      <c r="L1125" s="4" t="s">
        <v>20</v>
      </c>
    </row>
    <row r="1126" customFormat="false" ht="22.35" hidden="false" customHeight="false" outlineLevel="0" collapsed="false">
      <c r="A1126" s="7" t="s">
        <v>1154</v>
      </c>
      <c r="B1126" s="7" t="s">
        <v>14</v>
      </c>
      <c r="C1126" s="7" t="s">
        <v>929</v>
      </c>
      <c r="D1126" s="7" t="s">
        <v>930</v>
      </c>
      <c r="E1126" s="7" t="s">
        <v>44</v>
      </c>
      <c r="F1126" s="8" t="n">
        <v>0</v>
      </c>
      <c r="G1126" s="9" t="n">
        <v>0</v>
      </c>
      <c r="H1126" s="9" t="n">
        <v>0</v>
      </c>
      <c r="I1126" s="9" t="n">
        <v>0</v>
      </c>
      <c r="J1126" s="7" t="s">
        <v>18</v>
      </c>
      <c r="K1126" s="7" t="s">
        <v>19</v>
      </c>
      <c r="L1126" s="7" t="s">
        <v>20</v>
      </c>
    </row>
    <row r="1127" customFormat="false" ht="22.35" hidden="false" customHeight="false" outlineLevel="0" collapsed="false">
      <c r="A1127" s="4" t="s">
        <v>1155</v>
      </c>
      <c r="B1127" s="4" t="s">
        <v>14</v>
      </c>
      <c r="C1127" s="4" t="s">
        <v>929</v>
      </c>
      <c r="D1127" s="4" t="s">
        <v>930</v>
      </c>
      <c r="E1127" s="4" t="s">
        <v>44</v>
      </c>
      <c r="F1127" s="5" t="n">
        <v>0</v>
      </c>
      <c r="G1127" s="6" t="n">
        <v>0</v>
      </c>
      <c r="H1127" s="6" t="n">
        <v>0</v>
      </c>
      <c r="I1127" s="6" t="n">
        <v>0</v>
      </c>
      <c r="J1127" s="4" t="s">
        <v>18</v>
      </c>
      <c r="K1127" s="4" t="s">
        <v>19</v>
      </c>
      <c r="L1127" s="4" t="s">
        <v>20</v>
      </c>
    </row>
    <row r="1128" customFormat="false" ht="22.35" hidden="false" customHeight="false" outlineLevel="0" collapsed="false">
      <c r="A1128" s="7" t="s">
        <v>1156</v>
      </c>
      <c r="B1128" s="7" t="s">
        <v>14</v>
      </c>
      <c r="C1128" s="7" t="s">
        <v>929</v>
      </c>
      <c r="D1128" s="7" t="s">
        <v>930</v>
      </c>
      <c r="E1128" s="7" t="s">
        <v>44</v>
      </c>
      <c r="F1128" s="8" t="n">
        <v>0</v>
      </c>
      <c r="G1128" s="9" t="n">
        <v>0</v>
      </c>
      <c r="H1128" s="9" t="n">
        <v>0</v>
      </c>
      <c r="I1128" s="9" t="n">
        <v>0</v>
      </c>
      <c r="J1128" s="7" t="s">
        <v>18</v>
      </c>
      <c r="K1128" s="7" t="s">
        <v>19</v>
      </c>
      <c r="L1128" s="7" t="s">
        <v>20</v>
      </c>
    </row>
    <row r="1129" customFormat="false" ht="22.35" hidden="false" customHeight="false" outlineLevel="0" collapsed="false">
      <c r="A1129" s="4" t="s">
        <v>1157</v>
      </c>
      <c r="B1129" s="4" t="s">
        <v>14</v>
      </c>
      <c r="C1129" s="4" t="s">
        <v>929</v>
      </c>
      <c r="D1129" s="4" t="s">
        <v>930</v>
      </c>
      <c r="E1129" s="4" t="s">
        <v>44</v>
      </c>
      <c r="F1129" s="5" t="n">
        <v>0</v>
      </c>
      <c r="G1129" s="6" t="n">
        <v>0</v>
      </c>
      <c r="H1129" s="6" t="n">
        <v>0</v>
      </c>
      <c r="I1129" s="6" t="n">
        <v>0</v>
      </c>
      <c r="J1129" s="4" t="s">
        <v>18</v>
      </c>
      <c r="K1129" s="4" t="s">
        <v>19</v>
      </c>
      <c r="L1129" s="4" t="s">
        <v>20</v>
      </c>
    </row>
    <row r="1130" customFormat="false" ht="22.35" hidden="false" customHeight="false" outlineLevel="0" collapsed="false">
      <c r="A1130" s="7" t="s">
        <v>1158</v>
      </c>
      <c r="B1130" s="7" t="s">
        <v>14</v>
      </c>
      <c r="C1130" s="7" t="s">
        <v>929</v>
      </c>
      <c r="D1130" s="7" t="s">
        <v>930</v>
      </c>
      <c r="E1130" s="7" t="s">
        <v>44</v>
      </c>
      <c r="F1130" s="8" t="n">
        <v>0</v>
      </c>
      <c r="G1130" s="9" t="n">
        <v>0</v>
      </c>
      <c r="H1130" s="9" t="n">
        <v>0</v>
      </c>
      <c r="I1130" s="9" t="n">
        <v>0</v>
      </c>
      <c r="J1130" s="7" t="s">
        <v>18</v>
      </c>
      <c r="K1130" s="7" t="s">
        <v>19</v>
      </c>
      <c r="L1130" s="7" t="s">
        <v>20</v>
      </c>
    </row>
    <row r="1131" customFormat="false" ht="22.35" hidden="false" customHeight="false" outlineLevel="0" collapsed="false">
      <c r="A1131" s="4" t="s">
        <v>1159</v>
      </c>
      <c r="B1131" s="4" t="s">
        <v>14</v>
      </c>
      <c r="C1131" s="4" t="s">
        <v>929</v>
      </c>
      <c r="D1131" s="4" t="s">
        <v>930</v>
      </c>
      <c r="E1131" s="4" t="s">
        <v>44</v>
      </c>
      <c r="F1131" s="5" t="n">
        <v>0</v>
      </c>
      <c r="G1131" s="6" t="n">
        <v>0</v>
      </c>
      <c r="H1131" s="6" t="n">
        <v>0</v>
      </c>
      <c r="I1131" s="6" t="n">
        <v>0</v>
      </c>
      <c r="J1131" s="4" t="s">
        <v>18</v>
      </c>
      <c r="K1131" s="4" t="s">
        <v>19</v>
      </c>
      <c r="L1131" s="4" t="s">
        <v>20</v>
      </c>
    </row>
    <row r="1132" customFormat="false" ht="22.35" hidden="false" customHeight="false" outlineLevel="0" collapsed="false">
      <c r="A1132" s="7" t="s">
        <v>1160</v>
      </c>
      <c r="B1132" s="7" t="s">
        <v>14</v>
      </c>
      <c r="C1132" s="7" t="s">
        <v>929</v>
      </c>
      <c r="D1132" s="7" t="s">
        <v>930</v>
      </c>
      <c r="E1132" s="7" t="s">
        <v>44</v>
      </c>
      <c r="F1132" s="8" t="n">
        <v>0</v>
      </c>
      <c r="G1132" s="9" t="n">
        <v>0</v>
      </c>
      <c r="H1132" s="9" t="n">
        <v>0</v>
      </c>
      <c r="I1132" s="9" t="n">
        <v>0</v>
      </c>
      <c r="J1132" s="7" t="s">
        <v>18</v>
      </c>
      <c r="K1132" s="7" t="s">
        <v>19</v>
      </c>
      <c r="L1132" s="7" t="s">
        <v>20</v>
      </c>
    </row>
    <row r="1133" customFormat="false" ht="22.35" hidden="false" customHeight="false" outlineLevel="0" collapsed="false">
      <c r="A1133" s="4" t="s">
        <v>1161</v>
      </c>
      <c r="B1133" s="4" t="s">
        <v>14</v>
      </c>
      <c r="C1133" s="4" t="s">
        <v>929</v>
      </c>
      <c r="D1133" s="4" t="s">
        <v>930</v>
      </c>
      <c r="E1133" s="4" t="s">
        <v>1080</v>
      </c>
      <c r="F1133" s="5" t="n">
        <v>0</v>
      </c>
      <c r="G1133" s="6" t="n">
        <v>0</v>
      </c>
      <c r="H1133" s="6" t="n">
        <v>0</v>
      </c>
      <c r="I1133" s="6" t="n">
        <v>0</v>
      </c>
      <c r="J1133" s="4" t="s">
        <v>18</v>
      </c>
      <c r="K1133" s="4" t="s">
        <v>19</v>
      </c>
      <c r="L1133" s="4" t="s">
        <v>20</v>
      </c>
    </row>
    <row r="1134" customFormat="false" ht="22.35" hidden="false" customHeight="false" outlineLevel="0" collapsed="false">
      <c r="A1134" s="7" t="s">
        <v>1162</v>
      </c>
      <c r="B1134" s="7" t="s">
        <v>14</v>
      </c>
      <c r="C1134" s="7" t="s">
        <v>929</v>
      </c>
      <c r="D1134" s="7" t="s">
        <v>930</v>
      </c>
      <c r="E1134" s="7" t="s">
        <v>44</v>
      </c>
      <c r="F1134" s="8" t="n">
        <v>0</v>
      </c>
      <c r="G1134" s="9" t="n">
        <v>0</v>
      </c>
      <c r="H1134" s="9" t="n">
        <v>0</v>
      </c>
      <c r="I1134" s="9" t="n">
        <v>0</v>
      </c>
      <c r="J1134" s="7" t="s">
        <v>18</v>
      </c>
      <c r="K1134" s="7" t="s">
        <v>19</v>
      </c>
      <c r="L1134" s="7" t="s">
        <v>20</v>
      </c>
    </row>
    <row r="1135" customFormat="false" ht="22.35" hidden="false" customHeight="false" outlineLevel="0" collapsed="false">
      <c r="A1135" s="4" t="s">
        <v>1163</v>
      </c>
      <c r="B1135" s="4" t="s">
        <v>14</v>
      </c>
      <c r="C1135" s="4" t="s">
        <v>929</v>
      </c>
      <c r="D1135" s="4" t="s">
        <v>930</v>
      </c>
      <c r="E1135" s="4" t="s">
        <v>44</v>
      </c>
      <c r="F1135" s="5" t="n">
        <v>0</v>
      </c>
      <c r="G1135" s="6" t="n">
        <v>0</v>
      </c>
      <c r="H1135" s="6" t="n">
        <v>0</v>
      </c>
      <c r="I1135" s="6" t="n">
        <v>0</v>
      </c>
      <c r="J1135" s="4" t="s">
        <v>18</v>
      </c>
      <c r="K1135" s="4" t="s">
        <v>19</v>
      </c>
      <c r="L1135" s="4" t="s">
        <v>20</v>
      </c>
    </row>
    <row r="1136" customFormat="false" ht="22.35" hidden="false" customHeight="false" outlineLevel="0" collapsed="false">
      <c r="A1136" s="7" t="s">
        <v>1164</v>
      </c>
      <c r="B1136" s="7" t="s">
        <v>14</v>
      </c>
      <c r="C1136" s="7" t="s">
        <v>929</v>
      </c>
      <c r="D1136" s="7" t="s">
        <v>930</v>
      </c>
      <c r="E1136" s="7" t="s">
        <v>44</v>
      </c>
      <c r="F1136" s="8" t="n">
        <v>0</v>
      </c>
      <c r="G1136" s="9" t="n">
        <v>0</v>
      </c>
      <c r="H1136" s="9" t="n">
        <v>0</v>
      </c>
      <c r="I1136" s="9" t="n">
        <v>0</v>
      </c>
      <c r="J1136" s="7" t="s">
        <v>18</v>
      </c>
      <c r="K1136" s="7" t="s">
        <v>19</v>
      </c>
      <c r="L1136" s="7" t="s">
        <v>20</v>
      </c>
    </row>
    <row r="1137" customFormat="false" ht="22.35" hidden="false" customHeight="false" outlineLevel="0" collapsed="false">
      <c r="A1137" s="4" t="s">
        <v>1165</v>
      </c>
      <c r="B1137" s="4" t="s">
        <v>14</v>
      </c>
      <c r="C1137" s="4" t="s">
        <v>929</v>
      </c>
      <c r="D1137" s="4" t="s">
        <v>930</v>
      </c>
      <c r="E1137" s="4" t="s">
        <v>44</v>
      </c>
      <c r="F1137" s="5" t="n">
        <v>0</v>
      </c>
      <c r="G1137" s="6" t="n">
        <v>0</v>
      </c>
      <c r="H1137" s="6" t="n">
        <v>0</v>
      </c>
      <c r="I1137" s="6" t="n">
        <v>0</v>
      </c>
      <c r="J1137" s="4" t="s">
        <v>18</v>
      </c>
      <c r="K1137" s="4" t="s">
        <v>19</v>
      </c>
      <c r="L1137" s="4" t="s">
        <v>20</v>
      </c>
    </row>
    <row r="1138" customFormat="false" ht="22.35" hidden="false" customHeight="false" outlineLevel="0" collapsed="false">
      <c r="A1138" s="7" t="s">
        <v>1166</v>
      </c>
      <c r="B1138" s="7" t="s">
        <v>14</v>
      </c>
      <c r="C1138" s="7" t="s">
        <v>929</v>
      </c>
      <c r="D1138" s="7" t="s">
        <v>930</v>
      </c>
      <c r="E1138" s="7" t="s">
        <v>44</v>
      </c>
      <c r="F1138" s="8" t="n">
        <v>0</v>
      </c>
      <c r="G1138" s="9" t="n">
        <v>0</v>
      </c>
      <c r="H1138" s="9" t="n">
        <v>0</v>
      </c>
      <c r="I1138" s="9" t="n">
        <v>0</v>
      </c>
      <c r="J1138" s="7" t="s">
        <v>18</v>
      </c>
      <c r="K1138" s="7" t="s">
        <v>19</v>
      </c>
      <c r="L1138" s="7" t="s">
        <v>20</v>
      </c>
    </row>
    <row r="1139" customFormat="false" ht="22.35" hidden="false" customHeight="false" outlineLevel="0" collapsed="false">
      <c r="A1139" s="4" t="s">
        <v>1167</v>
      </c>
      <c r="B1139" s="4" t="s">
        <v>14</v>
      </c>
      <c r="C1139" s="4" t="s">
        <v>929</v>
      </c>
      <c r="D1139" s="4" t="s">
        <v>930</v>
      </c>
      <c r="E1139" s="4" t="s">
        <v>1080</v>
      </c>
      <c r="F1139" s="5" t="n">
        <v>0</v>
      </c>
      <c r="G1139" s="6" t="n">
        <v>0</v>
      </c>
      <c r="H1139" s="6" t="n">
        <v>0</v>
      </c>
      <c r="I1139" s="6" t="n">
        <v>0</v>
      </c>
      <c r="J1139" s="4" t="s">
        <v>18</v>
      </c>
      <c r="K1139" s="4" t="s">
        <v>19</v>
      </c>
      <c r="L1139" s="4" t="s">
        <v>20</v>
      </c>
    </row>
    <row r="1140" customFormat="false" ht="22.35" hidden="false" customHeight="false" outlineLevel="0" collapsed="false">
      <c r="A1140" s="7" t="s">
        <v>1168</v>
      </c>
      <c r="B1140" s="7" t="s">
        <v>14</v>
      </c>
      <c r="C1140" s="7" t="s">
        <v>929</v>
      </c>
      <c r="D1140" s="7" t="s">
        <v>930</v>
      </c>
      <c r="E1140" s="7" t="s">
        <v>44</v>
      </c>
      <c r="F1140" s="8" t="n">
        <v>0</v>
      </c>
      <c r="G1140" s="9" t="n">
        <v>0</v>
      </c>
      <c r="H1140" s="9" t="n">
        <v>0</v>
      </c>
      <c r="I1140" s="9" t="n">
        <v>0</v>
      </c>
      <c r="J1140" s="7" t="s">
        <v>18</v>
      </c>
      <c r="K1140" s="7" t="s">
        <v>19</v>
      </c>
      <c r="L1140" s="7" t="s">
        <v>20</v>
      </c>
    </row>
    <row r="1141" customFormat="false" ht="22.35" hidden="false" customHeight="false" outlineLevel="0" collapsed="false">
      <c r="A1141" s="4" t="s">
        <v>1169</v>
      </c>
      <c r="B1141" s="4" t="s">
        <v>14</v>
      </c>
      <c r="C1141" s="4" t="s">
        <v>929</v>
      </c>
      <c r="D1141" s="4" t="s">
        <v>930</v>
      </c>
      <c r="E1141" s="4" t="s">
        <v>44</v>
      </c>
      <c r="F1141" s="5" t="n">
        <v>0</v>
      </c>
      <c r="G1141" s="6" t="n">
        <v>0</v>
      </c>
      <c r="H1141" s="6" t="n">
        <v>0</v>
      </c>
      <c r="I1141" s="6" t="n">
        <v>0</v>
      </c>
      <c r="J1141" s="4" t="s">
        <v>18</v>
      </c>
      <c r="K1141" s="4" t="s">
        <v>19</v>
      </c>
      <c r="L1141" s="4" t="s">
        <v>20</v>
      </c>
    </row>
    <row r="1142" customFormat="false" ht="22.35" hidden="false" customHeight="false" outlineLevel="0" collapsed="false">
      <c r="A1142" s="7" t="s">
        <v>1170</v>
      </c>
      <c r="B1142" s="7" t="s">
        <v>14</v>
      </c>
      <c r="C1142" s="7" t="s">
        <v>929</v>
      </c>
      <c r="D1142" s="7" t="s">
        <v>930</v>
      </c>
      <c r="E1142" s="7" t="s">
        <v>44</v>
      </c>
      <c r="F1142" s="8" t="n">
        <v>0</v>
      </c>
      <c r="G1142" s="9" t="n">
        <v>0</v>
      </c>
      <c r="H1142" s="9" t="n">
        <v>0</v>
      </c>
      <c r="I1142" s="9" t="n">
        <v>0</v>
      </c>
      <c r="J1142" s="7" t="s">
        <v>18</v>
      </c>
      <c r="K1142" s="7" t="s">
        <v>19</v>
      </c>
      <c r="L1142" s="7" t="s">
        <v>20</v>
      </c>
    </row>
    <row r="1143" customFormat="false" ht="22.35" hidden="false" customHeight="false" outlineLevel="0" collapsed="false">
      <c r="A1143" s="4" t="s">
        <v>1171</v>
      </c>
      <c r="B1143" s="4" t="s">
        <v>14</v>
      </c>
      <c r="C1143" s="4" t="s">
        <v>929</v>
      </c>
      <c r="D1143" s="4" t="s">
        <v>930</v>
      </c>
      <c r="E1143" s="4" t="s">
        <v>44</v>
      </c>
      <c r="F1143" s="5" t="n">
        <v>0</v>
      </c>
      <c r="G1143" s="6" t="n">
        <v>0</v>
      </c>
      <c r="H1143" s="6" t="n">
        <v>0</v>
      </c>
      <c r="I1143" s="6" t="n">
        <v>0</v>
      </c>
      <c r="J1143" s="4" t="s">
        <v>18</v>
      </c>
      <c r="K1143" s="4" t="s">
        <v>19</v>
      </c>
      <c r="L1143" s="4" t="s">
        <v>20</v>
      </c>
    </row>
    <row r="1144" customFormat="false" ht="22.35" hidden="false" customHeight="false" outlineLevel="0" collapsed="false">
      <c r="A1144" s="7" t="s">
        <v>1172</v>
      </c>
      <c r="B1144" s="7" t="s">
        <v>14</v>
      </c>
      <c r="C1144" s="7" t="s">
        <v>929</v>
      </c>
      <c r="D1144" s="7" t="s">
        <v>930</v>
      </c>
      <c r="E1144" s="7" t="s">
        <v>44</v>
      </c>
      <c r="F1144" s="8" t="n">
        <v>0</v>
      </c>
      <c r="G1144" s="9" t="n">
        <v>0</v>
      </c>
      <c r="H1144" s="9" t="n">
        <v>0</v>
      </c>
      <c r="I1144" s="9" t="n">
        <v>0</v>
      </c>
      <c r="J1144" s="7" t="s">
        <v>18</v>
      </c>
      <c r="K1144" s="7" t="s">
        <v>19</v>
      </c>
      <c r="L1144" s="7" t="s">
        <v>20</v>
      </c>
    </row>
    <row r="1145" customFormat="false" ht="22.35" hidden="false" customHeight="false" outlineLevel="0" collapsed="false">
      <c r="A1145" s="4" t="s">
        <v>1173</v>
      </c>
      <c r="B1145" s="4" t="s">
        <v>14</v>
      </c>
      <c r="C1145" s="4" t="s">
        <v>929</v>
      </c>
      <c r="D1145" s="4" t="s">
        <v>930</v>
      </c>
      <c r="E1145" s="4" t="s">
        <v>44</v>
      </c>
      <c r="F1145" s="5" t="n">
        <v>0</v>
      </c>
      <c r="G1145" s="6" t="n">
        <v>0</v>
      </c>
      <c r="H1145" s="6" t="n">
        <v>0</v>
      </c>
      <c r="I1145" s="6" t="n">
        <v>0</v>
      </c>
      <c r="J1145" s="4" t="s">
        <v>18</v>
      </c>
      <c r="K1145" s="4" t="s">
        <v>19</v>
      </c>
      <c r="L1145" s="4" t="s">
        <v>20</v>
      </c>
    </row>
    <row r="1146" customFormat="false" ht="22.35" hidden="false" customHeight="false" outlineLevel="0" collapsed="false">
      <c r="A1146" s="7" t="s">
        <v>1174</v>
      </c>
      <c r="B1146" s="7" t="s">
        <v>14</v>
      </c>
      <c r="C1146" s="7" t="s">
        <v>929</v>
      </c>
      <c r="D1146" s="7" t="s">
        <v>930</v>
      </c>
      <c r="E1146" s="7" t="s">
        <v>44</v>
      </c>
      <c r="F1146" s="8" t="n">
        <v>0</v>
      </c>
      <c r="G1146" s="9" t="n">
        <v>0</v>
      </c>
      <c r="H1146" s="9" t="n">
        <v>0</v>
      </c>
      <c r="I1146" s="9" t="n">
        <v>0</v>
      </c>
      <c r="J1146" s="7" t="s">
        <v>18</v>
      </c>
      <c r="K1146" s="7" t="s">
        <v>19</v>
      </c>
      <c r="L1146" s="7" t="s">
        <v>20</v>
      </c>
    </row>
    <row r="1147" customFormat="false" ht="22.35" hidden="false" customHeight="false" outlineLevel="0" collapsed="false">
      <c r="A1147" s="4" t="s">
        <v>1175</v>
      </c>
      <c r="B1147" s="4" t="s">
        <v>14</v>
      </c>
      <c r="C1147" s="4" t="s">
        <v>929</v>
      </c>
      <c r="D1147" s="4" t="s">
        <v>930</v>
      </c>
      <c r="E1147" s="4" t="s">
        <v>44</v>
      </c>
      <c r="F1147" s="5" t="n">
        <v>0</v>
      </c>
      <c r="G1147" s="6" t="n">
        <v>0</v>
      </c>
      <c r="H1147" s="6" t="n">
        <v>0</v>
      </c>
      <c r="I1147" s="6" t="n">
        <v>0</v>
      </c>
      <c r="J1147" s="4" t="s">
        <v>18</v>
      </c>
      <c r="K1147" s="4" t="s">
        <v>19</v>
      </c>
      <c r="L1147" s="4" t="s">
        <v>20</v>
      </c>
    </row>
    <row r="1148" customFormat="false" ht="22.35" hidden="false" customHeight="false" outlineLevel="0" collapsed="false">
      <c r="A1148" s="7" t="s">
        <v>1176</v>
      </c>
      <c r="B1148" s="7" t="s">
        <v>14</v>
      </c>
      <c r="C1148" s="7" t="s">
        <v>929</v>
      </c>
      <c r="D1148" s="7" t="s">
        <v>930</v>
      </c>
      <c r="E1148" s="7" t="s">
        <v>44</v>
      </c>
      <c r="F1148" s="8" t="n">
        <v>0</v>
      </c>
      <c r="G1148" s="9" t="n">
        <v>0</v>
      </c>
      <c r="H1148" s="9" t="n">
        <v>0</v>
      </c>
      <c r="I1148" s="9" t="n">
        <v>0</v>
      </c>
      <c r="J1148" s="7" t="s">
        <v>18</v>
      </c>
      <c r="K1148" s="7" t="s">
        <v>19</v>
      </c>
      <c r="L1148" s="7" t="s">
        <v>20</v>
      </c>
    </row>
    <row r="1149" customFormat="false" ht="22.35" hidden="false" customHeight="false" outlineLevel="0" collapsed="false">
      <c r="A1149" s="4" t="s">
        <v>1177</v>
      </c>
      <c r="B1149" s="4" t="s">
        <v>14</v>
      </c>
      <c r="C1149" s="4" t="s">
        <v>929</v>
      </c>
      <c r="D1149" s="4" t="s">
        <v>930</v>
      </c>
      <c r="E1149" s="4" t="s">
        <v>44</v>
      </c>
      <c r="F1149" s="5" t="n">
        <v>0</v>
      </c>
      <c r="G1149" s="6" t="n">
        <v>0</v>
      </c>
      <c r="H1149" s="6" t="n">
        <v>0</v>
      </c>
      <c r="I1149" s="6" t="n">
        <v>0</v>
      </c>
      <c r="J1149" s="4" t="s">
        <v>18</v>
      </c>
      <c r="K1149" s="4" t="s">
        <v>19</v>
      </c>
      <c r="L1149" s="4" t="s">
        <v>20</v>
      </c>
    </row>
    <row r="1150" customFormat="false" ht="22.35" hidden="false" customHeight="false" outlineLevel="0" collapsed="false">
      <c r="A1150" s="7" t="s">
        <v>1178</v>
      </c>
      <c r="B1150" s="7" t="s">
        <v>14</v>
      </c>
      <c r="C1150" s="7" t="s">
        <v>929</v>
      </c>
      <c r="D1150" s="7" t="s">
        <v>930</v>
      </c>
      <c r="E1150" s="7" t="s">
        <v>44</v>
      </c>
      <c r="F1150" s="8" t="n">
        <v>0</v>
      </c>
      <c r="G1150" s="9" t="n">
        <v>0</v>
      </c>
      <c r="H1150" s="9" t="n">
        <v>0</v>
      </c>
      <c r="I1150" s="9" t="n">
        <v>0</v>
      </c>
      <c r="J1150" s="7" t="s">
        <v>18</v>
      </c>
      <c r="K1150" s="7" t="s">
        <v>19</v>
      </c>
      <c r="L1150" s="7" t="s">
        <v>20</v>
      </c>
    </row>
    <row r="1151" customFormat="false" ht="22.35" hidden="false" customHeight="false" outlineLevel="0" collapsed="false">
      <c r="A1151" s="4" t="s">
        <v>1179</v>
      </c>
      <c r="B1151" s="4" t="s">
        <v>14</v>
      </c>
      <c r="C1151" s="4" t="s">
        <v>929</v>
      </c>
      <c r="D1151" s="4" t="s">
        <v>930</v>
      </c>
      <c r="E1151" s="4" t="s">
        <v>44</v>
      </c>
      <c r="F1151" s="5" t="n">
        <v>0</v>
      </c>
      <c r="G1151" s="6" t="n">
        <v>0</v>
      </c>
      <c r="H1151" s="6" t="n">
        <v>0</v>
      </c>
      <c r="I1151" s="6" t="n">
        <v>0</v>
      </c>
      <c r="J1151" s="4" t="s">
        <v>18</v>
      </c>
      <c r="K1151" s="4" t="s">
        <v>19</v>
      </c>
      <c r="L1151" s="4" t="s">
        <v>20</v>
      </c>
    </row>
    <row r="1152" customFormat="false" ht="22.35" hidden="false" customHeight="false" outlineLevel="0" collapsed="false">
      <c r="A1152" s="7" t="s">
        <v>1180</v>
      </c>
      <c r="B1152" s="7" t="s">
        <v>14</v>
      </c>
      <c r="C1152" s="7" t="s">
        <v>929</v>
      </c>
      <c r="D1152" s="7" t="s">
        <v>930</v>
      </c>
      <c r="E1152" s="7" t="s">
        <v>44</v>
      </c>
      <c r="F1152" s="8" t="n">
        <v>0</v>
      </c>
      <c r="G1152" s="9" t="n">
        <v>0</v>
      </c>
      <c r="H1152" s="9" t="n">
        <v>0</v>
      </c>
      <c r="I1152" s="9" t="n">
        <v>0</v>
      </c>
      <c r="J1152" s="7" t="s">
        <v>18</v>
      </c>
      <c r="K1152" s="7" t="s">
        <v>19</v>
      </c>
      <c r="L1152" s="7" t="s">
        <v>20</v>
      </c>
    </row>
    <row r="1153" customFormat="false" ht="22.35" hidden="false" customHeight="false" outlineLevel="0" collapsed="false">
      <c r="A1153" s="4" t="s">
        <v>1181</v>
      </c>
      <c r="B1153" s="4" t="s">
        <v>14</v>
      </c>
      <c r="C1153" s="4" t="s">
        <v>929</v>
      </c>
      <c r="D1153" s="4" t="s">
        <v>930</v>
      </c>
      <c r="E1153" s="4" t="s">
        <v>1080</v>
      </c>
      <c r="F1153" s="5" t="n">
        <v>0</v>
      </c>
      <c r="G1153" s="6" t="n">
        <v>0</v>
      </c>
      <c r="H1153" s="6" t="n">
        <v>0</v>
      </c>
      <c r="I1153" s="6" t="n">
        <v>0</v>
      </c>
      <c r="J1153" s="4" t="s">
        <v>18</v>
      </c>
      <c r="K1153" s="4" t="s">
        <v>19</v>
      </c>
      <c r="L1153" s="4" t="s">
        <v>20</v>
      </c>
    </row>
    <row r="1154" customFormat="false" ht="22.35" hidden="false" customHeight="false" outlineLevel="0" collapsed="false">
      <c r="A1154" s="7" t="s">
        <v>1182</v>
      </c>
      <c r="B1154" s="7" t="s">
        <v>14</v>
      </c>
      <c r="C1154" s="7" t="s">
        <v>929</v>
      </c>
      <c r="D1154" s="7" t="s">
        <v>930</v>
      </c>
      <c r="E1154" s="7" t="s">
        <v>44</v>
      </c>
      <c r="F1154" s="8" t="n">
        <v>0</v>
      </c>
      <c r="G1154" s="9" t="n">
        <v>0</v>
      </c>
      <c r="H1154" s="9" t="n">
        <v>0</v>
      </c>
      <c r="I1154" s="9" t="n">
        <v>0</v>
      </c>
      <c r="J1154" s="7" t="s">
        <v>18</v>
      </c>
      <c r="K1154" s="7" t="s">
        <v>19</v>
      </c>
      <c r="L1154" s="7" t="s">
        <v>20</v>
      </c>
    </row>
    <row r="1155" customFormat="false" ht="22.35" hidden="false" customHeight="false" outlineLevel="0" collapsed="false">
      <c r="A1155" s="4" t="s">
        <v>1183</v>
      </c>
      <c r="B1155" s="4" t="s">
        <v>14</v>
      </c>
      <c r="C1155" s="4" t="s">
        <v>929</v>
      </c>
      <c r="D1155" s="4" t="s">
        <v>930</v>
      </c>
      <c r="E1155" s="4" t="s">
        <v>44</v>
      </c>
      <c r="F1155" s="5" t="n">
        <v>0</v>
      </c>
      <c r="G1155" s="6" t="n">
        <v>0</v>
      </c>
      <c r="H1155" s="6" t="n">
        <v>0</v>
      </c>
      <c r="I1155" s="6" t="n">
        <v>0</v>
      </c>
      <c r="J1155" s="4" t="s">
        <v>18</v>
      </c>
      <c r="K1155" s="4" t="s">
        <v>19</v>
      </c>
      <c r="L1155" s="4" t="s">
        <v>20</v>
      </c>
    </row>
    <row r="1156" customFormat="false" ht="22.35" hidden="false" customHeight="false" outlineLevel="0" collapsed="false">
      <c r="A1156" s="7" t="s">
        <v>1184</v>
      </c>
      <c r="B1156" s="7" t="s">
        <v>14</v>
      </c>
      <c r="C1156" s="7" t="s">
        <v>929</v>
      </c>
      <c r="D1156" s="7" t="s">
        <v>930</v>
      </c>
      <c r="E1156" s="7" t="s">
        <v>44</v>
      </c>
      <c r="F1156" s="8" t="n">
        <v>0</v>
      </c>
      <c r="G1156" s="9" t="n">
        <v>0</v>
      </c>
      <c r="H1156" s="9" t="n">
        <v>0</v>
      </c>
      <c r="I1156" s="9" t="n">
        <v>0</v>
      </c>
      <c r="J1156" s="7" t="s">
        <v>18</v>
      </c>
      <c r="K1156" s="7" t="s">
        <v>19</v>
      </c>
      <c r="L1156" s="7" t="s">
        <v>20</v>
      </c>
    </row>
    <row r="1157" customFormat="false" ht="22.35" hidden="false" customHeight="false" outlineLevel="0" collapsed="false">
      <c r="A1157" s="4" t="s">
        <v>1185</v>
      </c>
      <c r="B1157" s="4" t="s">
        <v>14</v>
      </c>
      <c r="C1157" s="4" t="s">
        <v>929</v>
      </c>
      <c r="D1157" s="4" t="s">
        <v>930</v>
      </c>
      <c r="E1157" s="4" t="s">
        <v>44</v>
      </c>
      <c r="F1157" s="5" t="n">
        <v>0</v>
      </c>
      <c r="G1157" s="6" t="n">
        <v>0</v>
      </c>
      <c r="H1157" s="6" t="n">
        <v>0</v>
      </c>
      <c r="I1157" s="6" t="n">
        <v>0</v>
      </c>
      <c r="J1157" s="4" t="s">
        <v>18</v>
      </c>
      <c r="K1157" s="4" t="s">
        <v>19</v>
      </c>
      <c r="L1157" s="4" t="s">
        <v>20</v>
      </c>
    </row>
    <row r="1158" customFormat="false" ht="22.35" hidden="false" customHeight="false" outlineLevel="0" collapsed="false">
      <c r="A1158" s="7" t="s">
        <v>1186</v>
      </c>
      <c r="B1158" s="7" t="s">
        <v>14</v>
      </c>
      <c r="C1158" s="7" t="s">
        <v>929</v>
      </c>
      <c r="D1158" s="7" t="s">
        <v>930</v>
      </c>
      <c r="E1158" s="7" t="s">
        <v>1080</v>
      </c>
      <c r="F1158" s="8" t="n">
        <v>0</v>
      </c>
      <c r="G1158" s="9" t="n">
        <v>0</v>
      </c>
      <c r="H1158" s="9" t="n">
        <v>0</v>
      </c>
      <c r="I1158" s="9" t="n">
        <v>0</v>
      </c>
      <c r="J1158" s="7" t="s">
        <v>18</v>
      </c>
      <c r="K1158" s="7" t="s">
        <v>19</v>
      </c>
      <c r="L1158" s="7" t="s">
        <v>20</v>
      </c>
    </row>
    <row r="1159" customFormat="false" ht="22.35" hidden="false" customHeight="false" outlineLevel="0" collapsed="false">
      <c r="A1159" s="4" t="s">
        <v>1187</v>
      </c>
      <c r="B1159" s="4" t="s">
        <v>14</v>
      </c>
      <c r="C1159" s="4" t="s">
        <v>929</v>
      </c>
      <c r="D1159" s="4" t="s">
        <v>930</v>
      </c>
      <c r="E1159" s="4" t="s">
        <v>44</v>
      </c>
      <c r="F1159" s="5" t="n">
        <v>0</v>
      </c>
      <c r="G1159" s="6" t="n">
        <v>0</v>
      </c>
      <c r="H1159" s="6" t="n">
        <v>0</v>
      </c>
      <c r="I1159" s="6" t="n">
        <v>0</v>
      </c>
      <c r="J1159" s="4" t="s">
        <v>18</v>
      </c>
      <c r="K1159" s="4" t="s">
        <v>19</v>
      </c>
      <c r="L1159" s="4" t="s">
        <v>20</v>
      </c>
    </row>
    <row r="1160" customFormat="false" ht="22.35" hidden="false" customHeight="false" outlineLevel="0" collapsed="false">
      <c r="A1160" s="7" t="s">
        <v>1188</v>
      </c>
      <c r="B1160" s="7" t="s">
        <v>14</v>
      </c>
      <c r="C1160" s="7" t="s">
        <v>929</v>
      </c>
      <c r="D1160" s="7" t="s">
        <v>930</v>
      </c>
      <c r="E1160" s="7" t="s">
        <v>44</v>
      </c>
      <c r="F1160" s="8" t="n">
        <v>0.36</v>
      </c>
      <c r="G1160" s="9" t="n">
        <v>0</v>
      </c>
      <c r="H1160" s="9" t="n">
        <v>0</v>
      </c>
      <c r="I1160" s="9" t="n">
        <v>0</v>
      </c>
      <c r="J1160" s="7" t="s">
        <v>18</v>
      </c>
      <c r="K1160" s="7" t="s">
        <v>19</v>
      </c>
      <c r="L1160" s="7" t="s">
        <v>20</v>
      </c>
    </row>
    <row r="1161" customFormat="false" ht="22.35" hidden="false" customHeight="false" outlineLevel="0" collapsed="false">
      <c r="A1161" s="4" t="s">
        <v>1189</v>
      </c>
      <c r="B1161" s="4" t="s">
        <v>14</v>
      </c>
      <c r="C1161" s="4" t="s">
        <v>929</v>
      </c>
      <c r="D1161" s="4" t="s">
        <v>930</v>
      </c>
      <c r="E1161" s="4" t="s">
        <v>44</v>
      </c>
      <c r="F1161" s="5" t="n">
        <v>0.19</v>
      </c>
      <c r="G1161" s="6" t="n">
        <v>0</v>
      </c>
      <c r="H1161" s="6" t="n">
        <v>0</v>
      </c>
      <c r="I1161" s="6" t="n">
        <v>0</v>
      </c>
      <c r="J1161" s="4" t="s">
        <v>18</v>
      </c>
      <c r="K1161" s="4" t="s">
        <v>19</v>
      </c>
      <c r="L1161" s="4" t="s">
        <v>20</v>
      </c>
    </row>
    <row r="1162" customFormat="false" ht="22.35" hidden="false" customHeight="false" outlineLevel="0" collapsed="false">
      <c r="A1162" s="7" t="s">
        <v>1190</v>
      </c>
      <c r="B1162" s="7" t="s">
        <v>14</v>
      </c>
      <c r="C1162" s="7" t="s">
        <v>929</v>
      </c>
      <c r="D1162" s="7" t="s">
        <v>930</v>
      </c>
      <c r="E1162" s="7" t="s">
        <v>44</v>
      </c>
      <c r="F1162" s="8" t="n">
        <v>0.36</v>
      </c>
      <c r="G1162" s="9" t="n">
        <v>0</v>
      </c>
      <c r="H1162" s="9" t="n">
        <v>0</v>
      </c>
      <c r="I1162" s="9" t="n">
        <v>0</v>
      </c>
      <c r="J1162" s="7" t="s">
        <v>18</v>
      </c>
      <c r="K1162" s="7" t="s">
        <v>19</v>
      </c>
      <c r="L1162" s="7" t="s">
        <v>20</v>
      </c>
    </row>
    <row r="1163" customFormat="false" ht="22.35" hidden="false" customHeight="false" outlineLevel="0" collapsed="false">
      <c r="A1163" s="4" t="s">
        <v>1191</v>
      </c>
      <c r="B1163" s="4" t="s">
        <v>14</v>
      </c>
      <c r="C1163" s="4" t="s">
        <v>929</v>
      </c>
      <c r="D1163" s="4" t="s">
        <v>930</v>
      </c>
      <c r="E1163" s="4" t="s">
        <v>44</v>
      </c>
      <c r="F1163" s="5" t="n">
        <v>1.09</v>
      </c>
      <c r="G1163" s="6" t="n">
        <v>0</v>
      </c>
      <c r="H1163" s="6" t="n">
        <v>0</v>
      </c>
      <c r="I1163" s="6" t="n">
        <v>0</v>
      </c>
      <c r="J1163" s="4" t="s">
        <v>18</v>
      </c>
      <c r="K1163" s="4" t="s">
        <v>19</v>
      </c>
      <c r="L1163" s="4" t="s">
        <v>20</v>
      </c>
    </row>
    <row r="1164" customFormat="false" ht="22.35" hidden="false" customHeight="false" outlineLevel="0" collapsed="false">
      <c r="A1164" s="7" t="s">
        <v>1192</v>
      </c>
      <c r="B1164" s="7" t="s">
        <v>14</v>
      </c>
      <c r="C1164" s="7" t="s">
        <v>929</v>
      </c>
      <c r="D1164" s="7" t="s">
        <v>930</v>
      </c>
      <c r="E1164" s="7" t="s">
        <v>44</v>
      </c>
      <c r="F1164" s="8" t="n">
        <v>1.22</v>
      </c>
      <c r="G1164" s="9" t="n">
        <v>0</v>
      </c>
      <c r="H1164" s="9" t="n">
        <v>0</v>
      </c>
      <c r="I1164" s="9" t="n">
        <v>0</v>
      </c>
      <c r="J1164" s="7" t="s">
        <v>18</v>
      </c>
      <c r="K1164" s="7" t="s">
        <v>19</v>
      </c>
      <c r="L1164" s="7" t="s">
        <v>20</v>
      </c>
    </row>
    <row r="1165" customFormat="false" ht="22.35" hidden="false" customHeight="false" outlineLevel="0" collapsed="false">
      <c r="A1165" s="4" t="s">
        <v>1193</v>
      </c>
      <c r="B1165" s="4" t="s">
        <v>14</v>
      </c>
      <c r="C1165" s="4" t="s">
        <v>929</v>
      </c>
      <c r="D1165" s="4" t="s">
        <v>930</v>
      </c>
      <c r="E1165" s="4" t="s">
        <v>44</v>
      </c>
      <c r="F1165" s="5" t="n">
        <v>0.75</v>
      </c>
      <c r="G1165" s="6" t="n">
        <v>0</v>
      </c>
      <c r="H1165" s="6" t="n">
        <v>0</v>
      </c>
      <c r="I1165" s="6" t="n">
        <v>0</v>
      </c>
      <c r="J1165" s="4" t="s">
        <v>18</v>
      </c>
      <c r="K1165" s="4" t="s">
        <v>19</v>
      </c>
      <c r="L1165" s="4" t="s">
        <v>20</v>
      </c>
    </row>
    <row r="1166" customFormat="false" ht="22.35" hidden="false" customHeight="false" outlineLevel="0" collapsed="false">
      <c r="A1166" s="7" t="s">
        <v>1194</v>
      </c>
      <c r="B1166" s="7" t="s">
        <v>14</v>
      </c>
      <c r="C1166" s="7" t="s">
        <v>929</v>
      </c>
      <c r="D1166" s="7" t="s">
        <v>930</v>
      </c>
      <c r="E1166" s="7" t="s">
        <v>44</v>
      </c>
      <c r="F1166" s="8" t="n">
        <v>0.99</v>
      </c>
      <c r="G1166" s="9" t="n">
        <v>0</v>
      </c>
      <c r="H1166" s="9" t="n">
        <v>0</v>
      </c>
      <c r="I1166" s="9" t="n">
        <v>0</v>
      </c>
      <c r="J1166" s="7" t="s">
        <v>18</v>
      </c>
      <c r="K1166" s="7" t="s">
        <v>19</v>
      </c>
      <c r="L1166" s="7" t="s">
        <v>20</v>
      </c>
    </row>
    <row r="1167" customFormat="false" ht="22.35" hidden="false" customHeight="false" outlineLevel="0" collapsed="false">
      <c r="A1167" s="4" t="s">
        <v>1195</v>
      </c>
      <c r="B1167" s="4" t="s">
        <v>14</v>
      </c>
      <c r="C1167" s="4" t="s">
        <v>929</v>
      </c>
      <c r="D1167" s="4" t="s">
        <v>930</v>
      </c>
      <c r="E1167" s="4" t="s">
        <v>44</v>
      </c>
      <c r="F1167" s="5" t="n">
        <v>0.651</v>
      </c>
      <c r="G1167" s="6" t="n">
        <v>0</v>
      </c>
      <c r="H1167" s="6" t="n">
        <v>0</v>
      </c>
      <c r="I1167" s="6" t="n">
        <v>0</v>
      </c>
      <c r="J1167" s="4" t="s">
        <v>18</v>
      </c>
      <c r="K1167" s="4" t="s">
        <v>19</v>
      </c>
      <c r="L1167" s="4" t="s">
        <v>20</v>
      </c>
    </row>
    <row r="1168" customFormat="false" ht="22.35" hidden="false" customHeight="false" outlineLevel="0" collapsed="false">
      <c r="A1168" s="7" t="s">
        <v>1196</v>
      </c>
      <c r="B1168" s="7" t="s">
        <v>14</v>
      </c>
      <c r="C1168" s="7" t="s">
        <v>929</v>
      </c>
      <c r="D1168" s="7" t="s">
        <v>930</v>
      </c>
      <c r="E1168" s="7" t="s">
        <v>44</v>
      </c>
      <c r="F1168" s="8" t="n">
        <v>0</v>
      </c>
      <c r="G1168" s="9" t="n">
        <v>0</v>
      </c>
      <c r="H1168" s="9" t="n">
        <v>0</v>
      </c>
      <c r="I1168" s="9" t="n">
        <v>0</v>
      </c>
      <c r="J1168" s="7" t="s">
        <v>18</v>
      </c>
      <c r="K1168" s="7" t="s">
        <v>19</v>
      </c>
      <c r="L1168" s="7" t="s">
        <v>20</v>
      </c>
    </row>
    <row r="1169" customFormat="false" ht="22.35" hidden="false" customHeight="false" outlineLevel="0" collapsed="false">
      <c r="A1169" s="4" t="s">
        <v>1197</v>
      </c>
      <c r="B1169" s="4" t="s">
        <v>14</v>
      </c>
      <c r="C1169" s="4" t="s">
        <v>929</v>
      </c>
      <c r="D1169" s="4" t="s">
        <v>930</v>
      </c>
      <c r="E1169" s="4" t="s">
        <v>44</v>
      </c>
      <c r="F1169" s="5" t="n">
        <v>0.4282</v>
      </c>
      <c r="G1169" s="6" t="n">
        <v>0</v>
      </c>
      <c r="H1169" s="6" t="n">
        <v>0</v>
      </c>
      <c r="I1169" s="6" t="n">
        <v>0</v>
      </c>
      <c r="J1169" s="4" t="s">
        <v>18</v>
      </c>
      <c r="K1169" s="4" t="s">
        <v>19</v>
      </c>
      <c r="L1169" s="4" t="s">
        <v>20</v>
      </c>
    </row>
    <row r="1170" customFormat="false" ht="22.35" hidden="false" customHeight="false" outlineLevel="0" collapsed="false">
      <c r="A1170" s="7" t="s">
        <v>1198</v>
      </c>
      <c r="B1170" s="7" t="s">
        <v>14</v>
      </c>
      <c r="C1170" s="7" t="s">
        <v>929</v>
      </c>
      <c r="D1170" s="7" t="s">
        <v>930</v>
      </c>
      <c r="E1170" s="7" t="s">
        <v>44</v>
      </c>
      <c r="F1170" s="8" t="n">
        <v>1.1</v>
      </c>
      <c r="G1170" s="9" t="n">
        <v>0</v>
      </c>
      <c r="H1170" s="9" t="n">
        <v>0</v>
      </c>
      <c r="I1170" s="9" t="n">
        <v>0</v>
      </c>
      <c r="J1170" s="7" t="s">
        <v>18</v>
      </c>
      <c r="K1170" s="7" t="s">
        <v>19</v>
      </c>
      <c r="L1170" s="7" t="s">
        <v>20</v>
      </c>
    </row>
    <row r="1171" customFormat="false" ht="22.35" hidden="false" customHeight="false" outlineLevel="0" collapsed="false">
      <c r="A1171" s="4" t="s">
        <v>1199</v>
      </c>
      <c r="B1171" s="4" t="s">
        <v>14</v>
      </c>
      <c r="C1171" s="4" t="s">
        <v>929</v>
      </c>
      <c r="D1171" s="4" t="s">
        <v>930</v>
      </c>
      <c r="E1171" s="4" t="s">
        <v>44</v>
      </c>
      <c r="F1171" s="5" t="n">
        <v>0.45</v>
      </c>
      <c r="G1171" s="6" t="n">
        <v>0</v>
      </c>
      <c r="H1171" s="6" t="n">
        <v>0</v>
      </c>
      <c r="I1171" s="6" t="n">
        <v>0</v>
      </c>
      <c r="J1171" s="4" t="s">
        <v>18</v>
      </c>
      <c r="K1171" s="4" t="s">
        <v>19</v>
      </c>
      <c r="L1171" s="4" t="s">
        <v>20</v>
      </c>
    </row>
    <row r="1172" customFormat="false" ht="22.35" hidden="false" customHeight="false" outlineLevel="0" collapsed="false">
      <c r="A1172" s="7" t="s">
        <v>1200</v>
      </c>
      <c r="B1172" s="7" t="s">
        <v>14</v>
      </c>
      <c r="C1172" s="7" t="s">
        <v>929</v>
      </c>
      <c r="D1172" s="7" t="s">
        <v>930</v>
      </c>
      <c r="E1172" s="7" t="s">
        <v>44</v>
      </c>
      <c r="F1172" s="8" t="n">
        <v>1.48</v>
      </c>
      <c r="G1172" s="9" t="n">
        <v>0</v>
      </c>
      <c r="H1172" s="9" t="n">
        <v>0</v>
      </c>
      <c r="I1172" s="9" t="n">
        <v>0</v>
      </c>
      <c r="J1172" s="7" t="s">
        <v>18</v>
      </c>
      <c r="K1172" s="7" t="s">
        <v>19</v>
      </c>
      <c r="L1172" s="7" t="s">
        <v>20</v>
      </c>
    </row>
    <row r="1173" customFormat="false" ht="22.35" hidden="false" customHeight="false" outlineLevel="0" collapsed="false">
      <c r="A1173" s="4" t="s">
        <v>1201</v>
      </c>
      <c r="B1173" s="4" t="s">
        <v>14</v>
      </c>
      <c r="C1173" s="4" t="s">
        <v>929</v>
      </c>
      <c r="D1173" s="4" t="s">
        <v>930</v>
      </c>
      <c r="E1173" s="4" t="s">
        <v>44</v>
      </c>
      <c r="F1173" s="5" t="n">
        <v>0.47</v>
      </c>
      <c r="G1173" s="6" t="n">
        <v>0</v>
      </c>
      <c r="H1173" s="6" t="n">
        <v>0</v>
      </c>
      <c r="I1173" s="6" t="n">
        <v>0</v>
      </c>
      <c r="J1173" s="4" t="s">
        <v>18</v>
      </c>
      <c r="K1173" s="4" t="s">
        <v>19</v>
      </c>
      <c r="L1173" s="4" t="s">
        <v>20</v>
      </c>
    </row>
    <row r="1174" customFormat="false" ht="22.35" hidden="false" customHeight="false" outlineLevel="0" collapsed="false">
      <c r="A1174" s="7" t="s">
        <v>1202</v>
      </c>
      <c r="B1174" s="7" t="s">
        <v>14</v>
      </c>
      <c r="C1174" s="7" t="s">
        <v>929</v>
      </c>
      <c r="D1174" s="7" t="s">
        <v>930</v>
      </c>
      <c r="E1174" s="7" t="s">
        <v>44</v>
      </c>
      <c r="F1174" s="8" t="n">
        <v>0.31</v>
      </c>
      <c r="G1174" s="9" t="n">
        <v>0</v>
      </c>
      <c r="H1174" s="9" t="n">
        <v>0</v>
      </c>
      <c r="I1174" s="9" t="n">
        <v>0</v>
      </c>
      <c r="J1174" s="7" t="s">
        <v>18</v>
      </c>
      <c r="K1174" s="7" t="s">
        <v>19</v>
      </c>
      <c r="L1174" s="7" t="s">
        <v>20</v>
      </c>
    </row>
    <row r="1175" customFormat="false" ht="22.35" hidden="false" customHeight="false" outlineLevel="0" collapsed="false">
      <c r="A1175" s="4" t="s">
        <v>1203</v>
      </c>
      <c r="B1175" s="4" t="s">
        <v>14</v>
      </c>
      <c r="C1175" s="4" t="s">
        <v>929</v>
      </c>
      <c r="D1175" s="4" t="s">
        <v>930</v>
      </c>
      <c r="E1175" s="4" t="s">
        <v>44</v>
      </c>
      <c r="F1175" s="5" t="n">
        <v>2.096</v>
      </c>
      <c r="G1175" s="6" t="n">
        <v>0</v>
      </c>
      <c r="H1175" s="6" t="n">
        <v>0</v>
      </c>
      <c r="I1175" s="6" t="n">
        <v>0</v>
      </c>
      <c r="J1175" s="4" t="s">
        <v>18</v>
      </c>
      <c r="K1175" s="4" t="s">
        <v>19</v>
      </c>
      <c r="L1175" s="4" t="s">
        <v>20</v>
      </c>
    </row>
    <row r="1176" customFormat="false" ht="22.35" hidden="false" customHeight="false" outlineLevel="0" collapsed="false">
      <c r="A1176" s="7" t="s">
        <v>1204</v>
      </c>
      <c r="B1176" s="7" t="s">
        <v>14</v>
      </c>
      <c r="C1176" s="7" t="s">
        <v>929</v>
      </c>
      <c r="D1176" s="7" t="s">
        <v>930</v>
      </c>
      <c r="E1176" s="7" t="s">
        <v>44</v>
      </c>
      <c r="F1176" s="8" t="n">
        <v>0.83</v>
      </c>
      <c r="G1176" s="9" t="n">
        <v>0</v>
      </c>
      <c r="H1176" s="9" t="n">
        <v>0</v>
      </c>
      <c r="I1176" s="9" t="n">
        <v>0</v>
      </c>
      <c r="J1176" s="7" t="s">
        <v>18</v>
      </c>
      <c r="K1176" s="7" t="s">
        <v>19</v>
      </c>
      <c r="L1176" s="7" t="s">
        <v>20</v>
      </c>
    </row>
    <row r="1177" customFormat="false" ht="22.35" hidden="false" customHeight="false" outlineLevel="0" collapsed="false">
      <c r="A1177" s="4" t="s">
        <v>1205</v>
      </c>
      <c r="B1177" s="4" t="s">
        <v>14</v>
      </c>
      <c r="C1177" s="4" t="s">
        <v>929</v>
      </c>
      <c r="D1177" s="4" t="s">
        <v>930</v>
      </c>
      <c r="E1177" s="4" t="s">
        <v>44</v>
      </c>
      <c r="F1177" s="5" t="n">
        <v>1.68</v>
      </c>
      <c r="G1177" s="6" t="n">
        <v>0</v>
      </c>
      <c r="H1177" s="6" t="n">
        <v>0</v>
      </c>
      <c r="I1177" s="6" t="n">
        <v>0</v>
      </c>
      <c r="J1177" s="4" t="s">
        <v>18</v>
      </c>
      <c r="K1177" s="4" t="s">
        <v>19</v>
      </c>
      <c r="L1177" s="4" t="s">
        <v>20</v>
      </c>
    </row>
    <row r="1178" customFormat="false" ht="22.35" hidden="false" customHeight="false" outlineLevel="0" collapsed="false">
      <c r="A1178" s="7" t="s">
        <v>1206</v>
      </c>
      <c r="B1178" s="7" t="s">
        <v>14</v>
      </c>
      <c r="C1178" s="7" t="s">
        <v>929</v>
      </c>
      <c r="D1178" s="7" t="s">
        <v>930</v>
      </c>
      <c r="E1178" s="7" t="s">
        <v>44</v>
      </c>
      <c r="F1178" s="8" t="n">
        <v>0.05</v>
      </c>
      <c r="G1178" s="9" t="n">
        <v>0</v>
      </c>
      <c r="H1178" s="9" t="n">
        <v>0</v>
      </c>
      <c r="I1178" s="9" t="n">
        <v>0</v>
      </c>
      <c r="J1178" s="7" t="s">
        <v>18</v>
      </c>
      <c r="K1178" s="7" t="s">
        <v>19</v>
      </c>
      <c r="L1178" s="7" t="s">
        <v>20</v>
      </c>
    </row>
    <row r="1179" customFormat="false" ht="22.35" hidden="false" customHeight="false" outlineLevel="0" collapsed="false">
      <c r="A1179" s="4" t="s">
        <v>1207</v>
      </c>
      <c r="B1179" s="4" t="s">
        <v>14</v>
      </c>
      <c r="C1179" s="4" t="s">
        <v>929</v>
      </c>
      <c r="D1179" s="4" t="s">
        <v>930</v>
      </c>
      <c r="E1179" s="4" t="s">
        <v>44</v>
      </c>
      <c r="F1179" s="5" t="n">
        <v>0.91</v>
      </c>
      <c r="G1179" s="6" t="n">
        <v>0</v>
      </c>
      <c r="H1179" s="6" t="n">
        <v>0</v>
      </c>
      <c r="I1179" s="6" t="n">
        <v>0</v>
      </c>
      <c r="J1179" s="4" t="s">
        <v>18</v>
      </c>
      <c r="K1179" s="4" t="s">
        <v>19</v>
      </c>
      <c r="L1179" s="4" t="s">
        <v>20</v>
      </c>
    </row>
    <row r="1180" customFormat="false" ht="22.35" hidden="false" customHeight="false" outlineLevel="0" collapsed="false">
      <c r="A1180" s="7" t="s">
        <v>1208</v>
      </c>
      <c r="B1180" s="7" t="s">
        <v>14</v>
      </c>
      <c r="C1180" s="7" t="s">
        <v>929</v>
      </c>
      <c r="D1180" s="7" t="s">
        <v>930</v>
      </c>
      <c r="E1180" s="7" t="s">
        <v>44</v>
      </c>
      <c r="F1180" s="8" t="n">
        <v>2.07</v>
      </c>
      <c r="G1180" s="9" t="n">
        <v>0</v>
      </c>
      <c r="H1180" s="9" t="n">
        <v>0</v>
      </c>
      <c r="I1180" s="9" t="n">
        <v>0</v>
      </c>
      <c r="J1180" s="7" t="s">
        <v>18</v>
      </c>
      <c r="K1180" s="7" t="s">
        <v>19</v>
      </c>
      <c r="L1180" s="7" t="s">
        <v>20</v>
      </c>
    </row>
    <row r="1181" customFormat="false" ht="22.35" hidden="false" customHeight="false" outlineLevel="0" collapsed="false">
      <c r="A1181" s="4" t="s">
        <v>1209</v>
      </c>
      <c r="B1181" s="4" t="s">
        <v>14</v>
      </c>
      <c r="C1181" s="4" t="s">
        <v>929</v>
      </c>
      <c r="D1181" s="4" t="s">
        <v>930</v>
      </c>
      <c r="E1181" s="4" t="s">
        <v>44</v>
      </c>
      <c r="F1181" s="5" t="n">
        <v>4.41</v>
      </c>
      <c r="G1181" s="6" t="n">
        <v>0</v>
      </c>
      <c r="H1181" s="6" t="n">
        <v>0</v>
      </c>
      <c r="I1181" s="6" t="n">
        <v>0</v>
      </c>
      <c r="J1181" s="4" t="s">
        <v>18</v>
      </c>
      <c r="K1181" s="4" t="s">
        <v>19</v>
      </c>
      <c r="L1181" s="4" t="s">
        <v>20</v>
      </c>
    </row>
    <row r="1182" customFormat="false" ht="22.35" hidden="false" customHeight="false" outlineLevel="0" collapsed="false">
      <c r="A1182" s="7" t="s">
        <v>1210</v>
      </c>
      <c r="B1182" s="7" t="s">
        <v>14</v>
      </c>
      <c r="C1182" s="7" t="s">
        <v>929</v>
      </c>
      <c r="D1182" s="7" t="s">
        <v>930</v>
      </c>
      <c r="E1182" s="7" t="s">
        <v>17</v>
      </c>
      <c r="F1182" s="8" t="n">
        <v>2.28</v>
      </c>
      <c r="G1182" s="9" t="n">
        <v>0</v>
      </c>
      <c r="H1182" s="9" t="n">
        <v>0</v>
      </c>
      <c r="I1182" s="9" t="n">
        <v>0</v>
      </c>
      <c r="J1182" s="7" t="s">
        <v>18</v>
      </c>
      <c r="K1182" s="7" t="s">
        <v>19</v>
      </c>
      <c r="L1182" s="7" t="s">
        <v>20</v>
      </c>
    </row>
    <row r="1183" customFormat="false" ht="22.35" hidden="false" customHeight="false" outlineLevel="0" collapsed="false">
      <c r="A1183" s="4" t="s">
        <v>1211</v>
      </c>
      <c r="B1183" s="4" t="s">
        <v>14</v>
      </c>
      <c r="C1183" s="4" t="s">
        <v>929</v>
      </c>
      <c r="D1183" s="4" t="s">
        <v>930</v>
      </c>
      <c r="E1183" s="4" t="s">
        <v>44</v>
      </c>
      <c r="F1183" s="5" t="n">
        <v>1.31</v>
      </c>
      <c r="G1183" s="6" t="n">
        <v>0</v>
      </c>
      <c r="H1183" s="6" t="n">
        <v>0</v>
      </c>
      <c r="I1183" s="6" t="n">
        <v>0</v>
      </c>
      <c r="J1183" s="4" t="s">
        <v>18</v>
      </c>
      <c r="K1183" s="4" t="s">
        <v>19</v>
      </c>
      <c r="L1183" s="4" t="s">
        <v>20</v>
      </c>
    </row>
    <row r="1184" customFormat="false" ht="22.35" hidden="false" customHeight="false" outlineLevel="0" collapsed="false">
      <c r="A1184" s="7" t="s">
        <v>1212</v>
      </c>
      <c r="B1184" s="7" t="s">
        <v>14</v>
      </c>
      <c r="C1184" s="7" t="s">
        <v>929</v>
      </c>
      <c r="D1184" s="7" t="s">
        <v>930</v>
      </c>
      <c r="E1184" s="7" t="s">
        <v>44</v>
      </c>
      <c r="F1184" s="8" t="n">
        <v>1.15</v>
      </c>
      <c r="G1184" s="9" t="n">
        <v>0</v>
      </c>
      <c r="H1184" s="9" t="n">
        <v>0</v>
      </c>
      <c r="I1184" s="9" t="n">
        <v>0</v>
      </c>
      <c r="J1184" s="7" t="s">
        <v>18</v>
      </c>
      <c r="K1184" s="7" t="s">
        <v>19</v>
      </c>
      <c r="L1184" s="7" t="s">
        <v>20</v>
      </c>
    </row>
    <row r="1185" customFormat="false" ht="22.35" hidden="false" customHeight="false" outlineLevel="0" collapsed="false">
      <c r="A1185" s="4" t="s">
        <v>1213</v>
      </c>
      <c r="B1185" s="4" t="s">
        <v>14</v>
      </c>
      <c r="C1185" s="4" t="s">
        <v>929</v>
      </c>
      <c r="D1185" s="4" t="s">
        <v>930</v>
      </c>
      <c r="E1185" s="4" t="s">
        <v>44</v>
      </c>
      <c r="F1185" s="5" t="n">
        <v>3.26</v>
      </c>
      <c r="G1185" s="6" t="n">
        <v>0</v>
      </c>
      <c r="H1185" s="6" t="n">
        <v>0</v>
      </c>
      <c r="I1185" s="6" t="n">
        <v>0</v>
      </c>
      <c r="J1185" s="4" t="s">
        <v>18</v>
      </c>
      <c r="K1185" s="4" t="s">
        <v>19</v>
      </c>
      <c r="L1185" s="4" t="s">
        <v>20</v>
      </c>
    </row>
    <row r="1186" customFormat="false" ht="22.35" hidden="false" customHeight="false" outlineLevel="0" collapsed="false">
      <c r="A1186" s="7" t="s">
        <v>1214</v>
      </c>
      <c r="B1186" s="7" t="s">
        <v>14</v>
      </c>
      <c r="C1186" s="7" t="s">
        <v>929</v>
      </c>
      <c r="D1186" s="7" t="s">
        <v>930</v>
      </c>
      <c r="E1186" s="7" t="s">
        <v>44</v>
      </c>
      <c r="F1186" s="8" t="n">
        <v>3.52</v>
      </c>
      <c r="G1186" s="9" t="n">
        <v>0</v>
      </c>
      <c r="H1186" s="9" t="n">
        <v>0</v>
      </c>
      <c r="I1186" s="9" t="n">
        <v>0</v>
      </c>
      <c r="J1186" s="7" t="s">
        <v>18</v>
      </c>
      <c r="K1186" s="7" t="s">
        <v>19</v>
      </c>
      <c r="L1186" s="7" t="s">
        <v>20</v>
      </c>
    </row>
    <row r="1187" customFormat="false" ht="22.35" hidden="false" customHeight="false" outlineLevel="0" collapsed="false">
      <c r="A1187" s="4" t="s">
        <v>1215</v>
      </c>
      <c r="B1187" s="4" t="s">
        <v>14</v>
      </c>
      <c r="C1187" s="4" t="s">
        <v>929</v>
      </c>
      <c r="D1187" s="4" t="s">
        <v>930</v>
      </c>
      <c r="E1187" s="4" t="s">
        <v>44</v>
      </c>
      <c r="F1187" s="5" t="n">
        <v>1.35</v>
      </c>
      <c r="G1187" s="6" t="n">
        <v>0</v>
      </c>
      <c r="H1187" s="6" t="n">
        <v>0</v>
      </c>
      <c r="I1187" s="6" t="n">
        <v>0</v>
      </c>
      <c r="J1187" s="4" t="s">
        <v>18</v>
      </c>
      <c r="K1187" s="4" t="s">
        <v>19</v>
      </c>
      <c r="L1187" s="4" t="s">
        <v>20</v>
      </c>
    </row>
    <row r="1188" customFormat="false" ht="22.35" hidden="false" customHeight="false" outlineLevel="0" collapsed="false">
      <c r="A1188" s="7" t="s">
        <v>1216</v>
      </c>
      <c r="B1188" s="7" t="s">
        <v>14</v>
      </c>
      <c r="C1188" s="7" t="s">
        <v>929</v>
      </c>
      <c r="D1188" s="7" t="s">
        <v>930</v>
      </c>
      <c r="E1188" s="7" t="s">
        <v>44</v>
      </c>
      <c r="F1188" s="8" t="n">
        <v>3.89</v>
      </c>
      <c r="G1188" s="9" t="n">
        <v>0</v>
      </c>
      <c r="H1188" s="9" t="n">
        <v>0</v>
      </c>
      <c r="I1188" s="9" t="n">
        <v>0</v>
      </c>
      <c r="J1188" s="7" t="s">
        <v>18</v>
      </c>
      <c r="K1188" s="7" t="s">
        <v>19</v>
      </c>
      <c r="L1188" s="7" t="s">
        <v>20</v>
      </c>
    </row>
    <row r="1189" customFormat="false" ht="22.35" hidden="false" customHeight="false" outlineLevel="0" collapsed="false">
      <c r="A1189" s="4" t="s">
        <v>1217</v>
      </c>
      <c r="B1189" s="4" t="s">
        <v>14</v>
      </c>
      <c r="C1189" s="4" t="s">
        <v>929</v>
      </c>
      <c r="D1189" s="4" t="s">
        <v>930</v>
      </c>
      <c r="E1189" s="4" t="s">
        <v>44</v>
      </c>
      <c r="F1189" s="5" t="n">
        <v>4.08</v>
      </c>
      <c r="G1189" s="6" t="n">
        <v>0</v>
      </c>
      <c r="H1189" s="6" t="n">
        <v>0</v>
      </c>
      <c r="I1189" s="6" t="n">
        <v>0</v>
      </c>
      <c r="J1189" s="4" t="s">
        <v>18</v>
      </c>
      <c r="K1189" s="4" t="s">
        <v>19</v>
      </c>
      <c r="L1189" s="4" t="s">
        <v>20</v>
      </c>
    </row>
    <row r="1190" customFormat="false" ht="22.35" hidden="false" customHeight="false" outlineLevel="0" collapsed="false">
      <c r="A1190" s="7" t="s">
        <v>1218</v>
      </c>
      <c r="B1190" s="7" t="s">
        <v>14</v>
      </c>
      <c r="C1190" s="7" t="s">
        <v>929</v>
      </c>
      <c r="D1190" s="7" t="s">
        <v>930</v>
      </c>
      <c r="E1190" s="7" t="s">
        <v>44</v>
      </c>
      <c r="F1190" s="8" t="n">
        <v>1.67</v>
      </c>
      <c r="G1190" s="9" t="n">
        <v>0</v>
      </c>
      <c r="H1190" s="9" t="n">
        <v>0</v>
      </c>
      <c r="I1190" s="9" t="n">
        <v>0</v>
      </c>
      <c r="J1190" s="7" t="s">
        <v>18</v>
      </c>
      <c r="K1190" s="7" t="s">
        <v>19</v>
      </c>
      <c r="L1190" s="7" t="s">
        <v>20</v>
      </c>
    </row>
    <row r="1191" customFormat="false" ht="22.35" hidden="false" customHeight="false" outlineLevel="0" collapsed="false">
      <c r="A1191" s="4" t="s">
        <v>1219</v>
      </c>
      <c r="B1191" s="4" t="s">
        <v>14</v>
      </c>
      <c r="C1191" s="4" t="s">
        <v>929</v>
      </c>
      <c r="D1191" s="4" t="s">
        <v>930</v>
      </c>
      <c r="E1191" s="4" t="s">
        <v>44</v>
      </c>
      <c r="F1191" s="5" t="n">
        <v>3.8</v>
      </c>
      <c r="G1191" s="6" t="n">
        <v>0</v>
      </c>
      <c r="H1191" s="6" t="n">
        <v>0</v>
      </c>
      <c r="I1191" s="6" t="n">
        <v>0</v>
      </c>
      <c r="J1191" s="4" t="s">
        <v>18</v>
      </c>
      <c r="K1191" s="4" t="s">
        <v>19</v>
      </c>
      <c r="L1191" s="4" t="s">
        <v>20</v>
      </c>
    </row>
    <row r="1192" customFormat="false" ht="22.35" hidden="false" customHeight="false" outlineLevel="0" collapsed="false">
      <c r="A1192" s="7" t="s">
        <v>1220</v>
      </c>
      <c r="B1192" s="7" t="s">
        <v>14</v>
      </c>
      <c r="C1192" s="7" t="s">
        <v>929</v>
      </c>
      <c r="D1192" s="7" t="s">
        <v>930</v>
      </c>
      <c r="E1192" s="7" t="s">
        <v>44</v>
      </c>
      <c r="F1192" s="8" t="n">
        <v>3.52</v>
      </c>
      <c r="G1192" s="9" t="n">
        <v>0</v>
      </c>
      <c r="H1192" s="9" t="n">
        <v>0</v>
      </c>
      <c r="I1192" s="9" t="n">
        <v>0</v>
      </c>
      <c r="J1192" s="7" t="s">
        <v>18</v>
      </c>
      <c r="K1192" s="7" t="s">
        <v>19</v>
      </c>
      <c r="L1192" s="7" t="s">
        <v>20</v>
      </c>
    </row>
    <row r="1193" customFormat="false" ht="22.35" hidden="false" customHeight="false" outlineLevel="0" collapsed="false">
      <c r="A1193" s="4" t="s">
        <v>1221</v>
      </c>
      <c r="B1193" s="4" t="s">
        <v>14</v>
      </c>
      <c r="C1193" s="4" t="s">
        <v>929</v>
      </c>
      <c r="D1193" s="4" t="s">
        <v>930</v>
      </c>
      <c r="E1193" s="4" t="s">
        <v>44</v>
      </c>
      <c r="F1193" s="5" t="n">
        <v>3.5</v>
      </c>
      <c r="G1193" s="6" t="n">
        <v>0</v>
      </c>
      <c r="H1193" s="6" t="n">
        <v>0</v>
      </c>
      <c r="I1193" s="6" t="n">
        <v>0</v>
      </c>
      <c r="J1193" s="4" t="s">
        <v>18</v>
      </c>
      <c r="K1193" s="4" t="s">
        <v>19</v>
      </c>
      <c r="L1193" s="4" t="s">
        <v>20</v>
      </c>
    </row>
    <row r="1194" customFormat="false" ht="22.35" hidden="false" customHeight="false" outlineLevel="0" collapsed="false">
      <c r="A1194" s="7" t="s">
        <v>1222</v>
      </c>
      <c r="B1194" s="7" t="s">
        <v>14</v>
      </c>
      <c r="C1194" s="7" t="s">
        <v>929</v>
      </c>
      <c r="D1194" s="7" t="s">
        <v>930</v>
      </c>
      <c r="E1194" s="7" t="s">
        <v>44</v>
      </c>
      <c r="F1194" s="8" t="n">
        <v>2.82</v>
      </c>
      <c r="G1194" s="9" t="n">
        <v>0</v>
      </c>
      <c r="H1194" s="9" t="n">
        <v>0</v>
      </c>
      <c r="I1194" s="9" t="n">
        <v>0</v>
      </c>
      <c r="J1194" s="7" t="s">
        <v>18</v>
      </c>
      <c r="K1194" s="7" t="s">
        <v>19</v>
      </c>
      <c r="L1194" s="7" t="s">
        <v>20</v>
      </c>
    </row>
    <row r="1195" customFormat="false" ht="22.35" hidden="false" customHeight="false" outlineLevel="0" collapsed="false">
      <c r="A1195" s="4" t="s">
        <v>1223</v>
      </c>
      <c r="B1195" s="4" t="s">
        <v>14</v>
      </c>
      <c r="C1195" s="4" t="s">
        <v>929</v>
      </c>
      <c r="D1195" s="4" t="s">
        <v>930</v>
      </c>
      <c r="E1195" s="4" t="s">
        <v>44</v>
      </c>
      <c r="F1195" s="5" t="n">
        <v>2.67</v>
      </c>
      <c r="G1195" s="6" t="n">
        <v>0</v>
      </c>
      <c r="H1195" s="6" t="n">
        <v>0</v>
      </c>
      <c r="I1195" s="6" t="n">
        <v>0</v>
      </c>
      <c r="J1195" s="4" t="s">
        <v>18</v>
      </c>
      <c r="K1195" s="4" t="s">
        <v>19</v>
      </c>
      <c r="L1195" s="4" t="s">
        <v>20</v>
      </c>
    </row>
    <row r="1196" customFormat="false" ht="22.35" hidden="false" customHeight="false" outlineLevel="0" collapsed="false">
      <c r="A1196" s="7" t="s">
        <v>1224</v>
      </c>
      <c r="B1196" s="7" t="s">
        <v>14</v>
      </c>
      <c r="C1196" s="7" t="s">
        <v>929</v>
      </c>
      <c r="D1196" s="7" t="s">
        <v>930</v>
      </c>
      <c r="E1196" s="7" t="s">
        <v>44</v>
      </c>
      <c r="F1196" s="8" t="n">
        <v>6.63</v>
      </c>
      <c r="G1196" s="9" t="n">
        <v>0</v>
      </c>
      <c r="H1196" s="9" t="n">
        <v>0</v>
      </c>
      <c r="I1196" s="9" t="n">
        <v>0</v>
      </c>
      <c r="J1196" s="7" t="s">
        <v>18</v>
      </c>
      <c r="K1196" s="7" t="s">
        <v>19</v>
      </c>
      <c r="L1196" s="7" t="s">
        <v>20</v>
      </c>
    </row>
    <row r="1197" customFormat="false" ht="22.35" hidden="false" customHeight="false" outlineLevel="0" collapsed="false">
      <c r="A1197" s="4" t="s">
        <v>1225</v>
      </c>
      <c r="B1197" s="4" t="s">
        <v>14</v>
      </c>
      <c r="C1197" s="4" t="s">
        <v>929</v>
      </c>
      <c r="D1197" s="4" t="s">
        <v>930</v>
      </c>
      <c r="E1197" s="4" t="s">
        <v>44</v>
      </c>
      <c r="F1197" s="5" t="n">
        <v>3.46</v>
      </c>
      <c r="G1197" s="6" t="n">
        <v>0</v>
      </c>
      <c r="H1197" s="6" t="n">
        <v>0</v>
      </c>
      <c r="I1197" s="6" t="n">
        <v>0</v>
      </c>
      <c r="J1197" s="4" t="s">
        <v>18</v>
      </c>
      <c r="K1197" s="4" t="s">
        <v>19</v>
      </c>
      <c r="L1197" s="4" t="s">
        <v>20</v>
      </c>
    </row>
    <row r="1198" customFormat="false" ht="22.35" hidden="false" customHeight="false" outlineLevel="0" collapsed="false">
      <c r="A1198" s="7" t="s">
        <v>1226</v>
      </c>
      <c r="B1198" s="7" t="s">
        <v>14</v>
      </c>
      <c r="C1198" s="7" t="s">
        <v>929</v>
      </c>
      <c r="D1198" s="7" t="s">
        <v>930</v>
      </c>
      <c r="E1198" s="7" t="s">
        <v>44</v>
      </c>
      <c r="F1198" s="8" t="n">
        <v>2.31</v>
      </c>
      <c r="G1198" s="9" t="n">
        <v>0</v>
      </c>
      <c r="H1198" s="9" t="n">
        <v>0</v>
      </c>
      <c r="I1198" s="9" t="n">
        <v>0</v>
      </c>
      <c r="J1198" s="7" t="s">
        <v>18</v>
      </c>
      <c r="K1198" s="7" t="s">
        <v>19</v>
      </c>
      <c r="L1198" s="7" t="s">
        <v>20</v>
      </c>
    </row>
    <row r="1199" customFormat="false" ht="22.35" hidden="false" customHeight="false" outlineLevel="0" collapsed="false">
      <c r="A1199" s="4" t="s">
        <v>1227</v>
      </c>
      <c r="B1199" s="4" t="s">
        <v>14</v>
      </c>
      <c r="C1199" s="4" t="s">
        <v>929</v>
      </c>
      <c r="D1199" s="4" t="s">
        <v>930</v>
      </c>
      <c r="E1199" s="4" t="s">
        <v>44</v>
      </c>
      <c r="F1199" s="5" t="n">
        <v>978.3</v>
      </c>
      <c r="G1199" s="6" t="n">
        <v>0</v>
      </c>
      <c r="H1199" s="6" t="n">
        <v>0</v>
      </c>
      <c r="I1199" s="6" t="n">
        <v>0</v>
      </c>
      <c r="J1199" s="4" t="s">
        <v>18</v>
      </c>
      <c r="K1199" s="4" t="s">
        <v>19</v>
      </c>
      <c r="L1199" s="4" t="s">
        <v>20</v>
      </c>
    </row>
    <row r="1200" customFormat="false" ht="22.35" hidden="false" customHeight="false" outlineLevel="0" collapsed="false">
      <c r="A1200" s="7" t="s">
        <v>1228</v>
      </c>
      <c r="B1200" s="7" t="s">
        <v>14</v>
      </c>
      <c r="C1200" s="7" t="s">
        <v>929</v>
      </c>
      <c r="D1200" s="7" t="s">
        <v>930</v>
      </c>
      <c r="E1200" s="7" t="s">
        <v>44</v>
      </c>
      <c r="F1200" s="8" t="n">
        <v>0.69</v>
      </c>
      <c r="G1200" s="9" t="n">
        <v>0</v>
      </c>
      <c r="H1200" s="9" t="n">
        <v>0</v>
      </c>
      <c r="I1200" s="9" t="n">
        <v>0</v>
      </c>
      <c r="J1200" s="7" t="s">
        <v>18</v>
      </c>
      <c r="K1200" s="7" t="s">
        <v>19</v>
      </c>
      <c r="L1200" s="7" t="s">
        <v>20</v>
      </c>
    </row>
    <row r="1201" customFormat="false" ht="22.35" hidden="false" customHeight="false" outlineLevel="0" collapsed="false">
      <c r="A1201" s="4" t="s">
        <v>1229</v>
      </c>
      <c r="B1201" s="4" t="s">
        <v>14</v>
      </c>
      <c r="C1201" s="4" t="s">
        <v>929</v>
      </c>
      <c r="D1201" s="4" t="s">
        <v>930</v>
      </c>
      <c r="E1201" s="4" t="s">
        <v>44</v>
      </c>
      <c r="F1201" s="5" t="n">
        <v>40</v>
      </c>
      <c r="G1201" s="6" t="n">
        <v>0</v>
      </c>
      <c r="H1201" s="6" t="n">
        <v>0</v>
      </c>
      <c r="I1201" s="6" t="n">
        <v>0</v>
      </c>
      <c r="J1201" s="4" t="s">
        <v>18</v>
      </c>
      <c r="K1201" s="4" t="s">
        <v>19</v>
      </c>
      <c r="L1201" s="4" t="s">
        <v>20</v>
      </c>
    </row>
    <row r="1202" customFormat="false" ht="22.35" hidden="false" customHeight="false" outlineLevel="0" collapsed="false">
      <c r="A1202" s="7" t="s">
        <v>1230</v>
      </c>
      <c r="B1202" s="7" t="s">
        <v>14</v>
      </c>
      <c r="C1202" s="7" t="s">
        <v>929</v>
      </c>
      <c r="D1202" s="7" t="s">
        <v>930</v>
      </c>
      <c r="E1202" s="7" t="s">
        <v>44</v>
      </c>
      <c r="F1202" s="8" t="n">
        <v>0.68</v>
      </c>
      <c r="G1202" s="9" t="n">
        <v>0</v>
      </c>
      <c r="H1202" s="9" t="n">
        <v>0</v>
      </c>
      <c r="I1202" s="9" t="n">
        <v>0</v>
      </c>
      <c r="J1202" s="7" t="s">
        <v>18</v>
      </c>
      <c r="K1202" s="7" t="s">
        <v>19</v>
      </c>
      <c r="L1202" s="7" t="s">
        <v>20</v>
      </c>
    </row>
    <row r="1203" customFormat="false" ht="22.35" hidden="false" customHeight="false" outlineLevel="0" collapsed="false">
      <c r="A1203" s="4" t="s">
        <v>1231</v>
      </c>
      <c r="B1203" s="4" t="s">
        <v>14</v>
      </c>
      <c r="C1203" s="4" t="s">
        <v>929</v>
      </c>
      <c r="D1203" s="4" t="s">
        <v>930</v>
      </c>
      <c r="E1203" s="4" t="s">
        <v>44</v>
      </c>
      <c r="F1203" s="5" t="n">
        <v>0.1</v>
      </c>
      <c r="G1203" s="6" t="n">
        <v>0</v>
      </c>
      <c r="H1203" s="6" t="n">
        <v>0</v>
      </c>
      <c r="I1203" s="6" t="n">
        <v>0</v>
      </c>
      <c r="J1203" s="4" t="s">
        <v>18</v>
      </c>
      <c r="K1203" s="4" t="s">
        <v>19</v>
      </c>
      <c r="L1203" s="4" t="s">
        <v>20</v>
      </c>
    </row>
    <row r="1204" customFormat="false" ht="22.35" hidden="false" customHeight="false" outlineLevel="0" collapsed="false">
      <c r="A1204" s="7" t="s">
        <v>1232</v>
      </c>
      <c r="B1204" s="7" t="s">
        <v>14</v>
      </c>
      <c r="C1204" s="7" t="s">
        <v>929</v>
      </c>
      <c r="D1204" s="7" t="s">
        <v>930</v>
      </c>
      <c r="E1204" s="7" t="s">
        <v>44</v>
      </c>
      <c r="F1204" s="8" t="n">
        <v>0.4</v>
      </c>
      <c r="G1204" s="9" t="n">
        <v>0</v>
      </c>
      <c r="H1204" s="9" t="n">
        <v>0</v>
      </c>
      <c r="I1204" s="9" t="n">
        <v>0</v>
      </c>
      <c r="J1204" s="7" t="s">
        <v>18</v>
      </c>
      <c r="K1204" s="7" t="s">
        <v>19</v>
      </c>
      <c r="L1204" s="7" t="s">
        <v>20</v>
      </c>
    </row>
    <row r="1205" customFormat="false" ht="22.35" hidden="false" customHeight="false" outlineLevel="0" collapsed="false">
      <c r="A1205" s="4" t="s">
        <v>1233</v>
      </c>
      <c r="B1205" s="4" t="s">
        <v>14</v>
      </c>
      <c r="C1205" s="4" t="s">
        <v>929</v>
      </c>
      <c r="D1205" s="4" t="s">
        <v>930</v>
      </c>
      <c r="E1205" s="4" t="s">
        <v>44</v>
      </c>
      <c r="F1205" s="5" t="n">
        <v>0.01</v>
      </c>
      <c r="G1205" s="6" t="n">
        <v>0</v>
      </c>
      <c r="H1205" s="6" t="n">
        <v>0</v>
      </c>
      <c r="I1205" s="6" t="n">
        <v>0</v>
      </c>
      <c r="J1205" s="4" t="s">
        <v>18</v>
      </c>
      <c r="K1205" s="4" t="s">
        <v>19</v>
      </c>
      <c r="L1205" s="4" t="s">
        <v>20</v>
      </c>
    </row>
    <row r="1206" customFormat="false" ht="22.35" hidden="false" customHeight="false" outlineLevel="0" collapsed="false">
      <c r="A1206" s="7" t="s">
        <v>1234</v>
      </c>
      <c r="B1206" s="7" t="s">
        <v>14</v>
      </c>
      <c r="C1206" s="7" t="s">
        <v>929</v>
      </c>
      <c r="D1206" s="7" t="s">
        <v>930</v>
      </c>
      <c r="E1206" s="7" t="s">
        <v>44</v>
      </c>
      <c r="F1206" s="8" t="n">
        <v>1.21</v>
      </c>
      <c r="G1206" s="9" t="n">
        <v>0</v>
      </c>
      <c r="H1206" s="9" t="n">
        <v>0</v>
      </c>
      <c r="I1206" s="9" t="n">
        <v>0</v>
      </c>
      <c r="J1206" s="7" t="s">
        <v>18</v>
      </c>
      <c r="K1206" s="7" t="s">
        <v>19</v>
      </c>
      <c r="L1206" s="7" t="s">
        <v>20</v>
      </c>
    </row>
    <row r="1207" customFormat="false" ht="22.35" hidden="false" customHeight="false" outlineLevel="0" collapsed="false">
      <c r="A1207" s="4" t="s">
        <v>1235</v>
      </c>
      <c r="B1207" s="4" t="s">
        <v>14</v>
      </c>
      <c r="C1207" s="4" t="s">
        <v>929</v>
      </c>
      <c r="D1207" s="4" t="s">
        <v>930</v>
      </c>
      <c r="E1207" s="4" t="s">
        <v>44</v>
      </c>
      <c r="F1207" s="5" t="n">
        <v>1.77</v>
      </c>
      <c r="G1207" s="6" t="n">
        <v>0</v>
      </c>
      <c r="H1207" s="6" t="n">
        <v>0</v>
      </c>
      <c r="I1207" s="6" t="n">
        <v>0</v>
      </c>
      <c r="J1207" s="4" t="s">
        <v>18</v>
      </c>
      <c r="K1207" s="4" t="s">
        <v>19</v>
      </c>
      <c r="L1207" s="4" t="s">
        <v>20</v>
      </c>
    </row>
    <row r="1208" customFormat="false" ht="22.35" hidden="false" customHeight="false" outlineLevel="0" collapsed="false">
      <c r="A1208" s="7" t="s">
        <v>1236</v>
      </c>
      <c r="B1208" s="7" t="s">
        <v>14</v>
      </c>
      <c r="C1208" s="7" t="s">
        <v>929</v>
      </c>
      <c r="D1208" s="7" t="s">
        <v>930</v>
      </c>
      <c r="E1208" s="7" t="s">
        <v>44</v>
      </c>
      <c r="F1208" s="8" t="n">
        <v>8.1</v>
      </c>
      <c r="G1208" s="9" t="n">
        <v>0</v>
      </c>
      <c r="H1208" s="9" t="n">
        <v>0</v>
      </c>
      <c r="I1208" s="9" t="n">
        <v>0</v>
      </c>
      <c r="J1208" s="7" t="s">
        <v>18</v>
      </c>
      <c r="K1208" s="7" t="s">
        <v>19</v>
      </c>
      <c r="L1208" s="7" t="s">
        <v>20</v>
      </c>
    </row>
    <row r="1209" customFormat="false" ht="22.35" hidden="false" customHeight="false" outlineLevel="0" collapsed="false">
      <c r="A1209" s="4" t="s">
        <v>1237</v>
      </c>
      <c r="B1209" s="4" t="s">
        <v>14</v>
      </c>
      <c r="C1209" s="4" t="s">
        <v>929</v>
      </c>
      <c r="D1209" s="4" t="s">
        <v>930</v>
      </c>
      <c r="E1209" s="4" t="s">
        <v>44</v>
      </c>
      <c r="F1209" s="5" t="n">
        <v>44.06</v>
      </c>
      <c r="G1209" s="6" t="n">
        <v>0</v>
      </c>
      <c r="H1209" s="6" t="n">
        <v>0</v>
      </c>
      <c r="I1209" s="6" t="n">
        <v>0</v>
      </c>
      <c r="J1209" s="4" t="s">
        <v>18</v>
      </c>
      <c r="K1209" s="4" t="s">
        <v>19</v>
      </c>
      <c r="L1209" s="4" t="s">
        <v>20</v>
      </c>
    </row>
    <row r="1210" customFormat="false" ht="22.35" hidden="false" customHeight="false" outlineLevel="0" collapsed="false">
      <c r="A1210" s="7" t="s">
        <v>1238</v>
      </c>
      <c r="B1210" s="7" t="s">
        <v>14</v>
      </c>
      <c r="C1210" s="7" t="s">
        <v>929</v>
      </c>
      <c r="D1210" s="7" t="s">
        <v>930</v>
      </c>
      <c r="E1210" s="7" t="s">
        <v>44</v>
      </c>
      <c r="F1210" s="8" t="n">
        <v>18.4</v>
      </c>
      <c r="G1210" s="9" t="n">
        <v>0</v>
      </c>
      <c r="H1210" s="9" t="n">
        <v>0</v>
      </c>
      <c r="I1210" s="9" t="n">
        <v>0</v>
      </c>
      <c r="J1210" s="7" t="s">
        <v>18</v>
      </c>
      <c r="K1210" s="7" t="s">
        <v>19</v>
      </c>
      <c r="L1210" s="7" t="s">
        <v>20</v>
      </c>
    </row>
    <row r="1211" customFormat="false" ht="22.35" hidden="false" customHeight="false" outlineLevel="0" collapsed="false">
      <c r="A1211" s="4" t="s">
        <v>1239</v>
      </c>
      <c r="B1211" s="4" t="s">
        <v>14</v>
      </c>
      <c r="C1211" s="4" t="s">
        <v>929</v>
      </c>
      <c r="D1211" s="4" t="s">
        <v>930</v>
      </c>
      <c r="E1211" s="4" t="s">
        <v>44</v>
      </c>
      <c r="F1211" s="5" t="n">
        <v>10.14</v>
      </c>
      <c r="G1211" s="6" t="n">
        <v>0</v>
      </c>
      <c r="H1211" s="6" t="n">
        <v>0</v>
      </c>
      <c r="I1211" s="6" t="n">
        <v>0</v>
      </c>
      <c r="J1211" s="4" t="s">
        <v>18</v>
      </c>
      <c r="K1211" s="4" t="s">
        <v>19</v>
      </c>
      <c r="L1211" s="4" t="s">
        <v>20</v>
      </c>
    </row>
    <row r="1212" customFormat="false" ht="22.35" hidden="false" customHeight="false" outlineLevel="0" collapsed="false">
      <c r="A1212" s="7" t="s">
        <v>1240</v>
      </c>
      <c r="B1212" s="7" t="s">
        <v>14</v>
      </c>
      <c r="C1212" s="7" t="s">
        <v>929</v>
      </c>
      <c r="D1212" s="7" t="s">
        <v>930</v>
      </c>
      <c r="E1212" s="7" t="s">
        <v>44</v>
      </c>
      <c r="F1212" s="8" t="n">
        <v>38.5</v>
      </c>
      <c r="G1212" s="9" t="n">
        <v>0</v>
      </c>
      <c r="H1212" s="9" t="n">
        <v>0</v>
      </c>
      <c r="I1212" s="9" t="n">
        <v>0</v>
      </c>
      <c r="J1212" s="7" t="s">
        <v>18</v>
      </c>
      <c r="K1212" s="7" t="s">
        <v>19</v>
      </c>
      <c r="L1212" s="7" t="s">
        <v>20</v>
      </c>
    </row>
    <row r="1213" customFormat="false" ht="22.35" hidden="false" customHeight="false" outlineLevel="0" collapsed="false">
      <c r="A1213" s="4" t="s">
        <v>1241</v>
      </c>
      <c r="B1213" s="4" t="s">
        <v>14</v>
      </c>
      <c r="C1213" s="4" t="s">
        <v>929</v>
      </c>
      <c r="D1213" s="4" t="s">
        <v>930</v>
      </c>
      <c r="E1213" s="4" t="s">
        <v>44</v>
      </c>
      <c r="F1213" s="5" t="n">
        <v>47.3682</v>
      </c>
      <c r="G1213" s="6" t="n">
        <v>0</v>
      </c>
      <c r="H1213" s="6" t="n">
        <v>0</v>
      </c>
      <c r="I1213" s="6" t="n">
        <v>0</v>
      </c>
      <c r="J1213" s="4" t="s">
        <v>18</v>
      </c>
      <c r="K1213" s="4" t="s">
        <v>19</v>
      </c>
      <c r="L1213" s="4" t="s">
        <v>20</v>
      </c>
    </row>
    <row r="1214" customFormat="false" ht="22.35" hidden="false" customHeight="false" outlineLevel="0" collapsed="false">
      <c r="A1214" s="7" t="s">
        <v>1242</v>
      </c>
      <c r="B1214" s="7" t="s">
        <v>14</v>
      </c>
      <c r="C1214" s="7" t="s">
        <v>929</v>
      </c>
      <c r="D1214" s="7" t="s">
        <v>930</v>
      </c>
      <c r="E1214" s="7" t="s">
        <v>44</v>
      </c>
      <c r="F1214" s="8" t="n">
        <v>13.52</v>
      </c>
      <c r="G1214" s="9" t="n">
        <v>0</v>
      </c>
      <c r="H1214" s="9" t="n">
        <v>0</v>
      </c>
      <c r="I1214" s="9" t="n">
        <v>0</v>
      </c>
      <c r="J1214" s="7" t="s">
        <v>18</v>
      </c>
      <c r="K1214" s="7" t="s">
        <v>19</v>
      </c>
      <c r="L1214" s="7" t="s">
        <v>20</v>
      </c>
    </row>
    <row r="1215" customFormat="false" ht="22.35" hidden="false" customHeight="false" outlineLevel="0" collapsed="false">
      <c r="A1215" s="4" t="s">
        <v>1243</v>
      </c>
      <c r="B1215" s="4" t="s">
        <v>14</v>
      </c>
      <c r="C1215" s="4" t="s">
        <v>929</v>
      </c>
      <c r="D1215" s="4" t="s">
        <v>930</v>
      </c>
      <c r="E1215" s="4" t="s">
        <v>44</v>
      </c>
      <c r="F1215" s="5" t="n">
        <v>80.02</v>
      </c>
      <c r="G1215" s="6" t="n">
        <v>0</v>
      </c>
      <c r="H1215" s="6" t="n">
        <v>0</v>
      </c>
      <c r="I1215" s="6" t="n">
        <v>0</v>
      </c>
      <c r="J1215" s="4" t="s">
        <v>18</v>
      </c>
      <c r="K1215" s="4" t="s">
        <v>19</v>
      </c>
      <c r="L1215" s="4" t="s">
        <v>20</v>
      </c>
    </row>
    <row r="1216" customFormat="false" ht="22.35" hidden="false" customHeight="false" outlineLevel="0" collapsed="false">
      <c r="A1216" s="7" t="s">
        <v>1244</v>
      </c>
      <c r="B1216" s="7" t="s">
        <v>14</v>
      </c>
      <c r="C1216" s="7" t="s">
        <v>929</v>
      </c>
      <c r="D1216" s="7" t="s">
        <v>930</v>
      </c>
      <c r="E1216" s="7" t="s">
        <v>44</v>
      </c>
      <c r="F1216" s="8" t="n">
        <v>70.29</v>
      </c>
      <c r="G1216" s="9" t="n">
        <v>0</v>
      </c>
      <c r="H1216" s="9" t="n">
        <v>0</v>
      </c>
      <c r="I1216" s="9" t="n">
        <v>0</v>
      </c>
      <c r="J1216" s="7" t="s">
        <v>18</v>
      </c>
      <c r="K1216" s="7" t="s">
        <v>19</v>
      </c>
      <c r="L1216" s="7" t="s">
        <v>20</v>
      </c>
    </row>
    <row r="1217" customFormat="false" ht="22.35" hidden="false" customHeight="false" outlineLevel="0" collapsed="false">
      <c r="A1217" s="4" t="s">
        <v>1245</v>
      </c>
      <c r="B1217" s="4" t="s">
        <v>14</v>
      </c>
      <c r="C1217" s="4" t="s">
        <v>929</v>
      </c>
      <c r="D1217" s="4" t="s">
        <v>930</v>
      </c>
      <c r="E1217" s="4" t="s">
        <v>44</v>
      </c>
      <c r="F1217" s="5" t="n">
        <v>42.5</v>
      </c>
      <c r="G1217" s="6" t="n">
        <v>0</v>
      </c>
      <c r="H1217" s="6" t="n">
        <v>0</v>
      </c>
      <c r="I1217" s="6" t="n">
        <v>0</v>
      </c>
      <c r="J1217" s="4" t="s">
        <v>18</v>
      </c>
      <c r="K1217" s="4" t="s">
        <v>19</v>
      </c>
      <c r="L1217" s="4" t="s">
        <v>20</v>
      </c>
    </row>
    <row r="1218" customFormat="false" ht="22.35" hidden="false" customHeight="false" outlineLevel="0" collapsed="false">
      <c r="A1218" s="7" t="s">
        <v>1246</v>
      </c>
      <c r="B1218" s="7" t="s">
        <v>14</v>
      </c>
      <c r="C1218" s="7" t="s">
        <v>929</v>
      </c>
      <c r="D1218" s="7" t="s">
        <v>930</v>
      </c>
      <c r="E1218" s="7" t="s">
        <v>44</v>
      </c>
      <c r="F1218" s="8" t="n">
        <v>54.76</v>
      </c>
      <c r="G1218" s="9" t="n">
        <v>0</v>
      </c>
      <c r="H1218" s="9" t="n">
        <v>0</v>
      </c>
      <c r="I1218" s="9" t="n">
        <v>0</v>
      </c>
      <c r="J1218" s="7" t="s">
        <v>18</v>
      </c>
      <c r="K1218" s="7" t="s">
        <v>19</v>
      </c>
      <c r="L1218" s="7" t="s">
        <v>20</v>
      </c>
    </row>
    <row r="1219" customFormat="false" ht="22.35" hidden="false" customHeight="false" outlineLevel="0" collapsed="false">
      <c r="A1219" s="4" t="s">
        <v>1247</v>
      </c>
      <c r="B1219" s="4" t="s">
        <v>14</v>
      </c>
      <c r="C1219" s="4" t="s">
        <v>929</v>
      </c>
      <c r="D1219" s="4" t="s">
        <v>930</v>
      </c>
      <c r="E1219" s="4" t="s">
        <v>44</v>
      </c>
      <c r="F1219" s="5" t="n">
        <v>66.05</v>
      </c>
      <c r="G1219" s="6" t="n">
        <v>0</v>
      </c>
      <c r="H1219" s="6" t="n">
        <v>0</v>
      </c>
      <c r="I1219" s="6" t="n">
        <v>0</v>
      </c>
      <c r="J1219" s="4" t="s">
        <v>18</v>
      </c>
      <c r="K1219" s="4" t="s">
        <v>19</v>
      </c>
      <c r="L1219" s="4" t="s">
        <v>20</v>
      </c>
    </row>
    <row r="1220" customFormat="false" ht="22.35" hidden="false" customHeight="false" outlineLevel="0" collapsed="false">
      <c r="A1220" s="7" t="s">
        <v>1248</v>
      </c>
      <c r="B1220" s="7" t="s">
        <v>14</v>
      </c>
      <c r="C1220" s="7" t="s">
        <v>929</v>
      </c>
      <c r="D1220" s="7" t="s">
        <v>930</v>
      </c>
      <c r="E1220" s="7" t="s">
        <v>44</v>
      </c>
      <c r="F1220" s="8" t="n">
        <v>0</v>
      </c>
      <c r="G1220" s="9" t="n">
        <v>0</v>
      </c>
      <c r="H1220" s="9" t="n">
        <v>0</v>
      </c>
      <c r="I1220" s="9" t="n">
        <v>0</v>
      </c>
      <c r="J1220" s="7" t="s">
        <v>18</v>
      </c>
      <c r="K1220" s="7" t="s">
        <v>19</v>
      </c>
      <c r="L1220" s="7" t="s">
        <v>20</v>
      </c>
    </row>
    <row r="1221" customFormat="false" ht="22.35" hidden="false" customHeight="false" outlineLevel="0" collapsed="false">
      <c r="A1221" s="4" t="s">
        <v>1249</v>
      </c>
      <c r="B1221" s="4" t="s">
        <v>14</v>
      </c>
      <c r="C1221" s="4" t="s">
        <v>929</v>
      </c>
      <c r="D1221" s="4" t="s">
        <v>930</v>
      </c>
      <c r="E1221" s="4" t="s">
        <v>44</v>
      </c>
      <c r="F1221" s="5" t="n">
        <v>55.3</v>
      </c>
      <c r="G1221" s="6" t="n">
        <v>0</v>
      </c>
      <c r="H1221" s="6" t="n">
        <v>0</v>
      </c>
      <c r="I1221" s="6" t="n">
        <v>0</v>
      </c>
      <c r="J1221" s="4" t="s">
        <v>18</v>
      </c>
      <c r="K1221" s="4" t="s">
        <v>19</v>
      </c>
      <c r="L1221" s="4" t="s">
        <v>20</v>
      </c>
    </row>
    <row r="1222" customFormat="false" ht="22.35" hidden="false" customHeight="false" outlineLevel="0" collapsed="false">
      <c r="A1222" s="7" t="s">
        <v>1250</v>
      </c>
      <c r="B1222" s="7" t="s">
        <v>14</v>
      </c>
      <c r="C1222" s="7" t="s">
        <v>929</v>
      </c>
      <c r="D1222" s="7" t="s">
        <v>930</v>
      </c>
      <c r="E1222" s="7" t="s">
        <v>44</v>
      </c>
      <c r="F1222" s="8" t="n">
        <v>93.38</v>
      </c>
      <c r="G1222" s="9" t="n">
        <v>0</v>
      </c>
      <c r="H1222" s="9" t="n">
        <v>0</v>
      </c>
      <c r="I1222" s="9" t="n">
        <v>0</v>
      </c>
      <c r="J1222" s="7" t="s">
        <v>18</v>
      </c>
      <c r="K1222" s="7" t="s">
        <v>19</v>
      </c>
      <c r="L1222" s="7" t="s">
        <v>20</v>
      </c>
    </row>
    <row r="1223" customFormat="false" ht="22.35" hidden="false" customHeight="false" outlineLevel="0" collapsed="false">
      <c r="A1223" s="4" t="s">
        <v>1251</v>
      </c>
      <c r="B1223" s="4" t="s">
        <v>14</v>
      </c>
      <c r="C1223" s="4" t="s">
        <v>929</v>
      </c>
      <c r="D1223" s="4" t="s">
        <v>930</v>
      </c>
      <c r="E1223" s="4" t="s">
        <v>44</v>
      </c>
      <c r="F1223" s="5" t="n">
        <v>1.77</v>
      </c>
      <c r="G1223" s="6" t="n">
        <v>0</v>
      </c>
      <c r="H1223" s="6" t="n">
        <v>0</v>
      </c>
      <c r="I1223" s="6" t="n">
        <v>0</v>
      </c>
      <c r="J1223" s="4" t="s">
        <v>18</v>
      </c>
      <c r="K1223" s="4" t="s">
        <v>19</v>
      </c>
      <c r="L1223" s="4" t="s">
        <v>20</v>
      </c>
    </row>
    <row r="1224" customFormat="false" ht="22.35" hidden="false" customHeight="false" outlineLevel="0" collapsed="false">
      <c r="A1224" s="7" t="s">
        <v>1252</v>
      </c>
      <c r="B1224" s="7" t="s">
        <v>14</v>
      </c>
      <c r="C1224" s="7" t="s">
        <v>929</v>
      </c>
      <c r="D1224" s="7" t="s">
        <v>930</v>
      </c>
      <c r="E1224" s="7" t="s">
        <v>44</v>
      </c>
      <c r="F1224" s="8" t="n">
        <v>0.38</v>
      </c>
      <c r="G1224" s="9" t="n">
        <v>0</v>
      </c>
      <c r="H1224" s="9" t="n">
        <v>0</v>
      </c>
      <c r="I1224" s="9" t="n">
        <v>0</v>
      </c>
      <c r="J1224" s="7" t="s">
        <v>18</v>
      </c>
      <c r="K1224" s="7" t="s">
        <v>19</v>
      </c>
      <c r="L1224" s="7" t="s">
        <v>20</v>
      </c>
    </row>
    <row r="1225" customFormat="false" ht="22.35" hidden="false" customHeight="false" outlineLevel="0" collapsed="false">
      <c r="A1225" s="4" t="s">
        <v>1253</v>
      </c>
      <c r="B1225" s="4" t="s">
        <v>14</v>
      </c>
      <c r="C1225" s="4" t="s">
        <v>929</v>
      </c>
      <c r="D1225" s="4" t="s">
        <v>930</v>
      </c>
      <c r="E1225" s="4" t="s">
        <v>44</v>
      </c>
      <c r="F1225" s="5" t="n">
        <v>0.08</v>
      </c>
      <c r="G1225" s="6" t="n">
        <v>0</v>
      </c>
      <c r="H1225" s="6" t="n">
        <v>0</v>
      </c>
      <c r="I1225" s="6" t="n">
        <v>0</v>
      </c>
      <c r="J1225" s="4" t="s">
        <v>18</v>
      </c>
      <c r="K1225" s="4" t="s">
        <v>19</v>
      </c>
      <c r="L1225" s="4" t="s">
        <v>20</v>
      </c>
    </row>
    <row r="1226" customFormat="false" ht="22.35" hidden="false" customHeight="false" outlineLevel="0" collapsed="false">
      <c r="A1226" s="7" t="s">
        <v>1254</v>
      </c>
      <c r="B1226" s="7" t="s">
        <v>14</v>
      </c>
      <c r="C1226" s="7" t="s">
        <v>929</v>
      </c>
      <c r="D1226" s="7" t="s">
        <v>930</v>
      </c>
      <c r="E1226" s="7" t="s">
        <v>44</v>
      </c>
      <c r="F1226" s="8" t="n">
        <v>0.22</v>
      </c>
      <c r="G1226" s="9" t="n">
        <v>0</v>
      </c>
      <c r="H1226" s="9" t="n">
        <v>0</v>
      </c>
      <c r="I1226" s="9" t="n">
        <v>0</v>
      </c>
      <c r="J1226" s="7" t="s">
        <v>18</v>
      </c>
      <c r="K1226" s="7" t="s">
        <v>19</v>
      </c>
      <c r="L1226" s="7" t="s">
        <v>20</v>
      </c>
    </row>
    <row r="1227" customFormat="false" ht="22.35" hidden="false" customHeight="false" outlineLevel="0" collapsed="false">
      <c r="A1227" s="4" t="s">
        <v>1255</v>
      </c>
      <c r="B1227" s="4" t="s">
        <v>14</v>
      </c>
      <c r="C1227" s="4" t="s">
        <v>929</v>
      </c>
      <c r="D1227" s="4" t="s">
        <v>930</v>
      </c>
      <c r="E1227" s="4" t="s">
        <v>44</v>
      </c>
      <c r="F1227" s="5" t="n">
        <v>0.4</v>
      </c>
      <c r="G1227" s="6" t="n">
        <v>0</v>
      </c>
      <c r="H1227" s="6" t="n">
        <v>0</v>
      </c>
      <c r="I1227" s="6" t="n">
        <v>0</v>
      </c>
      <c r="J1227" s="4" t="s">
        <v>18</v>
      </c>
      <c r="K1227" s="4" t="s">
        <v>19</v>
      </c>
      <c r="L1227" s="4" t="s">
        <v>20</v>
      </c>
    </row>
    <row r="1228" customFormat="false" ht="22.35" hidden="false" customHeight="false" outlineLevel="0" collapsed="false">
      <c r="A1228" s="7" t="s">
        <v>1256</v>
      </c>
      <c r="B1228" s="7" t="s">
        <v>14</v>
      </c>
      <c r="C1228" s="7" t="s">
        <v>929</v>
      </c>
      <c r="D1228" s="7" t="s">
        <v>930</v>
      </c>
      <c r="E1228" s="7" t="s">
        <v>44</v>
      </c>
      <c r="F1228" s="8" t="n">
        <v>0.4</v>
      </c>
      <c r="G1228" s="9" t="n">
        <v>0</v>
      </c>
      <c r="H1228" s="9" t="n">
        <v>0</v>
      </c>
      <c r="I1228" s="9" t="n">
        <v>0</v>
      </c>
      <c r="J1228" s="7" t="s">
        <v>18</v>
      </c>
      <c r="K1228" s="7" t="s">
        <v>19</v>
      </c>
      <c r="L1228" s="7" t="s">
        <v>20</v>
      </c>
    </row>
    <row r="1229" customFormat="false" ht="22.35" hidden="false" customHeight="false" outlineLevel="0" collapsed="false">
      <c r="A1229" s="4" t="s">
        <v>1257</v>
      </c>
      <c r="B1229" s="4" t="s">
        <v>14</v>
      </c>
      <c r="C1229" s="4" t="s">
        <v>929</v>
      </c>
      <c r="D1229" s="4" t="s">
        <v>930</v>
      </c>
      <c r="E1229" s="4" t="s">
        <v>44</v>
      </c>
      <c r="F1229" s="5" t="n">
        <v>0.43</v>
      </c>
      <c r="G1229" s="6" t="n">
        <v>0</v>
      </c>
      <c r="H1229" s="6" t="n">
        <v>0</v>
      </c>
      <c r="I1229" s="6" t="n">
        <v>0</v>
      </c>
      <c r="J1229" s="4" t="s">
        <v>18</v>
      </c>
      <c r="K1229" s="4" t="s">
        <v>19</v>
      </c>
      <c r="L1229" s="4" t="s">
        <v>20</v>
      </c>
    </row>
    <row r="1230" customFormat="false" ht="22.35" hidden="false" customHeight="false" outlineLevel="0" collapsed="false">
      <c r="A1230" s="7" t="s">
        <v>1258</v>
      </c>
      <c r="B1230" s="7" t="s">
        <v>14</v>
      </c>
      <c r="C1230" s="7" t="s">
        <v>929</v>
      </c>
      <c r="D1230" s="7" t="s">
        <v>930</v>
      </c>
      <c r="E1230" s="7" t="s">
        <v>44</v>
      </c>
      <c r="F1230" s="8" t="n">
        <v>0.35</v>
      </c>
      <c r="G1230" s="9" t="n">
        <v>0</v>
      </c>
      <c r="H1230" s="9" t="n">
        <v>0</v>
      </c>
      <c r="I1230" s="9" t="n">
        <v>0</v>
      </c>
      <c r="J1230" s="7" t="s">
        <v>18</v>
      </c>
      <c r="K1230" s="7" t="s">
        <v>19</v>
      </c>
      <c r="L1230" s="7" t="s">
        <v>20</v>
      </c>
    </row>
    <row r="1231" customFormat="false" ht="22.35" hidden="false" customHeight="false" outlineLevel="0" collapsed="false">
      <c r="A1231" s="4" t="s">
        <v>1259</v>
      </c>
      <c r="B1231" s="4" t="s">
        <v>14</v>
      </c>
      <c r="C1231" s="4" t="s">
        <v>929</v>
      </c>
      <c r="D1231" s="4" t="s">
        <v>930</v>
      </c>
      <c r="E1231" s="4" t="s">
        <v>44</v>
      </c>
      <c r="F1231" s="5" t="n">
        <v>0.5</v>
      </c>
      <c r="G1231" s="6" t="n">
        <v>0</v>
      </c>
      <c r="H1231" s="6" t="n">
        <v>0</v>
      </c>
      <c r="I1231" s="6" t="n">
        <v>0</v>
      </c>
      <c r="J1231" s="4" t="s">
        <v>18</v>
      </c>
      <c r="K1231" s="4" t="s">
        <v>19</v>
      </c>
      <c r="L1231" s="4" t="s">
        <v>20</v>
      </c>
    </row>
    <row r="1232" customFormat="false" ht="22.35" hidden="false" customHeight="false" outlineLevel="0" collapsed="false">
      <c r="A1232" s="7" t="s">
        <v>1260</v>
      </c>
      <c r="B1232" s="7" t="s">
        <v>14</v>
      </c>
      <c r="C1232" s="7" t="s">
        <v>929</v>
      </c>
      <c r="D1232" s="7" t="s">
        <v>930</v>
      </c>
      <c r="E1232" s="7" t="s">
        <v>44</v>
      </c>
      <c r="F1232" s="8" t="n">
        <v>0.4</v>
      </c>
      <c r="G1232" s="9" t="n">
        <v>0</v>
      </c>
      <c r="H1232" s="9" t="n">
        <v>0</v>
      </c>
      <c r="I1232" s="9" t="n">
        <v>0</v>
      </c>
      <c r="J1232" s="7" t="s">
        <v>18</v>
      </c>
      <c r="K1232" s="7" t="s">
        <v>19</v>
      </c>
      <c r="L1232" s="7" t="s">
        <v>20</v>
      </c>
    </row>
    <row r="1233" customFormat="false" ht="22.35" hidden="false" customHeight="false" outlineLevel="0" collapsed="false">
      <c r="A1233" s="4" t="s">
        <v>1261</v>
      </c>
      <c r="B1233" s="4" t="s">
        <v>14</v>
      </c>
      <c r="C1233" s="4" t="s">
        <v>929</v>
      </c>
      <c r="D1233" s="4" t="s">
        <v>930</v>
      </c>
      <c r="E1233" s="4" t="s">
        <v>44</v>
      </c>
      <c r="F1233" s="5" t="n">
        <v>0.99</v>
      </c>
      <c r="G1233" s="6" t="n">
        <v>0</v>
      </c>
      <c r="H1233" s="6" t="n">
        <v>0</v>
      </c>
      <c r="I1233" s="6" t="n">
        <v>0</v>
      </c>
      <c r="J1233" s="4" t="s">
        <v>18</v>
      </c>
      <c r="K1233" s="4" t="s">
        <v>19</v>
      </c>
      <c r="L1233" s="4" t="s">
        <v>20</v>
      </c>
    </row>
    <row r="1234" customFormat="false" ht="22.35" hidden="false" customHeight="false" outlineLevel="0" collapsed="false">
      <c r="A1234" s="7" t="s">
        <v>1262</v>
      </c>
      <c r="B1234" s="7" t="s">
        <v>14</v>
      </c>
      <c r="C1234" s="7" t="s">
        <v>929</v>
      </c>
      <c r="D1234" s="7" t="s">
        <v>930</v>
      </c>
      <c r="E1234" s="7" t="s">
        <v>44</v>
      </c>
      <c r="F1234" s="8" t="n">
        <v>0.58</v>
      </c>
      <c r="G1234" s="9" t="n">
        <v>0</v>
      </c>
      <c r="H1234" s="9" t="n">
        <v>0</v>
      </c>
      <c r="I1234" s="9" t="n">
        <v>0</v>
      </c>
      <c r="J1234" s="7" t="s">
        <v>18</v>
      </c>
      <c r="K1234" s="7" t="s">
        <v>19</v>
      </c>
      <c r="L1234" s="7" t="s">
        <v>20</v>
      </c>
    </row>
    <row r="1235" customFormat="false" ht="22.35" hidden="false" customHeight="false" outlineLevel="0" collapsed="false">
      <c r="A1235" s="4" t="s">
        <v>1263</v>
      </c>
      <c r="B1235" s="4" t="s">
        <v>14</v>
      </c>
      <c r="C1235" s="4" t="s">
        <v>929</v>
      </c>
      <c r="D1235" s="4" t="s">
        <v>930</v>
      </c>
      <c r="E1235" s="4" t="s">
        <v>44</v>
      </c>
      <c r="F1235" s="5" t="n">
        <v>0.85</v>
      </c>
      <c r="G1235" s="6" t="n">
        <v>0</v>
      </c>
      <c r="H1235" s="6" t="n">
        <v>0</v>
      </c>
      <c r="I1235" s="6" t="n">
        <v>0</v>
      </c>
      <c r="J1235" s="4" t="s">
        <v>18</v>
      </c>
      <c r="K1235" s="4" t="s">
        <v>19</v>
      </c>
      <c r="L1235" s="4" t="s">
        <v>20</v>
      </c>
    </row>
    <row r="1236" customFormat="false" ht="22.35" hidden="false" customHeight="false" outlineLevel="0" collapsed="false">
      <c r="A1236" s="7" t="s">
        <v>1264</v>
      </c>
      <c r="B1236" s="7" t="s">
        <v>14</v>
      </c>
      <c r="C1236" s="7" t="s">
        <v>929</v>
      </c>
      <c r="D1236" s="7" t="s">
        <v>930</v>
      </c>
      <c r="E1236" s="7" t="s">
        <v>44</v>
      </c>
      <c r="F1236" s="8" t="n">
        <v>1.07</v>
      </c>
      <c r="G1236" s="9" t="n">
        <v>0</v>
      </c>
      <c r="H1236" s="9" t="n">
        <v>0</v>
      </c>
      <c r="I1236" s="9" t="n">
        <v>0</v>
      </c>
      <c r="J1236" s="7" t="s">
        <v>18</v>
      </c>
      <c r="K1236" s="7" t="s">
        <v>19</v>
      </c>
      <c r="L1236" s="7" t="s">
        <v>20</v>
      </c>
    </row>
    <row r="1237" customFormat="false" ht="22.35" hidden="false" customHeight="false" outlineLevel="0" collapsed="false">
      <c r="A1237" s="4" t="s">
        <v>1265</v>
      </c>
      <c r="B1237" s="4" t="s">
        <v>14</v>
      </c>
      <c r="C1237" s="4" t="s">
        <v>929</v>
      </c>
      <c r="D1237" s="4" t="s">
        <v>930</v>
      </c>
      <c r="E1237" s="4" t="s">
        <v>44</v>
      </c>
      <c r="F1237" s="5" t="n">
        <v>0.5</v>
      </c>
      <c r="G1237" s="6" t="n">
        <v>0</v>
      </c>
      <c r="H1237" s="6" t="n">
        <v>0</v>
      </c>
      <c r="I1237" s="6" t="n">
        <v>0</v>
      </c>
      <c r="J1237" s="4" t="s">
        <v>18</v>
      </c>
      <c r="K1237" s="4" t="s">
        <v>19</v>
      </c>
      <c r="L1237" s="4" t="s">
        <v>20</v>
      </c>
    </row>
    <row r="1238" customFormat="false" ht="22.35" hidden="false" customHeight="false" outlineLevel="0" collapsed="false">
      <c r="A1238" s="7" t="s">
        <v>1266</v>
      </c>
      <c r="B1238" s="7" t="s">
        <v>14</v>
      </c>
      <c r="C1238" s="7" t="s">
        <v>929</v>
      </c>
      <c r="D1238" s="7" t="s">
        <v>930</v>
      </c>
      <c r="E1238" s="7" t="s">
        <v>44</v>
      </c>
      <c r="F1238" s="8" t="n">
        <v>0.22</v>
      </c>
      <c r="G1238" s="9" t="n">
        <v>0</v>
      </c>
      <c r="H1238" s="9" t="n">
        <v>0</v>
      </c>
      <c r="I1238" s="9" t="n">
        <v>0</v>
      </c>
      <c r="J1238" s="7" t="s">
        <v>18</v>
      </c>
      <c r="K1238" s="7" t="s">
        <v>19</v>
      </c>
      <c r="L1238" s="7" t="s">
        <v>20</v>
      </c>
    </row>
    <row r="1239" customFormat="false" ht="22.35" hidden="false" customHeight="false" outlineLevel="0" collapsed="false">
      <c r="A1239" s="4" t="s">
        <v>1267</v>
      </c>
      <c r="B1239" s="4" t="s">
        <v>14</v>
      </c>
      <c r="C1239" s="4" t="s">
        <v>929</v>
      </c>
      <c r="D1239" s="4" t="s">
        <v>930</v>
      </c>
      <c r="E1239" s="4" t="s">
        <v>44</v>
      </c>
      <c r="F1239" s="5" t="n">
        <v>0.55</v>
      </c>
      <c r="G1239" s="6" t="n">
        <v>0</v>
      </c>
      <c r="H1239" s="6" t="n">
        <v>0</v>
      </c>
      <c r="I1239" s="6" t="n">
        <v>0</v>
      </c>
      <c r="J1239" s="4" t="s">
        <v>18</v>
      </c>
      <c r="K1239" s="4" t="s">
        <v>19</v>
      </c>
      <c r="L1239" s="4" t="s">
        <v>20</v>
      </c>
    </row>
    <row r="1240" customFormat="false" ht="22.35" hidden="false" customHeight="false" outlineLevel="0" collapsed="false">
      <c r="A1240" s="7" t="s">
        <v>1268</v>
      </c>
      <c r="B1240" s="7" t="s">
        <v>14</v>
      </c>
      <c r="C1240" s="7" t="s">
        <v>929</v>
      </c>
      <c r="D1240" s="7" t="s">
        <v>930</v>
      </c>
      <c r="E1240" s="7" t="s">
        <v>44</v>
      </c>
      <c r="F1240" s="8" t="n">
        <v>0</v>
      </c>
      <c r="G1240" s="9" t="n">
        <v>0</v>
      </c>
      <c r="H1240" s="9" t="n">
        <v>0</v>
      </c>
      <c r="I1240" s="9" t="n">
        <v>0</v>
      </c>
      <c r="J1240" s="7" t="s">
        <v>18</v>
      </c>
      <c r="K1240" s="7" t="s">
        <v>19</v>
      </c>
      <c r="L1240" s="7" t="s">
        <v>20</v>
      </c>
    </row>
    <row r="1241" customFormat="false" ht="22.35" hidden="false" customHeight="false" outlineLevel="0" collapsed="false">
      <c r="A1241" s="4" t="s">
        <v>1269</v>
      </c>
      <c r="B1241" s="4" t="s">
        <v>14</v>
      </c>
      <c r="C1241" s="4" t="s">
        <v>929</v>
      </c>
      <c r="D1241" s="4" t="s">
        <v>930</v>
      </c>
      <c r="E1241" s="4" t="s">
        <v>44</v>
      </c>
      <c r="F1241" s="5" t="n">
        <v>0</v>
      </c>
      <c r="G1241" s="6" t="n">
        <v>0</v>
      </c>
      <c r="H1241" s="6" t="n">
        <v>0</v>
      </c>
      <c r="I1241" s="6" t="n">
        <v>0</v>
      </c>
      <c r="J1241" s="4" t="s">
        <v>18</v>
      </c>
      <c r="K1241" s="4" t="s">
        <v>19</v>
      </c>
      <c r="L1241" s="4" t="s">
        <v>20</v>
      </c>
    </row>
    <row r="1242" customFormat="false" ht="22.35" hidden="false" customHeight="false" outlineLevel="0" collapsed="false">
      <c r="A1242" s="7" t="s">
        <v>1270</v>
      </c>
      <c r="B1242" s="7" t="s">
        <v>14</v>
      </c>
      <c r="C1242" s="7" t="s">
        <v>929</v>
      </c>
      <c r="D1242" s="7" t="s">
        <v>930</v>
      </c>
      <c r="E1242" s="7" t="s">
        <v>44</v>
      </c>
      <c r="F1242" s="8" t="n">
        <v>2.46</v>
      </c>
      <c r="G1242" s="9" t="n">
        <v>0</v>
      </c>
      <c r="H1242" s="9" t="n">
        <v>0</v>
      </c>
      <c r="I1242" s="9" t="n">
        <v>0</v>
      </c>
      <c r="J1242" s="7" t="s">
        <v>18</v>
      </c>
      <c r="K1242" s="7" t="s">
        <v>19</v>
      </c>
      <c r="L1242" s="7" t="s">
        <v>20</v>
      </c>
    </row>
    <row r="1243" customFormat="false" ht="22.35" hidden="false" customHeight="false" outlineLevel="0" collapsed="false">
      <c r="A1243" s="4" t="s">
        <v>1271</v>
      </c>
      <c r="B1243" s="4" t="s">
        <v>14</v>
      </c>
      <c r="C1243" s="4" t="s">
        <v>929</v>
      </c>
      <c r="D1243" s="4" t="s">
        <v>930</v>
      </c>
      <c r="E1243" s="4" t="s">
        <v>44</v>
      </c>
      <c r="F1243" s="5" t="n">
        <v>1.59</v>
      </c>
      <c r="G1243" s="6" t="n">
        <v>0</v>
      </c>
      <c r="H1243" s="6" t="n">
        <v>0</v>
      </c>
      <c r="I1243" s="6" t="n">
        <v>0</v>
      </c>
      <c r="J1243" s="4" t="s">
        <v>18</v>
      </c>
      <c r="K1243" s="4" t="s">
        <v>19</v>
      </c>
      <c r="L1243" s="4" t="s">
        <v>20</v>
      </c>
    </row>
    <row r="1244" customFormat="false" ht="22.35" hidden="false" customHeight="false" outlineLevel="0" collapsed="false">
      <c r="A1244" s="7" t="s">
        <v>1272</v>
      </c>
      <c r="B1244" s="7" t="s">
        <v>14</v>
      </c>
      <c r="C1244" s="7" t="s">
        <v>929</v>
      </c>
      <c r="D1244" s="7" t="s">
        <v>930</v>
      </c>
      <c r="E1244" s="7" t="s">
        <v>44</v>
      </c>
      <c r="F1244" s="8" t="n">
        <v>0.51</v>
      </c>
      <c r="G1244" s="9" t="n">
        <v>0</v>
      </c>
      <c r="H1244" s="9" t="n">
        <v>0</v>
      </c>
      <c r="I1244" s="9" t="n">
        <v>0</v>
      </c>
      <c r="J1244" s="7" t="s">
        <v>18</v>
      </c>
      <c r="K1244" s="7" t="s">
        <v>19</v>
      </c>
      <c r="L1244" s="7" t="s">
        <v>20</v>
      </c>
    </row>
    <row r="1245" customFormat="false" ht="22.35" hidden="false" customHeight="false" outlineLevel="0" collapsed="false">
      <c r="A1245" s="4" t="s">
        <v>1273</v>
      </c>
      <c r="B1245" s="4" t="s">
        <v>14</v>
      </c>
      <c r="C1245" s="4" t="s">
        <v>929</v>
      </c>
      <c r="D1245" s="4" t="s">
        <v>930</v>
      </c>
      <c r="E1245" s="4" t="s">
        <v>44</v>
      </c>
      <c r="F1245" s="5" t="n">
        <v>0.8</v>
      </c>
      <c r="G1245" s="6" t="n">
        <v>0</v>
      </c>
      <c r="H1245" s="6" t="n">
        <v>0</v>
      </c>
      <c r="I1245" s="6" t="n">
        <v>0</v>
      </c>
      <c r="J1245" s="4" t="s">
        <v>18</v>
      </c>
      <c r="K1245" s="4" t="s">
        <v>19</v>
      </c>
      <c r="L1245" s="4" t="s">
        <v>20</v>
      </c>
    </row>
    <row r="1246" customFormat="false" ht="22.35" hidden="false" customHeight="false" outlineLevel="0" collapsed="false">
      <c r="A1246" s="7" t="s">
        <v>1274</v>
      </c>
      <c r="B1246" s="7" t="s">
        <v>14</v>
      </c>
      <c r="C1246" s="7" t="s">
        <v>929</v>
      </c>
      <c r="D1246" s="7" t="s">
        <v>930</v>
      </c>
      <c r="E1246" s="7" t="s">
        <v>44</v>
      </c>
      <c r="F1246" s="8" t="n">
        <v>7.18</v>
      </c>
      <c r="G1246" s="9" t="n">
        <v>0</v>
      </c>
      <c r="H1246" s="9" t="n">
        <v>0</v>
      </c>
      <c r="I1246" s="9" t="n">
        <v>0</v>
      </c>
      <c r="J1246" s="7" t="s">
        <v>18</v>
      </c>
      <c r="K1246" s="7" t="s">
        <v>19</v>
      </c>
      <c r="L1246" s="7" t="s">
        <v>20</v>
      </c>
    </row>
    <row r="1247" customFormat="false" ht="22.35" hidden="false" customHeight="false" outlineLevel="0" collapsed="false">
      <c r="A1247" s="4" t="s">
        <v>1275</v>
      </c>
      <c r="B1247" s="4" t="s">
        <v>14</v>
      </c>
      <c r="C1247" s="4" t="s">
        <v>929</v>
      </c>
      <c r="D1247" s="4" t="s">
        <v>930</v>
      </c>
      <c r="E1247" s="4" t="s">
        <v>44</v>
      </c>
      <c r="F1247" s="5" t="n">
        <v>2.56</v>
      </c>
      <c r="G1247" s="6" t="n">
        <v>0</v>
      </c>
      <c r="H1247" s="6" t="n">
        <v>0</v>
      </c>
      <c r="I1247" s="6" t="n">
        <v>0</v>
      </c>
      <c r="J1247" s="4" t="s">
        <v>18</v>
      </c>
      <c r="K1247" s="4" t="s">
        <v>19</v>
      </c>
      <c r="L1247" s="4" t="s">
        <v>20</v>
      </c>
    </row>
    <row r="1248" customFormat="false" ht="22.35" hidden="false" customHeight="false" outlineLevel="0" collapsed="false">
      <c r="A1248" s="7" t="s">
        <v>1276</v>
      </c>
      <c r="B1248" s="7" t="s">
        <v>14</v>
      </c>
      <c r="C1248" s="7" t="s">
        <v>929</v>
      </c>
      <c r="D1248" s="7" t="s">
        <v>930</v>
      </c>
      <c r="E1248" s="7" t="s">
        <v>44</v>
      </c>
      <c r="F1248" s="8" t="n">
        <v>2.56</v>
      </c>
      <c r="G1248" s="9" t="n">
        <v>0</v>
      </c>
      <c r="H1248" s="9" t="n">
        <v>0</v>
      </c>
      <c r="I1248" s="9" t="n">
        <v>0</v>
      </c>
      <c r="J1248" s="7" t="s">
        <v>18</v>
      </c>
      <c r="K1248" s="7" t="s">
        <v>19</v>
      </c>
      <c r="L1248" s="7" t="s">
        <v>20</v>
      </c>
    </row>
    <row r="1249" customFormat="false" ht="22.35" hidden="false" customHeight="false" outlineLevel="0" collapsed="false">
      <c r="A1249" s="4" t="s">
        <v>1277</v>
      </c>
      <c r="B1249" s="4" t="s">
        <v>14</v>
      </c>
      <c r="C1249" s="4" t="s">
        <v>929</v>
      </c>
      <c r="D1249" s="4" t="s">
        <v>930</v>
      </c>
      <c r="E1249" s="4" t="s">
        <v>44</v>
      </c>
      <c r="F1249" s="5" t="n">
        <v>0.4</v>
      </c>
      <c r="G1249" s="6" t="n">
        <v>0</v>
      </c>
      <c r="H1249" s="6" t="n">
        <v>0</v>
      </c>
      <c r="I1249" s="6" t="n">
        <v>0</v>
      </c>
      <c r="J1249" s="4" t="s">
        <v>18</v>
      </c>
      <c r="K1249" s="4" t="s">
        <v>19</v>
      </c>
      <c r="L1249" s="4" t="s">
        <v>20</v>
      </c>
    </row>
    <row r="1250" customFormat="false" ht="22.35" hidden="false" customHeight="false" outlineLevel="0" collapsed="false">
      <c r="A1250" s="7" t="s">
        <v>1278</v>
      </c>
      <c r="B1250" s="7" t="s">
        <v>14</v>
      </c>
      <c r="C1250" s="7" t="s">
        <v>929</v>
      </c>
      <c r="D1250" s="7" t="s">
        <v>930</v>
      </c>
      <c r="E1250" s="7" t="s">
        <v>44</v>
      </c>
      <c r="F1250" s="8" t="n">
        <v>3.2024</v>
      </c>
      <c r="G1250" s="9" t="n">
        <v>0</v>
      </c>
      <c r="H1250" s="9" t="n">
        <v>0</v>
      </c>
      <c r="I1250" s="9" t="n">
        <v>0</v>
      </c>
      <c r="J1250" s="7" t="s">
        <v>18</v>
      </c>
      <c r="K1250" s="7" t="s">
        <v>19</v>
      </c>
      <c r="L1250" s="7" t="s">
        <v>20</v>
      </c>
    </row>
    <row r="1251" customFormat="false" ht="22.35" hidden="false" customHeight="false" outlineLevel="0" collapsed="false">
      <c r="A1251" s="4" t="s">
        <v>1279</v>
      </c>
      <c r="B1251" s="4" t="s">
        <v>14</v>
      </c>
      <c r="C1251" s="4" t="s">
        <v>929</v>
      </c>
      <c r="D1251" s="4" t="s">
        <v>930</v>
      </c>
      <c r="E1251" s="4" t="s">
        <v>44</v>
      </c>
      <c r="F1251" s="5" t="n">
        <v>0.8018</v>
      </c>
      <c r="G1251" s="6" t="n">
        <v>0</v>
      </c>
      <c r="H1251" s="6" t="n">
        <v>0</v>
      </c>
      <c r="I1251" s="6" t="n">
        <v>0</v>
      </c>
      <c r="J1251" s="4" t="s">
        <v>18</v>
      </c>
      <c r="K1251" s="4" t="s">
        <v>19</v>
      </c>
      <c r="L1251" s="4" t="s">
        <v>20</v>
      </c>
    </row>
    <row r="1252" customFormat="false" ht="22.35" hidden="false" customHeight="false" outlineLevel="0" collapsed="false">
      <c r="A1252" s="7" t="s">
        <v>1280</v>
      </c>
      <c r="B1252" s="7" t="s">
        <v>14</v>
      </c>
      <c r="C1252" s="7" t="s">
        <v>929</v>
      </c>
      <c r="D1252" s="7" t="s">
        <v>930</v>
      </c>
      <c r="E1252" s="7" t="s">
        <v>44</v>
      </c>
      <c r="F1252" s="8" t="n">
        <v>2.36</v>
      </c>
      <c r="G1252" s="9" t="n">
        <v>0</v>
      </c>
      <c r="H1252" s="9" t="n">
        <v>0</v>
      </c>
      <c r="I1252" s="9" t="n">
        <v>0</v>
      </c>
      <c r="J1252" s="7" t="s">
        <v>18</v>
      </c>
      <c r="K1252" s="7" t="s">
        <v>19</v>
      </c>
      <c r="L1252" s="7" t="s">
        <v>20</v>
      </c>
    </row>
    <row r="1253" customFormat="false" ht="22.35" hidden="false" customHeight="false" outlineLevel="0" collapsed="false">
      <c r="A1253" s="4" t="s">
        <v>1281</v>
      </c>
      <c r="B1253" s="4" t="s">
        <v>14</v>
      </c>
      <c r="C1253" s="4" t="s">
        <v>929</v>
      </c>
      <c r="D1253" s="4" t="s">
        <v>930</v>
      </c>
      <c r="E1253" s="4" t="s">
        <v>44</v>
      </c>
      <c r="F1253" s="5" t="n">
        <v>0.82</v>
      </c>
      <c r="G1253" s="6" t="n">
        <v>0</v>
      </c>
      <c r="H1253" s="6" t="n">
        <v>0</v>
      </c>
      <c r="I1253" s="6" t="n">
        <v>0</v>
      </c>
      <c r="J1253" s="4" t="s">
        <v>18</v>
      </c>
      <c r="K1253" s="4" t="s">
        <v>19</v>
      </c>
      <c r="L1253" s="4" t="s">
        <v>20</v>
      </c>
    </row>
    <row r="1254" customFormat="false" ht="22.35" hidden="false" customHeight="false" outlineLevel="0" collapsed="false">
      <c r="A1254" s="7" t="s">
        <v>1282</v>
      </c>
      <c r="B1254" s="7" t="s">
        <v>14</v>
      </c>
      <c r="C1254" s="7" t="s">
        <v>929</v>
      </c>
      <c r="D1254" s="7" t="s">
        <v>930</v>
      </c>
      <c r="E1254" s="7" t="s">
        <v>44</v>
      </c>
      <c r="F1254" s="8" t="n">
        <v>1.96</v>
      </c>
      <c r="G1254" s="9" t="n">
        <v>0</v>
      </c>
      <c r="H1254" s="9" t="n">
        <v>0</v>
      </c>
      <c r="I1254" s="9" t="n">
        <v>0</v>
      </c>
      <c r="J1254" s="7" t="s">
        <v>18</v>
      </c>
      <c r="K1254" s="7" t="s">
        <v>19</v>
      </c>
      <c r="L1254" s="7" t="s">
        <v>20</v>
      </c>
    </row>
    <row r="1255" customFormat="false" ht="22.35" hidden="false" customHeight="false" outlineLevel="0" collapsed="false">
      <c r="A1255" s="4" t="s">
        <v>1283</v>
      </c>
      <c r="B1255" s="4" t="s">
        <v>14</v>
      </c>
      <c r="C1255" s="4" t="s">
        <v>929</v>
      </c>
      <c r="D1255" s="4" t="s">
        <v>930</v>
      </c>
      <c r="E1255" s="4" t="s">
        <v>44</v>
      </c>
      <c r="F1255" s="5" t="n">
        <v>0.488</v>
      </c>
      <c r="G1255" s="6" t="n">
        <v>0</v>
      </c>
      <c r="H1255" s="6" t="n">
        <v>0</v>
      </c>
      <c r="I1255" s="6" t="n">
        <v>0</v>
      </c>
      <c r="J1255" s="4" t="s">
        <v>18</v>
      </c>
      <c r="K1255" s="10" t="s">
        <v>1284</v>
      </c>
      <c r="L1255" s="4" t="s">
        <v>20</v>
      </c>
    </row>
    <row r="1256" customFormat="false" ht="22.35" hidden="false" customHeight="false" outlineLevel="0" collapsed="false">
      <c r="A1256" s="7" t="s">
        <v>1285</v>
      </c>
      <c r="B1256" s="7" t="s">
        <v>14</v>
      </c>
      <c r="C1256" s="7" t="s">
        <v>929</v>
      </c>
      <c r="D1256" s="7" t="s">
        <v>930</v>
      </c>
      <c r="E1256" s="7" t="s">
        <v>44</v>
      </c>
      <c r="F1256" s="8" t="n">
        <v>0.958</v>
      </c>
      <c r="G1256" s="9" t="n">
        <v>0</v>
      </c>
      <c r="H1256" s="9" t="n">
        <v>0</v>
      </c>
      <c r="I1256" s="9" t="n">
        <v>0</v>
      </c>
      <c r="J1256" s="7" t="s">
        <v>18</v>
      </c>
      <c r="K1256" s="7" t="s">
        <v>19</v>
      </c>
      <c r="L1256" s="7" t="s">
        <v>20</v>
      </c>
    </row>
    <row r="1257" customFormat="false" ht="22.35" hidden="false" customHeight="false" outlineLevel="0" collapsed="false">
      <c r="A1257" s="4" t="s">
        <v>1286</v>
      </c>
      <c r="B1257" s="4" t="s">
        <v>14</v>
      </c>
      <c r="C1257" s="4" t="s">
        <v>929</v>
      </c>
      <c r="D1257" s="4" t="s">
        <v>930</v>
      </c>
      <c r="E1257" s="4" t="s">
        <v>44</v>
      </c>
      <c r="F1257" s="5" t="n">
        <v>0.27</v>
      </c>
      <c r="G1257" s="6" t="n">
        <v>0</v>
      </c>
      <c r="H1257" s="6" t="n">
        <v>0</v>
      </c>
      <c r="I1257" s="6" t="n">
        <v>0</v>
      </c>
      <c r="J1257" s="4" t="s">
        <v>18</v>
      </c>
      <c r="K1257" s="4" t="s">
        <v>19</v>
      </c>
      <c r="L1257" s="4" t="s">
        <v>20</v>
      </c>
    </row>
    <row r="1258" customFormat="false" ht="22.35" hidden="false" customHeight="false" outlineLevel="0" collapsed="false">
      <c r="A1258" s="7" t="s">
        <v>1287</v>
      </c>
      <c r="B1258" s="7" t="s">
        <v>14</v>
      </c>
      <c r="C1258" s="7" t="s">
        <v>929</v>
      </c>
      <c r="D1258" s="7" t="s">
        <v>930</v>
      </c>
      <c r="E1258" s="7" t="s">
        <v>44</v>
      </c>
      <c r="F1258" s="8" t="n">
        <v>8.09</v>
      </c>
      <c r="G1258" s="9" t="n">
        <v>0</v>
      </c>
      <c r="H1258" s="9" t="n">
        <v>0</v>
      </c>
      <c r="I1258" s="9" t="n">
        <v>0</v>
      </c>
      <c r="J1258" s="7" t="s">
        <v>18</v>
      </c>
      <c r="K1258" s="7" t="s">
        <v>19</v>
      </c>
      <c r="L1258" s="7" t="s">
        <v>20</v>
      </c>
    </row>
    <row r="1259" customFormat="false" ht="22.35" hidden="false" customHeight="false" outlineLevel="0" collapsed="false">
      <c r="A1259" s="4" t="s">
        <v>1288</v>
      </c>
      <c r="B1259" s="4" t="s">
        <v>14</v>
      </c>
      <c r="C1259" s="4" t="s">
        <v>929</v>
      </c>
      <c r="D1259" s="4" t="s">
        <v>930</v>
      </c>
      <c r="E1259" s="4" t="s">
        <v>44</v>
      </c>
      <c r="F1259" s="5" t="n">
        <v>1.1582</v>
      </c>
      <c r="G1259" s="6" t="n">
        <v>0</v>
      </c>
      <c r="H1259" s="6" t="n">
        <v>0</v>
      </c>
      <c r="I1259" s="6" t="n">
        <v>0</v>
      </c>
      <c r="J1259" s="4" t="s">
        <v>18</v>
      </c>
      <c r="K1259" s="4" t="s">
        <v>19</v>
      </c>
      <c r="L1259" s="4" t="s">
        <v>20</v>
      </c>
    </row>
    <row r="1260" customFormat="false" ht="22.35" hidden="false" customHeight="false" outlineLevel="0" collapsed="false">
      <c r="A1260" s="7" t="s">
        <v>1289</v>
      </c>
      <c r="B1260" s="7" t="s">
        <v>14</v>
      </c>
      <c r="C1260" s="7" t="s">
        <v>929</v>
      </c>
      <c r="D1260" s="7" t="s">
        <v>930</v>
      </c>
      <c r="E1260" s="7" t="s">
        <v>44</v>
      </c>
      <c r="F1260" s="8" t="n">
        <v>0.64</v>
      </c>
      <c r="G1260" s="9" t="n">
        <v>0</v>
      </c>
      <c r="H1260" s="9" t="n">
        <v>0</v>
      </c>
      <c r="I1260" s="9" t="n">
        <v>0</v>
      </c>
      <c r="J1260" s="7" t="s">
        <v>18</v>
      </c>
      <c r="K1260" s="7" t="s">
        <v>19</v>
      </c>
      <c r="L1260" s="7" t="s">
        <v>20</v>
      </c>
    </row>
    <row r="1261" customFormat="false" ht="22.35" hidden="false" customHeight="false" outlineLevel="0" collapsed="false">
      <c r="A1261" s="4" t="s">
        <v>1290</v>
      </c>
      <c r="B1261" s="4" t="s">
        <v>14</v>
      </c>
      <c r="C1261" s="4" t="s">
        <v>929</v>
      </c>
      <c r="D1261" s="4" t="s">
        <v>930</v>
      </c>
      <c r="E1261" s="4" t="s">
        <v>44</v>
      </c>
      <c r="F1261" s="5" t="n">
        <v>3.02</v>
      </c>
      <c r="G1261" s="6" t="n">
        <v>0</v>
      </c>
      <c r="H1261" s="6" t="n">
        <v>0</v>
      </c>
      <c r="I1261" s="6" t="n">
        <v>0</v>
      </c>
      <c r="J1261" s="4" t="s">
        <v>18</v>
      </c>
      <c r="K1261" s="4" t="s">
        <v>19</v>
      </c>
      <c r="L1261" s="4" t="s">
        <v>20</v>
      </c>
    </row>
    <row r="1262" customFormat="false" ht="22.35" hidden="false" customHeight="false" outlineLevel="0" collapsed="false">
      <c r="A1262" s="7" t="s">
        <v>1291</v>
      </c>
      <c r="B1262" s="7" t="s">
        <v>14</v>
      </c>
      <c r="C1262" s="7" t="s">
        <v>929</v>
      </c>
      <c r="D1262" s="7" t="s">
        <v>930</v>
      </c>
      <c r="E1262" s="7" t="s">
        <v>44</v>
      </c>
      <c r="F1262" s="8" t="n">
        <v>3.4</v>
      </c>
      <c r="G1262" s="9" t="n">
        <v>0</v>
      </c>
      <c r="H1262" s="9" t="n">
        <v>0</v>
      </c>
      <c r="I1262" s="9" t="n">
        <v>0</v>
      </c>
      <c r="J1262" s="7" t="s">
        <v>18</v>
      </c>
      <c r="K1262" s="7" t="s">
        <v>19</v>
      </c>
      <c r="L1262" s="7" t="s">
        <v>20</v>
      </c>
    </row>
    <row r="1263" customFormat="false" ht="22.35" hidden="false" customHeight="false" outlineLevel="0" collapsed="false">
      <c r="A1263" s="4" t="s">
        <v>1292</v>
      </c>
      <c r="B1263" s="4" t="s">
        <v>14</v>
      </c>
      <c r="C1263" s="4" t="s">
        <v>929</v>
      </c>
      <c r="D1263" s="4" t="s">
        <v>930</v>
      </c>
      <c r="E1263" s="4" t="s">
        <v>44</v>
      </c>
      <c r="F1263" s="5" t="n">
        <v>0</v>
      </c>
      <c r="G1263" s="6" t="n">
        <v>0</v>
      </c>
      <c r="H1263" s="6" t="n">
        <v>0</v>
      </c>
      <c r="I1263" s="6" t="n">
        <v>0</v>
      </c>
      <c r="J1263" s="4" t="s">
        <v>18</v>
      </c>
      <c r="K1263" s="4" t="s">
        <v>19</v>
      </c>
      <c r="L1263" s="4" t="s">
        <v>20</v>
      </c>
    </row>
    <row r="1264" customFormat="false" ht="22.35" hidden="false" customHeight="false" outlineLevel="0" collapsed="false">
      <c r="A1264" s="7" t="s">
        <v>1293</v>
      </c>
      <c r="B1264" s="7" t="s">
        <v>14</v>
      </c>
      <c r="C1264" s="7" t="s">
        <v>929</v>
      </c>
      <c r="D1264" s="7" t="s">
        <v>930</v>
      </c>
      <c r="E1264" s="7" t="s">
        <v>44</v>
      </c>
      <c r="F1264" s="8" t="n">
        <v>0</v>
      </c>
      <c r="G1264" s="9" t="n">
        <v>0</v>
      </c>
      <c r="H1264" s="9" t="n">
        <v>0</v>
      </c>
      <c r="I1264" s="9" t="n">
        <v>0</v>
      </c>
      <c r="J1264" s="7" t="s">
        <v>18</v>
      </c>
      <c r="K1264" s="7" t="s">
        <v>19</v>
      </c>
      <c r="L1264" s="7" t="s">
        <v>20</v>
      </c>
    </row>
    <row r="1265" customFormat="false" ht="22.35" hidden="false" customHeight="false" outlineLevel="0" collapsed="false">
      <c r="A1265" s="4" t="s">
        <v>1294</v>
      </c>
      <c r="B1265" s="4" t="s">
        <v>14</v>
      </c>
      <c r="C1265" s="4" t="s">
        <v>929</v>
      </c>
      <c r="D1265" s="4" t="s">
        <v>930</v>
      </c>
      <c r="E1265" s="4" t="s">
        <v>44</v>
      </c>
      <c r="F1265" s="5" t="n">
        <v>0</v>
      </c>
      <c r="G1265" s="6" t="n">
        <v>0</v>
      </c>
      <c r="H1265" s="6" t="n">
        <v>0</v>
      </c>
      <c r="I1265" s="6" t="n">
        <v>0</v>
      </c>
      <c r="J1265" s="4" t="s">
        <v>18</v>
      </c>
      <c r="K1265" s="4" t="s">
        <v>19</v>
      </c>
      <c r="L1265" s="4" t="s">
        <v>20</v>
      </c>
    </row>
    <row r="1266" customFormat="false" ht="22.35" hidden="false" customHeight="false" outlineLevel="0" collapsed="false">
      <c r="A1266" s="7" t="s">
        <v>1295</v>
      </c>
      <c r="B1266" s="7" t="s">
        <v>14</v>
      </c>
      <c r="C1266" s="7" t="s">
        <v>929</v>
      </c>
      <c r="D1266" s="7" t="s">
        <v>930</v>
      </c>
      <c r="E1266" s="7" t="s">
        <v>44</v>
      </c>
      <c r="F1266" s="8" t="n">
        <v>0</v>
      </c>
      <c r="G1266" s="9" t="n">
        <v>0</v>
      </c>
      <c r="H1266" s="9" t="n">
        <v>0</v>
      </c>
      <c r="I1266" s="9" t="n">
        <v>0</v>
      </c>
      <c r="J1266" s="7" t="s">
        <v>18</v>
      </c>
      <c r="K1266" s="7" t="s">
        <v>19</v>
      </c>
      <c r="L1266" s="7" t="s">
        <v>20</v>
      </c>
    </row>
    <row r="1267" customFormat="false" ht="22.35" hidden="false" customHeight="false" outlineLevel="0" collapsed="false">
      <c r="A1267" s="4" t="s">
        <v>1296</v>
      </c>
      <c r="B1267" s="4" t="s">
        <v>14</v>
      </c>
      <c r="C1267" s="4" t="s">
        <v>929</v>
      </c>
      <c r="D1267" s="4" t="s">
        <v>930</v>
      </c>
      <c r="E1267" s="4" t="s">
        <v>44</v>
      </c>
      <c r="F1267" s="5" t="n">
        <v>0</v>
      </c>
      <c r="G1267" s="6" t="n">
        <v>0</v>
      </c>
      <c r="H1267" s="6" t="n">
        <v>0</v>
      </c>
      <c r="I1267" s="6" t="n">
        <v>0</v>
      </c>
      <c r="J1267" s="4" t="s">
        <v>18</v>
      </c>
      <c r="K1267" s="4" t="s">
        <v>19</v>
      </c>
      <c r="L1267" s="4" t="s">
        <v>20</v>
      </c>
    </row>
    <row r="1268" customFormat="false" ht="22.35" hidden="false" customHeight="false" outlineLevel="0" collapsed="false">
      <c r="A1268" s="7" t="s">
        <v>1297</v>
      </c>
      <c r="B1268" s="7" t="s">
        <v>14</v>
      </c>
      <c r="C1268" s="7" t="s">
        <v>929</v>
      </c>
      <c r="D1268" s="7" t="s">
        <v>930</v>
      </c>
      <c r="E1268" s="7" t="s">
        <v>44</v>
      </c>
      <c r="F1268" s="8" t="n">
        <v>2.7252</v>
      </c>
      <c r="G1268" s="9" t="n">
        <v>0</v>
      </c>
      <c r="H1268" s="9" t="n">
        <v>0</v>
      </c>
      <c r="I1268" s="9" t="n">
        <v>0</v>
      </c>
      <c r="J1268" s="7" t="s">
        <v>18</v>
      </c>
      <c r="K1268" s="7" t="s">
        <v>19</v>
      </c>
      <c r="L1268" s="7" t="s">
        <v>20</v>
      </c>
    </row>
    <row r="1269" customFormat="false" ht="22.35" hidden="false" customHeight="false" outlineLevel="0" collapsed="false">
      <c r="A1269" s="4" t="s">
        <v>1298</v>
      </c>
      <c r="B1269" s="4" t="s">
        <v>14</v>
      </c>
      <c r="C1269" s="4" t="s">
        <v>929</v>
      </c>
      <c r="D1269" s="4" t="s">
        <v>930</v>
      </c>
      <c r="E1269" s="4" t="s">
        <v>44</v>
      </c>
      <c r="F1269" s="5" t="n">
        <v>3.527</v>
      </c>
      <c r="G1269" s="6" t="n">
        <v>0</v>
      </c>
      <c r="H1269" s="6" t="n">
        <v>0</v>
      </c>
      <c r="I1269" s="6" t="n">
        <v>0</v>
      </c>
      <c r="J1269" s="4" t="s">
        <v>18</v>
      </c>
      <c r="K1269" s="4" t="s">
        <v>19</v>
      </c>
      <c r="L1269" s="4" t="s">
        <v>20</v>
      </c>
    </row>
    <row r="1270" customFormat="false" ht="22.35" hidden="false" customHeight="false" outlineLevel="0" collapsed="false">
      <c r="A1270" s="7" t="s">
        <v>1299</v>
      </c>
      <c r="B1270" s="7" t="s">
        <v>14</v>
      </c>
      <c r="C1270" s="7" t="s">
        <v>929</v>
      </c>
      <c r="D1270" s="7" t="s">
        <v>930</v>
      </c>
      <c r="E1270" s="7" t="s">
        <v>44</v>
      </c>
      <c r="F1270" s="8" t="n">
        <v>3.7088</v>
      </c>
      <c r="G1270" s="9" t="n">
        <v>0</v>
      </c>
      <c r="H1270" s="9" t="n">
        <v>0</v>
      </c>
      <c r="I1270" s="9" t="n">
        <v>0</v>
      </c>
      <c r="J1270" s="7" t="s">
        <v>18</v>
      </c>
      <c r="K1270" s="7" t="s">
        <v>19</v>
      </c>
      <c r="L1270" s="7" t="s">
        <v>20</v>
      </c>
    </row>
    <row r="1271" customFormat="false" ht="22.35" hidden="false" customHeight="false" outlineLevel="0" collapsed="false">
      <c r="A1271" s="4" t="s">
        <v>1300</v>
      </c>
      <c r="B1271" s="4" t="s">
        <v>14</v>
      </c>
      <c r="C1271" s="4" t="s">
        <v>929</v>
      </c>
      <c r="D1271" s="4" t="s">
        <v>930</v>
      </c>
      <c r="E1271" s="4" t="s">
        <v>44</v>
      </c>
      <c r="F1271" s="5" t="n">
        <v>0.68</v>
      </c>
      <c r="G1271" s="6" t="n">
        <v>0</v>
      </c>
      <c r="H1271" s="6" t="n">
        <v>0</v>
      </c>
      <c r="I1271" s="6" t="n">
        <v>0</v>
      </c>
      <c r="J1271" s="4" t="s">
        <v>18</v>
      </c>
      <c r="K1271" s="4" t="s">
        <v>19</v>
      </c>
      <c r="L1271" s="4" t="s">
        <v>20</v>
      </c>
    </row>
    <row r="1272" customFormat="false" ht="22.35" hidden="false" customHeight="false" outlineLevel="0" collapsed="false">
      <c r="A1272" s="7" t="s">
        <v>1301</v>
      </c>
      <c r="B1272" s="7" t="s">
        <v>14</v>
      </c>
      <c r="C1272" s="7" t="s">
        <v>929</v>
      </c>
      <c r="D1272" s="7" t="s">
        <v>930</v>
      </c>
      <c r="E1272" s="7" t="s">
        <v>44</v>
      </c>
      <c r="F1272" s="8" t="n">
        <v>0.4071</v>
      </c>
      <c r="G1272" s="9" t="n">
        <v>0</v>
      </c>
      <c r="H1272" s="9" t="n">
        <v>0</v>
      </c>
      <c r="I1272" s="9" t="n">
        <v>0</v>
      </c>
      <c r="J1272" s="7" t="s">
        <v>18</v>
      </c>
      <c r="K1272" s="7" t="s">
        <v>19</v>
      </c>
      <c r="L1272" s="7" t="s">
        <v>20</v>
      </c>
    </row>
    <row r="1273" customFormat="false" ht="22.35" hidden="false" customHeight="false" outlineLevel="0" collapsed="false">
      <c r="A1273" s="4" t="s">
        <v>1302</v>
      </c>
      <c r="B1273" s="4" t="s">
        <v>14</v>
      </c>
      <c r="C1273" s="4" t="s">
        <v>929</v>
      </c>
      <c r="D1273" s="4" t="s">
        <v>930</v>
      </c>
      <c r="E1273" s="4" t="s">
        <v>44</v>
      </c>
      <c r="F1273" s="5" t="n">
        <v>0.4463</v>
      </c>
      <c r="G1273" s="6" t="n">
        <v>0</v>
      </c>
      <c r="H1273" s="6" t="n">
        <v>0</v>
      </c>
      <c r="I1273" s="6" t="n">
        <v>0</v>
      </c>
      <c r="J1273" s="4" t="s">
        <v>18</v>
      </c>
      <c r="K1273" s="4" t="s">
        <v>19</v>
      </c>
      <c r="L1273" s="4" t="s">
        <v>20</v>
      </c>
    </row>
    <row r="1274" customFormat="false" ht="22.35" hidden="false" customHeight="false" outlineLevel="0" collapsed="false">
      <c r="A1274" s="7" t="s">
        <v>1303</v>
      </c>
      <c r="B1274" s="7" t="s">
        <v>14</v>
      </c>
      <c r="C1274" s="7" t="s">
        <v>929</v>
      </c>
      <c r="D1274" s="7" t="s">
        <v>930</v>
      </c>
      <c r="E1274" s="7" t="s">
        <v>44</v>
      </c>
      <c r="F1274" s="8" t="n">
        <v>0.05</v>
      </c>
      <c r="G1274" s="9" t="n">
        <v>0</v>
      </c>
      <c r="H1274" s="9" t="n">
        <v>0</v>
      </c>
      <c r="I1274" s="9" t="n">
        <v>0</v>
      </c>
      <c r="J1274" s="7" t="s">
        <v>18</v>
      </c>
      <c r="K1274" s="7" t="s">
        <v>19</v>
      </c>
      <c r="L1274" s="7" t="s">
        <v>20</v>
      </c>
    </row>
    <row r="1275" customFormat="false" ht="22.35" hidden="false" customHeight="false" outlineLevel="0" collapsed="false">
      <c r="A1275" s="4" t="s">
        <v>1304</v>
      </c>
      <c r="B1275" s="4" t="s">
        <v>14</v>
      </c>
      <c r="C1275" s="4" t="s">
        <v>929</v>
      </c>
      <c r="D1275" s="4" t="s">
        <v>930</v>
      </c>
      <c r="E1275" s="4" t="s">
        <v>44</v>
      </c>
      <c r="F1275" s="5" t="n">
        <v>0.47</v>
      </c>
      <c r="G1275" s="6" t="n">
        <v>0</v>
      </c>
      <c r="H1275" s="6" t="n">
        <v>0</v>
      </c>
      <c r="I1275" s="6" t="n">
        <v>0</v>
      </c>
      <c r="J1275" s="4" t="s">
        <v>18</v>
      </c>
      <c r="K1275" s="4" t="s">
        <v>19</v>
      </c>
      <c r="L1275" s="4" t="s">
        <v>20</v>
      </c>
    </row>
    <row r="1276" customFormat="false" ht="22.35" hidden="false" customHeight="false" outlineLevel="0" collapsed="false">
      <c r="A1276" s="7" t="s">
        <v>1305</v>
      </c>
      <c r="B1276" s="7" t="s">
        <v>14</v>
      </c>
      <c r="C1276" s="7" t="s">
        <v>929</v>
      </c>
      <c r="D1276" s="7" t="s">
        <v>930</v>
      </c>
      <c r="E1276" s="7" t="s">
        <v>44</v>
      </c>
      <c r="F1276" s="8" t="n">
        <v>0.891</v>
      </c>
      <c r="G1276" s="9" t="n">
        <v>0</v>
      </c>
      <c r="H1276" s="9" t="n">
        <v>0</v>
      </c>
      <c r="I1276" s="9" t="n">
        <v>0</v>
      </c>
      <c r="J1276" s="7" t="s">
        <v>18</v>
      </c>
      <c r="K1276" s="7" t="s">
        <v>19</v>
      </c>
      <c r="L1276" s="7" t="s">
        <v>20</v>
      </c>
    </row>
    <row r="1277" customFormat="false" ht="22.35" hidden="false" customHeight="false" outlineLevel="0" collapsed="false">
      <c r="A1277" s="4" t="s">
        <v>1306</v>
      </c>
      <c r="B1277" s="4" t="s">
        <v>14</v>
      </c>
      <c r="C1277" s="4" t="s">
        <v>929</v>
      </c>
      <c r="D1277" s="4" t="s">
        <v>930</v>
      </c>
      <c r="E1277" s="4" t="s">
        <v>44</v>
      </c>
      <c r="F1277" s="5" t="n">
        <v>0.05</v>
      </c>
      <c r="G1277" s="6" t="n">
        <v>0</v>
      </c>
      <c r="H1277" s="6" t="n">
        <v>0</v>
      </c>
      <c r="I1277" s="6" t="n">
        <v>0</v>
      </c>
      <c r="J1277" s="4" t="s">
        <v>18</v>
      </c>
      <c r="K1277" s="4" t="s">
        <v>19</v>
      </c>
      <c r="L1277" s="4" t="s">
        <v>20</v>
      </c>
    </row>
    <row r="1278" customFormat="false" ht="22.35" hidden="false" customHeight="false" outlineLevel="0" collapsed="false">
      <c r="A1278" s="7" t="s">
        <v>1307</v>
      </c>
      <c r="B1278" s="7" t="s">
        <v>14</v>
      </c>
      <c r="C1278" s="7" t="s">
        <v>929</v>
      </c>
      <c r="D1278" s="7" t="s">
        <v>930</v>
      </c>
      <c r="E1278" s="7" t="s">
        <v>44</v>
      </c>
      <c r="F1278" s="8" t="n">
        <v>1.714</v>
      </c>
      <c r="G1278" s="9" t="n">
        <v>0</v>
      </c>
      <c r="H1278" s="9" t="n">
        <v>0</v>
      </c>
      <c r="I1278" s="9" t="n">
        <v>0</v>
      </c>
      <c r="J1278" s="7" t="s">
        <v>18</v>
      </c>
      <c r="K1278" s="7" t="s">
        <v>19</v>
      </c>
      <c r="L1278" s="7" t="s">
        <v>20</v>
      </c>
    </row>
    <row r="1279" customFormat="false" ht="22.35" hidden="false" customHeight="false" outlineLevel="0" collapsed="false">
      <c r="A1279" s="4" t="s">
        <v>1308</v>
      </c>
      <c r="B1279" s="4" t="s">
        <v>14</v>
      </c>
      <c r="C1279" s="4" t="s">
        <v>929</v>
      </c>
      <c r="D1279" s="4" t="s">
        <v>930</v>
      </c>
      <c r="E1279" s="4" t="s">
        <v>44</v>
      </c>
      <c r="F1279" s="5" t="n">
        <v>1.96</v>
      </c>
      <c r="G1279" s="6" t="n">
        <v>0</v>
      </c>
      <c r="H1279" s="6" t="n">
        <v>0</v>
      </c>
      <c r="I1279" s="6" t="n">
        <v>0</v>
      </c>
      <c r="J1279" s="4" t="s">
        <v>18</v>
      </c>
      <c r="K1279" s="4" t="s">
        <v>19</v>
      </c>
      <c r="L1279" s="4" t="s">
        <v>20</v>
      </c>
    </row>
    <row r="1280" customFormat="false" ht="22.35" hidden="false" customHeight="false" outlineLevel="0" collapsed="false">
      <c r="A1280" s="7" t="s">
        <v>1309</v>
      </c>
      <c r="B1280" s="7" t="s">
        <v>14</v>
      </c>
      <c r="C1280" s="7" t="s">
        <v>929</v>
      </c>
      <c r="D1280" s="7" t="s">
        <v>930</v>
      </c>
      <c r="E1280" s="7" t="s">
        <v>44</v>
      </c>
      <c r="F1280" s="8" t="n">
        <v>1.69</v>
      </c>
      <c r="G1280" s="9" t="n">
        <v>0</v>
      </c>
      <c r="H1280" s="9" t="n">
        <v>0</v>
      </c>
      <c r="I1280" s="9" t="n">
        <v>0</v>
      </c>
      <c r="J1280" s="7" t="s">
        <v>18</v>
      </c>
      <c r="K1280" s="10" t="s">
        <v>1284</v>
      </c>
      <c r="L1280" s="7" t="s">
        <v>20</v>
      </c>
    </row>
    <row r="1281" customFormat="false" ht="22.35" hidden="false" customHeight="false" outlineLevel="0" collapsed="false">
      <c r="A1281" s="4" t="s">
        <v>1310</v>
      </c>
      <c r="B1281" s="4" t="s">
        <v>14</v>
      </c>
      <c r="C1281" s="4" t="s">
        <v>929</v>
      </c>
      <c r="D1281" s="4" t="s">
        <v>930</v>
      </c>
      <c r="E1281" s="4" t="s">
        <v>44</v>
      </c>
      <c r="F1281" s="5" t="n">
        <v>3.23</v>
      </c>
      <c r="G1281" s="6" t="n">
        <v>0</v>
      </c>
      <c r="H1281" s="6" t="n">
        <v>0</v>
      </c>
      <c r="I1281" s="6" t="n">
        <v>0</v>
      </c>
      <c r="J1281" s="4" t="s">
        <v>18</v>
      </c>
      <c r="K1281" s="4" t="s">
        <v>19</v>
      </c>
      <c r="L1281" s="4" t="s">
        <v>20</v>
      </c>
    </row>
    <row r="1282" customFormat="false" ht="22.35" hidden="false" customHeight="false" outlineLevel="0" collapsed="false">
      <c r="A1282" s="7" t="s">
        <v>1311</v>
      </c>
      <c r="B1282" s="7" t="s">
        <v>14</v>
      </c>
      <c r="C1282" s="7" t="s">
        <v>929</v>
      </c>
      <c r="D1282" s="7" t="s">
        <v>930</v>
      </c>
      <c r="E1282" s="7" t="s">
        <v>44</v>
      </c>
      <c r="F1282" s="8" t="n">
        <v>3.0821</v>
      </c>
      <c r="G1282" s="9" t="n">
        <v>0</v>
      </c>
      <c r="H1282" s="9" t="n">
        <v>0</v>
      </c>
      <c r="I1282" s="9" t="n">
        <v>0</v>
      </c>
      <c r="J1282" s="7" t="s">
        <v>18</v>
      </c>
      <c r="K1282" s="7" t="s">
        <v>19</v>
      </c>
      <c r="L1282" s="7" t="s">
        <v>20</v>
      </c>
    </row>
    <row r="1283" customFormat="false" ht="22.35" hidden="false" customHeight="false" outlineLevel="0" collapsed="false">
      <c r="A1283" s="4" t="s">
        <v>1312</v>
      </c>
      <c r="B1283" s="4" t="s">
        <v>14</v>
      </c>
      <c r="C1283" s="4" t="s">
        <v>929</v>
      </c>
      <c r="D1283" s="4" t="s">
        <v>930</v>
      </c>
      <c r="E1283" s="4" t="s">
        <v>44</v>
      </c>
      <c r="F1283" s="5" t="n">
        <v>3</v>
      </c>
      <c r="G1283" s="6" t="n">
        <v>0</v>
      </c>
      <c r="H1283" s="6" t="n">
        <v>0</v>
      </c>
      <c r="I1283" s="6" t="n">
        <v>0</v>
      </c>
      <c r="J1283" s="4" t="s">
        <v>18</v>
      </c>
      <c r="K1283" s="4" t="s">
        <v>19</v>
      </c>
      <c r="L1283" s="4" t="s">
        <v>20</v>
      </c>
    </row>
    <row r="1284" customFormat="false" ht="22.35" hidden="false" customHeight="false" outlineLevel="0" collapsed="false">
      <c r="A1284" s="7" t="s">
        <v>1313</v>
      </c>
      <c r="B1284" s="7" t="s">
        <v>14</v>
      </c>
      <c r="C1284" s="7" t="s">
        <v>929</v>
      </c>
      <c r="D1284" s="7" t="s">
        <v>930</v>
      </c>
      <c r="E1284" s="7" t="s">
        <v>44</v>
      </c>
      <c r="F1284" s="8" t="n">
        <v>1.258</v>
      </c>
      <c r="G1284" s="9" t="n">
        <v>0</v>
      </c>
      <c r="H1284" s="9" t="n">
        <v>0</v>
      </c>
      <c r="I1284" s="9" t="n">
        <v>0</v>
      </c>
      <c r="J1284" s="7" t="s">
        <v>18</v>
      </c>
      <c r="K1284" s="10" t="s">
        <v>1284</v>
      </c>
      <c r="L1284" s="7" t="s">
        <v>20</v>
      </c>
    </row>
    <row r="1285" customFormat="false" ht="22.35" hidden="false" customHeight="false" outlineLevel="0" collapsed="false">
      <c r="A1285" s="4" t="s">
        <v>1314</v>
      </c>
      <c r="B1285" s="4" t="s">
        <v>14</v>
      </c>
      <c r="C1285" s="4" t="s">
        <v>929</v>
      </c>
      <c r="D1285" s="4" t="s">
        <v>930</v>
      </c>
      <c r="E1285" s="4" t="s">
        <v>44</v>
      </c>
      <c r="F1285" s="5" t="n">
        <v>0.6607</v>
      </c>
      <c r="G1285" s="6" t="n">
        <v>0</v>
      </c>
      <c r="H1285" s="6" t="n">
        <v>0</v>
      </c>
      <c r="I1285" s="6" t="n">
        <v>0</v>
      </c>
      <c r="J1285" s="4" t="s">
        <v>18</v>
      </c>
      <c r="K1285" s="10" t="s">
        <v>1284</v>
      </c>
      <c r="L1285" s="4" t="s">
        <v>20</v>
      </c>
    </row>
    <row r="1286" customFormat="false" ht="22.35" hidden="false" customHeight="false" outlineLevel="0" collapsed="false">
      <c r="A1286" s="7" t="s">
        <v>1315</v>
      </c>
      <c r="B1286" s="7" t="s">
        <v>14</v>
      </c>
      <c r="C1286" s="7" t="s">
        <v>929</v>
      </c>
      <c r="D1286" s="7" t="s">
        <v>930</v>
      </c>
      <c r="E1286" s="7" t="s">
        <v>44</v>
      </c>
      <c r="F1286" s="8" t="n">
        <v>4.9</v>
      </c>
      <c r="G1286" s="9" t="n">
        <v>0</v>
      </c>
      <c r="H1286" s="9" t="n">
        <v>0</v>
      </c>
      <c r="I1286" s="9" t="n">
        <v>0</v>
      </c>
      <c r="J1286" s="7" t="s">
        <v>18</v>
      </c>
      <c r="K1286" s="7" t="s">
        <v>19</v>
      </c>
      <c r="L1286" s="7" t="s">
        <v>20</v>
      </c>
    </row>
    <row r="1287" customFormat="false" ht="22.35" hidden="false" customHeight="false" outlineLevel="0" collapsed="false">
      <c r="A1287" s="4" t="s">
        <v>1316</v>
      </c>
      <c r="B1287" s="4" t="s">
        <v>14</v>
      </c>
      <c r="C1287" s="4" t="s">
        <v>929</v>
      </c>
      <c r="D1287" s="4" t="s">
        <v>930</v>
      </c>
      <c r="E1287" s="4" t="s">
        <v>44</v>
      </c>
      <c r="F1287" s="5" t="n">
        <v>2.3351</v>
      </c>
      <c r="G1287" s="6" t="n">
        <v>0</v>
      </c>
      <c r="H1287" s="6" t="n">
        <v>0</v>
      </c>
      <c r="I1287" s="6" t="n">
        <v>0</v>
      </c>
      <c r="J1287" s="4" t="s">
        <v>18</v>
      </c>
      <c r="K1287" s="4" t="s">
        <v>19</v>
      </c>
      <c r="L1287" s="4" t="s">
        <v>20</v>
      </c>
    </row>
    <row r="1288" customFormat="false" ht="22.35" hidden="false" customHeight="false" outlineLevel="0" collapsed="false">
      <c r="A1288" s="7" t="s">
        <v>1317</v>
      </c>
      <c r="B1288" s="7" t="s">
        <v>14</v>
      </c>
      <c r="C1288" s="7" t="s">
        <v>929</v>
      </c>
      <c r="D1288" s="7" t="s">
        <v>930</v>
      </c>
      <c r="E1288" s="7" t="s">
        <v>44</v>
      </c>
      <c r="F1288" s="8" t="n">
        <v>4.0772</v>
      </c>
      <c r="G1288" s="9" t="n">
        <v>0</v>
      </c>
      <c r="H1288" s="9" t="n">
        <v>0</v>
      </c>
      <c r="I1288" s="9" t="n">
        <v>0</v>
      </c>
      <c r="J1288" s="7" t="s">
        <v>18</v>
      </c>
      <c r="K1288" s="10" t="s">
        <v>1284</v>
      </c>
      <c r="L1288" s="7" t="s">
        <v>20</v>
      </c>
    </row>
    <row r="1289" customFormat="false" ht="22.35" hidden="false" customHeight="false" outlineLevel="0" collapsed="false">
      <c r="A1289" s="4" t="s">
        <v>1318</v>
      </c>
      <c r="B1289" s="4" t="s">
        <v>14</v>
      </c>
      <c r="C1289" s="4" t="s">
        <v>929</v>
      </c>
      <c r="D1289" s="4" t="s">
        <v>930</v>
      </c>
      <c r="E1289" s="4" t="s">
        <v>44</v>
      </c>
      <c r="F1289" s="5" t="n">
        <v>1.3131</v>
      </c>
      <c r="G1289" s="6" t="n">
        <v>0</v>
      </c>
      <c r="H1289" s="6" t="n">
        <v>0</v>
      </c>
      <c r="I1289" s="6" t="n">
        <v>0</v>
      </c>
      <c r="J1289" s="4" t="s">
        <v>18</v>
      </c>
      <c r="K1289" s="4" t="s">
        <v>19</v>
      </c>
      <c r="L1289" s="4" t="s">
        <v>20</v>
      </c>
    </row>
    <row r="1290" customFormat="false" ht="22.35" hidden="false" customHeight="false" outlineLevel="0" collapsed="false">
      <c r="A1290" s="7" t="s">
        <v>1319</v>
      </c>
      <c r="B1290" s="7" t="s">
        <v>14</v>
      </c>
      <c r="C1290" s="7" t="s">
        <v>929</v>
      </c>
      <c r="D1290" s="7" t="s">
        <v>930</v>
      </c>
      <c r="E1290" s="7" t="s">
        <v>17</v>
      </c>
      <c r="F1290" s="8" t="n">
        <v>3.79</v>
      </c>
      <c r="G1290" s="9" t="n">
        <v>0</v>
      </c>
      <c r="H1290" s="9" t="n">
        <v>0</v>
      </c>
      <c r="I1290" s="9" t="n">
        <v>0</v>
      </c>
      <c r="J1290" s="7" t="s">
        <v>18</v>
      </c>
      <c r="K1290" s="7" t="s">
        <v>19</v>
      </c>
      <c r="L1290" s="7" t="s">
        <v>20</v>
      </c>
    </row>
    <row r="1291" customFormat="false" ht="22.35" hidden="false" customHeight="false" outlineLevel="0" collapsed="false">
      <c r="A1291" s="4" t="s">
        <v>1320</v>
      </c>
      <c r="B1291" s="4" t="s">
        <v>14</v>
      </c>
      <c r="C1291" s="4" t="s">
        <v>929</v>
      </c>
      <c r="D1291" s="4" t="s">
        <v>930</v>
      </c>
      <c r="E1291" s="4" t="s">
        <v>44</v>
      </c>
      <c r="F1291" s="5" t="n">
        <v>3.72</v>
      </c>
      <c r="G1291" s="6" t="n">
        <v>0</v>
      </c>
      <c r="H1291" s="6" t="n">
        <v>0</v>
      </c>
      <c r="I1291" s="6" t="n">
        <v>0</v>
      </c>
      <c r="J1291" s="4" t="s">
        <v>18</v>
      </c>
      <c r="K1291" s="4" t="s">
        <v>19</v>
      </c>
      <c r="L1291" s="4" t="s">
        <v>20</v>
      </c>
    </row>
    <row r="1292" customFormat="false" ht="22.35" hidden="false" customHeight="false" outlineLevel="0" collapsed="false">
      <c r="A1292" s="7" t="s">
        <v>1321</v>
      </c>
      <c r="B1292" s="7" t="s">
        <v>14</v>
      </c>
      <c r="C1292" s="7" t="s">
        <v>929</v>
      </c>
      <c r="D1292" s="7" t="s">
        <v>930</v>
      </c>
      <c r="E1292" s="7" t="s">
        <v>44</v>
      </c>
      <c r="F1292" s="8" t="n">
        <v>228.07</v>
      </c>
      <c r="G1292" s="9" t="n">
        <v>0</v>
      </c>
      <c r="H1292" s="9" t="n">
        <v>0</v>
      </c>
      <c r="I1292" s="9" t="n">
        <v>0</v>
      </c>
      <c r="J1292" s="7" t="s">
        <v>18</v>
      </c>
      <c r="K1292" s="7" t="s">
        <v>19</v>
      </c>
      <c r="L1292" s="7" t="s">
        <v>20</v>
      </c>
    </row>
    <row r="1293" customFormat="false" ht="22.35" hidden="false" customHeight="false" outlineLevel="0" collapsed="false">
      <c r="A1293" s="4" t="s">
        <v>1322</v>
      </c>
      <c r="B1293" s="4" t="s">
        <v>14</v>
      </c>
      <c r="C1293" s="4" t="s">
        <v>929</v>
      </c>
      <c r="D1293" s="4" t="s">
        <v>930</v>
      </c>
      <c r="E1293" s="4" t="s">
        <v>44</v>
      </c>
      <c r="F1293" s="5" t="n">
        <v>0</v>
      </c>
      <c r="G1293" s="6" t="n">
        <v>0</v>
      </c>
      <c r="H1293" s="6" t="n">
        <v>0</v>
      </c>
      <c r="I1293" s="6" t="n">
        <v>0</v>
      </c>
      <c r="J1293" s="4" t="s">
        <v>18</v>
      </c>
      <c r="K1293" s="4" t="s">
        <v>19</v>
      </c>
      <c r="L1293" s="4" t="s">
        <v>20</v>
      </c>
    </row>
    <row r="1294" customFormat="false" ht="22.35" hidden="false" customHeight="false" outlineLevel="0" collapsed="false">
      <c r="A1294" s="7" t="s">
        <v>1323</v>
      </c>
      <c r="B1294" s="7" t="s">
        <v>14</v>
      </c>
      <c r="C1294" s="7" t="s">
        <v>929</v>
      </c>
      <c r="D1294" s="7" t="s">
        <v>930</v>
      </c>
      <c r="E1294" s="7" t="s">
        <v>44</v>
      </c>
      <c r="F1294" s="8" t="n">
        <v>0</v>
      </c>
      <c r="G1294" s="9" t="n">
        <v>0</v>
      </c>
      <c r="H1294" s="9" t="n">
        <v>0</v>
      </c>
      <c r="I1294" s="9" t="n">
        <v>0</v>
      </c>
      <c r="J1294" s="7" t="s">
        <v>18</v>
      </c>
      <c r="K1294" s="7" t="s">
        <v>19</v>
      </c>
      <c r="L1294" s="7" t="s">
        <v>20</v>
      </c>
    </row>
    <row r="1295" customFormat="false" ht="22.35" hidden="false" customHeight="false" outlineLevel="0" collapsed="false">
      <c r="A1295" s="4" t="s">
        <v>1324</v>
      </c>
      <c r="B1295" s="4" t="s">
        <v>14</v>
      </c>
      <c r="C1295" s="4" t="s">
        <v>929</v>
      </c>
      <c r="D1295" s="4" t="s">
        <v>930</v>
      </c>
      <c r="E1295" s="4" t="s">
        <v>44</v>
      </c>
      <c r="F1295" s="5" t="n">
        <v>0</v>
      </c>
      <c r="G1295" s="6" t="n">
        <v>0</v>
      </c>
      <c r="H1295" s="6" t="n">
        <v>0</v>
      </c>
      <c r="I1295" s="6" t="n">
        <v>0</v>
      </c>
      <c r="J1295" s="4" t="s">
        <v>18</v>
      </c>
      <c r="K1295" s="4" t="s">
        <v>19</v>
      </c>
      <c r="L1295" s="4" t="s">
        <v>20</v>
      </c>
    </row>
    <row r="1296" customFormat="false" ht="22.35" hidden="false" customHeight="false" outlineLevel="0" collapsed="false">
      <c r="A1296" s="7" t="s">
        <v>1325</v>
      </c>
      <c r="B1296" s="7" t="s">
        <v>14</v>
      </c>
      <c r="C1296" s="7" t="s">
        <v>929</v>
      </c>
      <c r="D1296" s="7" t="s">
        <v>930</v>
      </c>
      <c r="E1296" s="7" t="s">
        <v>44</v>
      </c>
      <c r="F1296" s="8" t="n">
        <v>0</v>
      </c>
      <c r="G1296" s="9" t="n">
        <v>0</v>
      </c>
      <c r="H1296" s="9" t="n">
        <v>0</v>
      </c>
      <c r="I1296" s="9" t="n">
        <v>0</v>
      </c>
      <c r="J1296" s="7" t="s">
        <v>18</v>
      </c>
      <c r="K1296" s="7" t="s">
        <v>19</v>
      </c>
      <c r="L1296" s="7" t="s">
        <v>20</v>
      </c>
    </row>
    <row r="1297" customFormat="false" ht="22.35" hidden="false" customHeight="false" outlineLevel="0" collapsed="false">
      <c r="A1297" s="4" t="s">
        <v>1326</v>
      </c>
      <c r="B1297" s="4" t="s">
        <v>14</v>
      </c>
      <c r="C1297" s="4" t="s">
        <v>929</v>
      </c>
      <c r="D1297" s="4" t="s">
        <v>930</v>
      </c>
      <c r="E1297" s="4" t="s">
        <v>44</v>
      </c>
      <c r="F1297" s="5" t="n">
        <v>0</v>
      </c>
      <c r="G1297" s="6" t="n">
        <v>0</v>
      </c>
      <c r="H1297" s="6" t="n">
        <v>0</v>
      </c>
      <c r="I1297" s="6" t="n">
        <v>0</v>
      </c>
      <c r="J1297" s="4" t="s">
        <v>18</v>
      </c>
      <c r="K1297" s="4" t="s">
        <v>19</v>
      </c>
      <c r="L1297" s="4" t="s">
        <v>20</v>
      </c>
    </row>
    <row r="1298" customFormat="false" ht="22.35" hidden="false" customHeight="false" outlineLevel="0" collapsed="false">
      <c r="A1298" s="7" t="s">
        <v>1327</v>
      </c>
      <c r="B1298" s="7" t="s">
        <v>14</v>
      </c>
      <c r="C1298" s="7" t="s">
        <v>929</v>
      </c>
      <c r="D1298" s="7" t="s">
        <v>930</v>
      </c>
      <c r="E1298" s="7" t="s">
        <v>44</v>
      </c>
      <c r="F1298" s="8" t="n">
        <v>0</v>
      </c>
      <c r="G1298" s="9" t="n">
        <v>0</v>
      </c>
      <c r="H1298" s="9" t="n">
        <v>0</v>
      </c>
      <c r="I1298" s="9" t="n">
        <v>0</v>
      </c>
      <c r="J1298" s="7" t="s">
        <v>18</v>
      </c>
      <c r="K1298" s="7" t="s">
        <v>19</v>
      </c>
      <c r="L1298" s="7" t="s">
        <v>20</v>
      </c>
    </row>
    <row r="1299" customFormat="false" ht="22.35" hidden="false" customHeight="false" outlineLevel="0" collapsed="false">
      <c r="A1299" s="4" t="s">
        <v>1328</v>
      </c>
      <c r="B1299" s="4" t="s">
        <v>14</v>
      </c>
      <c r="C1299" s="4" t="s">
        <v>929</v>
      </c>
      <c r="D1299" s="4" t="s">
        <v>930</v>
      </c>
      <c r="E1299" s="4" t="s">
        <v>44</v>
      </c>
      <c r="F1299" s="5" t="n">
        <v>0</v>
      </c>
      <c r="G1299" s="6" t="n">
        <v>0</v>
      </c>
      <c r="H1299" s="6" t="n">
        <v>0</v>
      </c>
      <c r="I1299" s="6" t="n">
        <v>0</v>
      </c>
      <c r="J1299" s="4" t="s">
        <v>18</v>
      </c>
      <c r="K1299" s="4" t="s">
        <v>19</v>
      </c>
      <c r="L1299" s="4" t="s">
        <v>20</v>
      </c>
    </row>
    <row r="1300" customFormat="false" ht="22.35" hidden="false" customHeight="false" outlineLevel="0" collapsed="false">
      <c r="A1300" s="7" t="s">
        <v>1329</v>
      </c>
      <c r="B1300" s="7" t="s">
        <v>14</v>
      </c>
      <c r="C1300" s="7" t="s">
        <v>929</v>
      </c>
      <c r="D1300" s="7" t="s">
        <v>930</v>
      </c>
      <c r="E1300" s="7" t="s">
        <v>44</v>
      </c>
      <c r="F1300" s="8" t="n">
        <v>0</v>
      </c>
      <c r="G1300" s="9" t="n">
        <v>0</v>
      </c>
      <c r="H1300" s="9" t="n">
        <v>0</v>
      </c>
      <c r="I1300" s="9" t="n">
        <v>0</v>
      </c>
      <c r="J1300" s="7" t="s">
        <v>18</v>
      </c>
      <c r="K1300" s="7" t="s">
        <v>19</v>
      </c>
      <c r="L1300" s="7" t="s">
        <v>20</v>
      </c>
    </row>
    <row r="1301" customFormat="false" ht="22.35" hidden="false" customHeight="false" outlineLevel="0" collapsed="false">
      <c r="A1301" s="4" t="s">
        <v>1330</v>
      </c>
      <c r="B1301" s="4" t="s">
        <v>14</v>
      </c>
      <c r="C1301" s="4" t="s">
        <v>929</v>
      </c>
      <c r="D1301" s="4" t="s">
        <v>930</v>
      </c>
      <c r="E1301" s="4" t="s">
        <v>44</v>
      </c>
      <c r="F1301" s="5" t="n">
        <v>0</v>
      </c>
      <c r="G1301" s="6" t="n">
        <v>0</v>
      </c>
      <c r="H1301" s="6" t="n">
        <v>0</v>
      </c>
      <c r="I1301" s="6" t="n">
        <v>0</v>
      </c>
      <c r="J1301" s="4" t="s">
        <v>18</v>
      </c>
      <c r="K1301" s="4" t="s">
        <v>19</v>
      </c>
      <c r="L1301" s="4" t="s">
        <v>20</v>
      </c>
    </row>
    <row r="1302" customFormat="false" ht="22.35" hidden="false" customHeight="false" outlineLevel="0" collapsed="false">
      <c r="A1302" s="7" t="s">
        <v>1331</v>
      </c>
      <c r="B1302" s="7" t="s">
        <v>14</v>
      </c>
      <c r="C1302" s="7" t="s">
        <v>929</v>
      </c>
      <c r="D1302" s="7" t="s">
        <v>930</v>
      </c>
      <c r="E1302" s="7" t="s">
        <v>44</v>
      </c>
      <c r="F1302" s="8" t="n">
        <v>0</v>
      </c>
      <c r="G1302" s="9" t="n">
        <v>0</v>
      </c>
      <c r="H1302" s="9" t="n">
        <v>0</v>
      </c>
      <c r="I1302" s="9" t="n">
        <v>0</v>
      </c>
      <c r="J1302" s="7" t="s">
        <v>18</v>
      </c>
      <c r="K1302" s="7" t="s">
        <v>19</v>
      </c>
      <c r="L1302" s="7" t="s">
        <v>20</v>
      </c>
    </row>
    <row r="1303" customFormat="false" ht="22.35" hidden="false" customHeight="false" outlineLevel="0" collapsed="false">
      <c r="A1303" s="4" t="s">
        <v>1332</v>
      </c>
      <c r="B1303" s="4" t="s">
        <v>14</v>
      </c>
      <c r="C1303" s="4" t="s">
        <v>929</v>
      </c>
      <c r="D1303" s="4" t="s">
        <v>930</v>
      </c>
      <c r="E1303" s="4" t="s">
        <v>44</v>
      </c>
      <c r="F1303" s="5" t="n">
        <v>0</v>
      </c>
      <c r="G1303" s="6" t="n">
        <v>0</v>
      </c>
      <c r="H1303" s="6" t="n">
        <v>0</v>
      </c>
      <c r="I1303" s="6" t="n">
        <v>0</v>
      </c>
      <c r="J1303" s="4" t="s">
        <v>18</v>
      </c>
      <c r="K1303" s="4" t="s">
        <v>19</v>
      </c>
      <c r="L1303" s="4" t="s">
        <v>20</v>
      </c>
    </row>
    <row r="1304" customFormat="false" ht="22.35" hidden="false" customHeight="false" outlineLevel="0" collapsed="false">
      <c r="A1304" s="7" t="s">
        <v>1333</v>
      </c>
      <c r="B1304" s="7" t="s">
        <v>14</v>
      </c>
      <c r="C1304" s="7" t="s">
        <v>929</v>
      </c>
      <c r="D1304" s="7" t="s">
        <v>930</v>
      </c>
      <c r="E1304" s="7" t="s">
        <v>44</v>
      </c>
      <c r="F1304" s="8" t="n">
        <v>0</v>
      </c>
      <c r="G1304" s="9" t="n">
        <v>0</v>
      </c>
      <c r="H1304" s="9" t="n">
        <v>0</v>
      </c>
      <c r="I1304" s="9" t="n">
        <v>0</v>
      </c>
      <c r="J1304" s="7" t="s">
        <v>18</v>
      </c>
      <c r="K1304" s="7" t="s">
        <v>19</v>
      </c>
      <c r="L1304" s="7" t="s">
        <v>20</v>
      </c>
    </row>
    <row r="1305" customFormat="false" ht="22.35" hidden="false" customHeight="false" outlineLevel="0" collapsed="false">
      <c r="A1305" s="4" t="s">
        <v>1334</v>
      </c>
      <c r="B1305" s="4" t="s">
        <v>14</v>
      </c>
      <c r="C1305" s="4" t="s">
        <v>929</v>
      </c>
      <c r="D1305" s="4" t="s">
        <v>930</v>
      </c>
      <c r="E1305" s="4" t="s">
        <v>44</v>
      </c>
      <c r="F1305" s="5" t="n">
        <v>0</v>
      </c>
      <c r="G1305" s="6" t="n">
        <v>0</v>
      </c>
      <c r="H1305" s="6" t="n">
        <v>0</v>
      </c>
      <c r="I1305" s="6" t="n">
        <v>0</v>
      </c>
      <c r="J1305" s="4" t="s">
        <v>18</v>
      </c>
      <c r="K1305" s="4" t="s">
        <v>19</v>
      </c>
      <c r="L1305" s="4" t="s">
        <v>20</v>
      </c>
    </row>
    <row r="1306" customFormat="false" ht="22.35" hidden="false" customHeight="false" outlineLevel="0" collapsed="false">
      <c r="A1306" s="7" t="s">
        <v>1335</v>
      </c>
      <c r="B1306" s="7" t="s">
        <v>14</v>
      </c>
      <c r="C1306" s="7" t="s">
        <v>929</v>
      </c>
      <c r="D1306" s="7" t="s">
        <v>930</v>
      </c>
      <c r="E1306" s="7" t="s">
        <v>44</v>
      </c>
      <c r="F1306" s="8" t="n">
        <v>0</v>
      </c>
      <c r="G1306" s="9" t="n">
        <v>0</v>
      </c>
      <c r="H1306" s="9" t="n">
        <v>0</v>
      </c>
      <c r="I1306" s="9" t="n">
        <v>0</v>
      </c>
      <c r="J1306" s="7" t="s">
        <v>18</v>
      </c>
      <c r="K1306" s="7" t="s">
        <v>19</v>
      </c>
      <c r="L1306" s="7" t="s">
        <v>20</v>
      </c>
    </row>
    <row r="1307" customFormat="false" ht="22.35" hidden="false" customHeight="false" outlineLevel="0" collapsed="false">
      <c r="A1307" s="4" t="s">
        <v>1336</v>
      </c>
      <c r="B1307" s="4" t="s">
        <v>14</v>
      </c>
      <c r="C1307" s="4" t="s">
        <v>929</v>
      </c>
      <c r="D1307" s="4" t="s">
        <v>930</v>
      </c>
      <c r="E1307" s="4" t="s">
        <v>44</v>
      </c>
      <c r="F1307" s="5" t="n">
        <v>0</v>
      </c>
      <c r="G1307" s="6" t="n">
        <v>0</v>
      </c>
      <c r="H1307" s="6" t="n">
        <v>0</v>
      </c>
      <c r="I1307" s="6" t="n">
        <v>0</v>
      </c>
      <c r="J1307" s="4" t="s">
        <v>18</v>
      </c>
      <c r="K1307" s="4" t="s">
        <v>19</v>
      </c>
      <c r="L1307" s="4" t="s">
        <v>20</v>
      </c>
    </row>
    <row r="1308" customFormat="false" ht="22.35" hidden="false" customHeight="false" outlineLevel="0" collapsed="false">
      <c r="A1308" s="7" t="s">
        <v>1337</v>
      </c>
      <c r="B1308" s="7" t="s">
        <v>14</v>
      </c>
      <c r="C1308" s="7" t="s">
        <v>929</v>
      </c>
      <c r="D1308" s="7" t="s">
        <v>930</v>
      </c>
      <c r="E1308" s="7" t="s">
        <v>44</v>
      </c>
      <c r="F1308" s="8" t="n">
        <v>0</v>
      </c>
      <c r="G1308" s="9" t="n">
        <v>0</v>
      </c>
      <c r="H1308" s="9" t="n">
        <v>0</v>
      </c>
      <c r="I1308" s="9" t="n">
        <v>0</v>
      </c>
      <c r="J1308" s="7" t="s">
        <v>18</v>
      </c>
      <c r="K1308" s="7" t="s">
        <v>19</v>
      </c>
      <c r="L1308" s="7" t="s">
        <v>20</v>
      </c>
    </row>
    <row r="1309" customFormat="false" ht="22.35" hidden="false" customHeight="false" outlineLevel="0" collapsed="false">
      <c r="A1309" s="4" t="s">
        <v>1338</v>
      </c>
      <c r="B1309" s="4" t="s">
        <v>14</v>
      </c>
      <c r="C1309" s="4" t="s">
        <v>929</v>
      </c>
      <c r="D1309" s="4" t="s">
        <v>930</v>
      </c>
      <c r="E1309" s="4" t="s">
        <v>44</v>
      </c>
      <c r="F1309" s="5" t="n">
        <v>0</v>
      </c>
      <c r="G1309" s="6" t="n">
        <v>0</v>
      </c>
      <c r="H1309" s="6" t="n">
        <v>0</v>
      </c>
      <c r="I1309" s="6" t="n">
        <v>0</v>
      </c>
      <c r="J1309" s="4" t="s">
        <v>18</v>
      </c>
      <c r="K1309" s="4" t="s">
        <v>19</v>
      </c>
      <c r="L1309" s="4" t="s">
        <v>20</v>
      </c>
    </row>
    <row r="1310" customFormat="false" ht="22.35" hidden="false" customHeight="false" outlineLevel="0" collapsed="false">
      <c r="A1310" s="7" t="s">
        <v>1339</v>
      </c>
      <c r="B1310" s="7" t="s">
        <v>14</v>
      </c>
      <c r="C1310" s="7" t="s">
        <v>929</v>
      </c>
      <c r="D1310" s="7" t="s">
        <v>930</v>
      </c>
      <c r="E1310" s="7" t="s">
        <v>44</v>
      </c>
      <c r="F1310" s="8" t="n">
        <v>0</v>
      </c>
      <c r="G1310" s="9" t="n">
        <v>0</v>
      </c>
      <c r="H1310" s="9" t="n">
        <v>0</v>
      </c>
      <c r="I1310" s="9" t="n">
        <v>0</v>
      </c>
      <c r="J1310" s="7" t="s">
        <v>18</v>
      </c>
      <c r="K1310" s="7" t="s">
        <v>19</v>
      </c>
      <c r="L1310" s="7" t="s">
        <v>20</v>
      </c>
    </row>
    <row r="1311" customFormat="false" ht="22.35" hidden="false" customHeight="false" outlineLevel="0" collapsed="false">
      <c r="A1311" s="4" t="s">
        <v>1340</v>
      </c>
      <c r="B1311" s="4" t="s">
        <v>14</v>
      </c>
      <c r="C1311" s="4" t="s">
        <v>929</v>
      </c>
      <c r="D1311" s="4" t="s">
        <v>930</v>
      </c>
      <c r="E1311" s="4" t="s">
        <v>44</v>
      </c>
      <c r="F1311" s="5" t="n">
        <v>0</v>
      </c>
      <c r="G1311" s="6" t="n">
        <v>0</v>
      </c>
      <c r="H1311" s="6" t="n">
        <v>0</v>
      </c>
      <c r="I1311" s="6" t="n">
        <v>0</v>
      </c>
      <c r="J1311" s="4" t="s">
        <v>18</v>
      </c>
      <c r="K1311" s="4" t="s">
        <v>19</v>
      </c>
      <c r="L1311" s="4" t="s">
        <v>20</v>
      </c>
    </row>
    <row r="1312" customFormat="false" ht="22.35" hidden="false" customHeight="false" outlineLevel="0" collapsed="false">
      <c r="A1312" s="7" t="s">
        <v>1341</v>
      </c>
      <c r="B1312" s="7" t="s">
        <v>14</v>
      </c>
      <c r="C1312" s="7" t="s">
        <v>929</v>
      </c>
      <c r="D1312" s="7" t="s">
        <v>930</v>
      </c>
      <c r="E1312" s="7" t="s">
        <v>44</v>
      </c>
      <c r="F1312" s="8" t="n">
        <v>0</v>
      </c>
      <c r="G1312" s="9" t="n">
        <v>0</v>
      </c>
      <c r="H1312" s="9" t="n">
        <v>0</v>
      </c>
      <c r="I1312" s="9" t="n">
        <v>0</v>
      </c>
      <c r="J1312" s="7" t="s">
        <v>18</v>
      </c>
      <c r="K1312" s="7" t="s">
        <v>19</v>
      </c>
      <c r="L1312" s="7" t="s">
        <v>20</v>
      </c>
    </row>
    <row r="1313" customFormat="false" ht="22.35" hidden="false" customHeight="false" outlineLevel="0" collapsed="false">
      <c r="A1313" s="4" t="s">
        <v>1342</v>
      </c>
      <c r="B1313" s="4" t="s">
        <v>14</v>
      </c>
      <c r="C1313" s="4" t="s">
        <v>929</v>
      </c>
      <c r="D1313" s="4" t="s">
        <v>930</v>
      </c>
      <c r="E1313" s="4" t="s">
        <v>44</v>
      </c>
      <c r="F1313" s="5" t="n">
        <v>0</v>
      </c>
      <c r="G1313" s="6" t="n">
        <v>0</v>
      </c>
      <c r="H1313" s="6" t="n">
        <v>0</v>
      </c>
      <c r="I1313" s="6" t="n">
        <v>0</v>
      </c>
      <c r="J1313" s="4" t="s">
        <v>18</v>
      </c>
      <c r="K1313" s="4" t="s">
        <v>19</v>
      </c>
      <c r="L1313" s="4" t="s">
        <v>20</v>
      </c>
    </row>
    <row r="1314" customFormat="false" ht="22.35" hidden="false" customHeight="false" outlineLevel="0" collapsed="false">
      <c r="A1314" s="7" t="s">
        <v>1343</v>
      </c>
      <c r="B1314" s="7" t="s">
        <v>14</v>
      </c>
      <c r="C1314" s="7" t="s">
        <v>929</v>
      </c>
      <c r="D1314" s="7" t="s">
        <v>930</v>
      </c>
      <c r="E1314" s="7" t="s">
        <v>44</v>
      </c>
      <c r="F1314" s="8" t="n">
        <v>0</v>
      </c>
      <c r="G1314" s="9" t="n">
        <v>0</v>
      </c>
      <c r="H1314" s="9" t="n">
        <v>0</v>
      </c>
      <c r="I1314" s="9" t="n">
        <v>0</v>
      </c>
      <c r="J1314" s="7" t="s">
        <v>18</v>
      </c>
      <c r="K1314" s="7" t="s">
        <v>19</v>
      </c>
      <c r="L1314" s="7" t="s">
        <v>20</v>
      </c>
    </row>
    <row r="1315" customFormat="false" ht="22.35" hidden="false" customHeight="false" outlineLevel="0" collapsed="false">
      <c r="A1315" s="4" t="s">
        <v>1344</v>
      </c>
      <c r="B1315" s="4" t="s">
        <v>14</v>
      </c>
      <c r="C1315" s="4" t="s">
        <v>929</v>
      </c>
      <c r="D1315" s="4" t="s">
        <v>930</v>
      </c>
      <c r="E1315" s="4" t="s">
        <v>44</v>
      </c>
      <c r="F1315" s="5" t="n">
        <v>0</v>
      </c>
      <c r="G1315" s="6" t="n">
        <v>0</v>
      </c>
      <c r="H1315" s="6" t="n">
        <v>0</v>
      </c>
      <c r="I1315" s="6" t="n">
        <v>0</v>
      </c>
      <c r="J1315" s="4" t="s">
        <v>18</v>
      </c>
      <c r="K1315" s="4" t="s">
        <v>19</v>
      </c>
      <c r="L1315" s="4" t="s">
        <v>20</v>
      </c>
    </row>
    <row r="1316" customFormat="false" ht="22.35" hidden="false" customHeight="false" outlineLevel="0" collapsed="false">
      <c r="A1316" s="7" t="s">
        <v>1345</v>
      </c>
      <c r="B1316" s="7" t="s">
        <v>14</v>
      </c>
      <c r="C1316" s="7" t="s">
        <v>929</v>
      </c>
      <c r="D1316" s="7" t="s">
        <v>930</v>
      </c>
      <c r="E1316" s="7" t="s">
        <v>44</v>
      </c>
      <c r="F1316" s="8" t="n">
        <v>0</v>
      </c>
      <c r="G1316" s="9" t="n">
        <v>0</v>
      </c>
      <c r="H1316" s="9" t="n">
        <v>0</v>
      </c>
      <c r="I1316" s="9" t="n">
        <v>0</v>
      </c>
      <c r="J1316" s="7" t="s">
        <v>18</v>
      </c>
      <c r="K1316" s="7" t="s">
        <v>19</v>
      </c>
      <c r="L1316" s="7" t="s">
        <v>20</v>
      </c>
    </row>
    <row r="1317" customFormat="false" ht="22.35" hidden="false" customHeight="false" outlineLevel="0" collapsed="false">
      <c r="A1317" s="4" t="s">
        <v>1346</v>
      </c>
      <c r="B1317" s="4" t="s">
        <v>14</v>
      </c>
      <c r="C1317" s="4" t="s">
        <v>929</v>
      </c>
      <c r="D1317" s="4" t="s">
        <v>930</v>
      </c>
      <c r="E1317" s="4" t="s">
        <v>44</v>
      </c>
      <c r="F1317" s="5" t="n">
        <v>0</v>
      </c>
      <c r="G1317" s="6" t="n">
        <v>0</v>
      </c>
      <c r="H1317" s="6" t="n">
        <v>0</v>
      </c>
      <c r="I1317" s="6" t="n">
        <v>0</v>
      </c>
      <c r="J1317" s="4" t="s">
        <v>18</v>
      </c>
      <c r="K1317" s="4" t="s">
        <v>19</v>
      </c>
      <c r="L1317" s="4" t="s">
        <v>20</v>
      </c>
    </row>
    <row r="1318" customFormat="false" ht="22.35" hidden="false" customHeight="false" outlineLevel="0" collapsed="false">
      <c r="A1318" s="7" t="s">
        <v>1347</v>
      </c>
      <c r="B1318" s="7" t="s">
        <v>14</v>
      </c>
      <c r="C1318" s="7" t="s">
        <v>929</v>
      </c>
      <c r="D1318" s="7" t="s">
        <v>930</v>
      </c>
      <c r="E1318" s="7" t="s">
        <v>44</v>
      </c>
      <c r="F1318" s="8" t="n">
        <v>0</v>
      </c>
      <c r="G1318" s="9" t="n">
        <v>0</v>
      </c>
      <c r="H1318" s="9" t="n">
        <v>0</v>
      </c>
      <c r="I1318" s="9" t="n">
        <v>0</v>
      </c>
      <c r="J1318" s="7" t="s">
        <v>18</v>
      </c>
      <c r="K1318" s="7" t="s">
        <v>19</v>
      </c>
      <c r="L1318" s="7" t="s">
        <v>20</v>
      </c>
    </row>
    <row r="1319" customFormat="false" ht="22.35" hidden="false" customHeight="false" outlineLevel="0" collapsed="false">
      <c r="A1319" s="4" t="s">
        <v>1348</v>
      </c>
      <c r="B1319" s="4" t="s">
        <v>14</v>
      </c>
      <c r="C1319" s="4" t="s">
        <v>929</v>
      </c>
      <c r="D1319" s="4" t="s">
        <v>930</v>
      </c>
      <c r="E1319" s="4" t="s">
        <v>44</v>
      </c>
      <c r="F1319" s="5" t="n">
        <v>0</v>
      </c>
      <c r="G1319" s="6" t="n">
        <v>0</v>
      </c>
      <c r="H1319" s="6" t="n">
        <v>0</v>
      </c>
      <c r="I1319" s="6" t="n">
        <v>0</v>
      </c>
      <c r="J1319" s="4" t="s">
        <v>18</v>
      </c>
      <c r="K1319" s="4" t="s">
        <v>19</v>
      </c>
      <c r="L1319" s="4" t="s">
        <v>20</v>
      </c>
    </row>
    <row r="1320" customFormat="false" ht="22.35" hidden="false" customHeight="false" outlineLevel="0" collapsed="false">
      <c r="A1320" s="7" t="s">
        <v>1349</v>
      </c>
      <c r="B1320" s="7" t="s">
        <v>14</v>
      </c>
      <c r="C1320" s="7" t="s">
        <v>929</v>
      </c>
      <c r="D1320" s="7" t="s">
        <v>930</v>
      </c>
      <c r="E1320" s="7" t="s">
        <v>44</v>
      </c>
      <c r="F1320" s="8" t="n">
        <v>0</v>
      </c>
      <c r="G1320" s="9" t="n">
        <v>0</v>
      </c>
      <c r="H1320" s="9" t="n">
        <v>0</v>
      </c>
      <c r="I1320" s="9" t="n">
        <v>0</v>
      </c>
      <c r="J1320" s="7" t="s">
        <v>18</v>
      </c>
      <c r="K1320" s="7" t="s">
        <v>19</v>
      </c>
      <c r="L1320" s="7" t="s">
        <v>20</v>
      </c>
    </row>
    <row r="1321" customFormat="false" ht="22.35" hidden="false" customHeight="false" outlineLevel="0" collapsed="false">
      <c r="A1321" s="4" t="s">
        <v>1350</v>
      </c>
      <c r="B1321" s="4" t="s">
        <v>14</v>
      </c>
      <c r="C1321" s="4" t="s">
        <v>929</v>
      </c>
      <c r="D1321" s="4" t="s">
        <v>930</v>
      </c>
      <c r="E1321" s="4" t="s">
        <v>44</v>
      </c>
      <c r="F1321" s="5" t="n">
        <v>0</v>
      </c>
      <c r="G1321" s="6" t="n">
        <v>0</v>
      </c>
      <c r="H1321" s="6" t="n">
        <v>0</v>
      </c>
      <c r="I1321" s="6" t="n">
        <v>0</v>
      </c>
      <c r="J1321" s="4" t="s">
        <v>18</v>
      </c>
      <c r="K1321" s="4" t="s">
        <v>19</v>
      </c>
      <c r="L1321" s="4" t="s">
        <v>20</v>
      </c>
    </row>
    <row r="1322" customFormat="false" ht="22.35" hidden="false" customHeight="false" outlineLevel="0" collapsed="false">
      <c r="A1322" s="7" t="s">
        <v>1351</v>
      </c>
      <c r="B1322" s="7" t="s">
        <v>14</v>
      </c>
      <c r="C1322" s="7" t="s">
        <v>929</v>
      </c>
      <c r="D1322" s="7" t="s">
        <v>930</v>
      </c>
      <c r="E1322" s="7" t="s">
        <v>44</v>
      </c>
      <c r="F1322" s="8" t="n">
        <v>0</v>
      </c>
      <c r="G1322" s="9" t="n">
        <v>0</v>
      </c>
      <c r="H1322" s="9" t="n">
        <v>0</v>
      </c>
      <c r="I1322" s="9" t="n">
        <v>0</v>
      </c>
      <c r="J1322" s="7" t="s">
        <v>18</v>
      </c>
      <c r="K1322" s="7" t="s">
        <v>19</v>
      </c>
      <c r="L1322" s="7" t="s">
        <v>20</v>
      </c>
    </row>
    <row r="1323" customFormat="false" ht="22.35" hidden="false" customHeight="false" outlineLevel="0" collapsed="false">
      <c r="A1323" s="4" t="s">
        <v>1352</v>
      </c>
      <c r="B1323" s="4" t="s">
        <v>14</v>
      </c>
      <c r="C1323" s="4" t="s">
        <v>929</v>
      </c>
      <c r="D1323" s="4" t="s">
        <v>930</v>
      </c>
      <c r="E1323" s="4" t="s">
        <v>44</v>
      </c>
      <c r="F1323" s="5" t="n">
        <v>0</v>
      </c>
      <c r="G1323" s="6" t="n">
        <v>0</v>
      </c>
      <c r="H1323" s="6" t="n">
        <v>0</v>
      </c>
      <c r="I1323" s="6" t="n">
        <v>0</v>
      </c>
      <c r="J1323" s="4" t="s">
        <v>18</v>
      </c>
      <c r="K1323" s="4" t="s">
        <v>19</v>
      </c>
      <c r="L1323" s="4" t="s">
        <v>20</v>
      </c>
    </row>
    <row r="1324" customFormat="false" ht="22.35" hidden="false" customHeight="false" outlineLevel="0" collapsed="false">
      <c r="A1324" s="7" t="s">
        <v>1353</v>
      </c>
      <c r="B1324" s="7" t="s">
        <v>14</v>
      </c>
      <c r="C1324" s="7" t="s">
        <v>929</v>
      </c>
      <c r="D1324" s="7" t="s">
        <v>930</v>
      </c>
      <c r="E1324" s="7" t="s">
        <v>44</v>
      </c>
      <c r="F1324" s="8" t="n">
        <v>0</v>
      </c>
      <c r="G1324" s="9" t="n">
        <v>0</v>
      </c>
      <c r="H1324" s="9" t="n">
        <v>0</v>
      </c>
      <c r="I1324" s="9" t="n">
        <v>0</v>
      </c>
      <c r="J1324" s="7" t="s">
        <v>18</v>
      </c>
      <c r="K1324" s="7" t="s">
        <v>19</v>
      </c>
      <c r="L1324" s="7" t="s">
        <v>20</v>
      </c>
    </row>
    <row r="1325" customFormat="false" ht="22.35" hidden="false" customHeight="false" outlineLevel="0" collapsed="false">
      <c r="A1325" s="4" t="s">
        <v>1354</v>
      </c>
      <c r="B1325" s="4" t="s">
        <v>14</v>
      </c>
      <c r="C1325" s="4" t="s">
        <v>929</v>
      </c>
      <c r="D1325" s="4" t="s">
        <v>930</v>
      </c>
      <c r="E1325" s="4" t="s">
        <v>44</v>
      </c>
      <c r="F1325" s="5" t="n">
        <v>0</v>
      </c>
      <c r="G1325" s="6" t="n">
        <v>0</v>
      </c>
      <c r="H1325" s="6" t="n">
        <v>0</v>
      </c>
      <c r="I1325" s="6" t="n">
        <v>0</v>
      </c>
      <c r="J1325" s="4" t="s">
        <v>18</v>
      </c>
      <c r="K1325" s="4" t="s">
        <v>19</v>
      </c>
      <c r="L1325" s="4" t="s">
        <v>20</v>
      </c>
    </row>
    <row r="1326" customFormat="false" ht="22.35" hidden="false" customHeight="false" outlineLevel="0" collapsed="false">
      <c r="A1326" s="7" t="s">
        <v>1355</v>
      </c>
      <c r="B1326" s="7" t="s">
        <v>14</v>
      </c>
      <c r="C1326" s="7" t="s">
        <v>929</v>
      </c>
      <c r="D1326" s="7" t="s">
        <v>930</v>
      </c>
      <c r="E1326" s="7" t="s">
        <v>44</v>
      </c>
      <c r="F1326" s="8" t="n">
        <v>0</v>
      </c>
      <c r="G1326" s="9" t="n">
        <v>0</v>
      </c>
      <c r="H1326" s="9" t="n">
        <v>0</v>
      </c>
      <c r="I1326" s="9" t="n">
        <v>0</v>
      </c>
      <c r="J1326" s="7" t="s">
        <v>18</v>
      </c>
      <c r="K1326" s="7" t="s">
        <v>19</v>
      </c>
      <c r="L1326" s="7" t="s">
        <v>20</v>
      </c>
    </row>
    <row r="1327" customFormat="false" ht="22.35" hidden="false" customHeight="false" outlineLevel="0" collapsed="false">
      <c r="A1327" s="4" t="s">
        <v>1356</v>
      </c>
      <c r="B1327" s="4" t="s">
        <v>14</v>
      </c>
      <c r="C1327" s="4" t="s">
        <v>929</v>
      </c>
      <c r="D1327" s="4" t="s">
        <v>930</v>
      </c>
      <c r="E1327" s="4" t="s">
        <v>44</v>
      </c>
      <c r="F1327" s="5" t="n">
        <v>0</v>
      </c>
      <c r="G1327" s="6" t="n">
        <v>0</v>
      </c>
      <c r="H1327" s="6" t="n">
        <v>0</v>
      </c>
      <c r="I1327" s="6" t="n">
        <v>0</v>
      </c>
      <c r="J1327" s="4" t="s">
        <v>18</v>
      </c>
      <c r="K1327" s="4" t="s">
        <v>19</v>
      </c>
      <c r="L1327" s="4" t="s">
        <v>20</v>
      </c>
    </row>
    <row r="1328" customFormat="false" ht="22.35" hidden="false" customHeight="false" outlineLevel="0" collapsed="false">
      <c r="A1328" s="7" t="s">
        <v>1357</v>
      </c>
      <c r="B1328" s="7" t="s">
        <v>14</v>
      </c>
      <c r="C1328" s="7" t="s">
        <v>929</v>
      </c>
      <c r="D1328" s="7" t="s">
        <v>930</v>
      </c>
      <c r="E1328" s="7" t="s">
        <v>44</v>
      </c>
      <c r="F1328" s="8" t="n">
        <v>0</v>
      </c>
      <c r="G1328" s="9" t="n">
        <v>0</v>
      </c>
      <c r="H1328" s="9" t="n">
        <v>0</v>
      </c>
      <c r="I1328" s="9" t="n">
        <v>0</v>
      </c>
      <c r="J1328" s="7" t="s">
        <v>18</v>
      </c>
      <c r="K1328" s="7" t="s">
        <v>19</v>
      </c>
      <c r="L1328" s="7" t="s">
        <v>20</v>
      </c>
    </row>
    <row r="1329" customFormat="false" ht="22.35" hidden="false" customHeight="false" outlineLevel="0" collapsed="false">
      <c r="A1329" s="4" t="s">
        <v>1358</v>
      </c>
      <c r="B1329" s="4" t="s">
        <v>14</v>
      </c>
      <c r="C1329" s="4" t="s">
        <v>929</v>
      </c>
      <c r="D1329" s="4" t="s">
        <v>930</v>
      </c>
      <c r="E1329" s="4" t="s">
        <v>44</v>
      </c>
      <c r="F1329" s="5" t="n">
        <v>0</v>
      </c>
      <c r="G1329" s="6" t="n">
        <v>0</v>
      </c>
      <c r="H1329" s="6" t="n">
        <v>0</v>
      </c>
      <c r="I1329" s="6" t="n">
        <v>0</v>
      </c>
      <c r="J1329" s="4" t="s">
        <v>18</v>
      </c>
      <c r="K1329" s="4" t="s">
        <v>19</v>
      </c>
      <c r="L1329" s="4" t="s">
        <v>20</v>
      </c>
    </row>
    <row r="1330" customFormat="false" ht="22.35" hidden="false" customHeight="false" outlineLevel="0" collapsed="false">
      <c r="A1330" s="7" t="s">
        <v>1359</v>
      </c>
      <c r="B1330" s="7" t="s">
        <v>14</v>
      </c>
      <c r="C1330" s="7" t="s">
        <v>929</v>
      </c>
      <c r="D1330" s="7" t="s">
        <v>930</v>
      </c>
      <c r="E1330" s="7" t="s">
        <v>44</v>
      </c>
      <c r="F1330" s="8" t="n">
        <v>0</v>
      </c>
      <c r="G1330" s="9" t="n">
        <v>0</v>
      </c>
      <c r="H1330" s="9" t="n">
        <v>0</v>
      </c>
      <c r="I1330" s="9" t="n">
        <v>0</v>
      </c>
      <c r="J1330" s="7" t="s">
        <v>18</v>
      </c>
      <c r="K1330" s="7" t="s">
        <v>19</v>
      </c>
      <c r="L1330" s="7" t="s">
        <v>20</v>
      </c>
    </row>
    <row r="1331" customFormat="false" ht="22.35" hidden="false" customHeight="false" outlineLevel="0" collapsed="false">
      <c r="A1331" s="4" t="s">
        <v>1360</v>
      </c>
      <c r="B1331" s="4" t="s">
        <v>14</v>
      </c>
      <c r="C1331" s="4" t="s">
        <v>929</v>
      </c>
      <c r="D1331" s="4" t="s">
        <v>930</v>
      </c>
      <c r="E1331" s="4" t="s">
        <v>44</v>
      </c>
      <c r="F1331" s="5" t="n">
        <v>0</v>
      </c>
      <c r="G1331" s="6" t="n">
        <v>0</v>
      </c>
      <c r="H1331" s="6" t="n">
        <v>0</v>
      </c>
      <c r="I1331" s="6" t="n">
        <v>0</v>
      </c>
      <c r="J1331" s="4" t="s">
        <v>18</v>
      </c>
      <c r="K1331" s="4" t="s">
        <v>19</v>
      </c>
      <c r="L1331" s="4" t="s">
        <v>20</v>
      </c>
    </row>
    <row r="1332" customFormat="false" ht="22.35" hidden="false" customHeight="false" outlineLevel="0" collapsed="false">
      <c r="A1332" s="7" t="s">
        <v>1361</v>
      </c>
      <c r="B1332" s="7" t="s">
        <v>14</v>
      </c>
      <c r="C1332" s="7" t="s">
        <v>929</v>
      </c>
      <c r="D1332" s="7" t="s">
        <v>930</v>
      </c>
      <c r="E1332" s="7" t="s">
        <v>44</v>
      </c>
      <c r="F1332" s="8" t="n">
        <v>0</v>
      </c>
      <c r="G1332" s="9" t="n">
        <v>0</v>
      </c>
      <c r="H1332" s="9" t="n">
        <v>0</v>
      </c>
      <c r="I1332" s="9" t="n">
        <v>0</v>
      </c>
      <c r="J1332" s="7" t="s">
        <v>18</v>
      </c>
      <c r="K1332" s="7" t="s">
        <v>19</v>
      </c>
      <c r="L1332" s="7" t="s">
        <v>20</v>
      </c>
    </row>
    <row r="1333" customFormat="false" ht="22.35" hidden="false" customHeight="false" outlineLevel="0" collapsed="false">
      <c r="A1333" s="4" t="s">
        <v>1362</v>
      </c>
      <c r="B1333" s="4" t="s">
        <v>14</v>
      </c>
      <c r="C1333" s="4" t="s">
        <v>929</v>
      </c>
      <c r="D1333" s="4" t="s">
        <v>930</v>
      </c>
      <c r="E1333" s="4" t="s">
        <v>44</v>
      </c>
      <c r="F1333" s="5" t="n">
        <v>0</v>
      </c>
      <c r="G1333" s="6" t="n">
        <v>0</v>
      </c>
      <c r="H1333" s="6" t="n">
        <v>0</v>
      </c>
      <c r="I1333" s="6" t="n">
        <v>0</v>
      </c>
      <c r="J1333" s="4" t="s">
        <v>18</v>
      </c>
      <c r="K1333" s="4" t="s">
        <v>19</v>
      </c>
      <c r="L1333" s="4" t="s">
        <v>20</v>
      </c>
    </row>
    <row r="1334" customFormat="false" ht="22.35" hidden="false" customHeight="false" outlineLevel="0" collapsed="false">
      <c r="A1334" s="7" t="s">
        <v>1363</v>
      </c>
      <c r="B1334" s="7" t="s">
        <v>14</v>
      </c>
      <c r="C1334" s="7" t="s">
        <v>929</v>
      </c>
      <c r="D1334" s="7" t="s">
        <v>930</v>
      </c>
      <c r="E1334" s="7" t="s">
        <v>44</v>
      </c>
      <c r="F1334" s="8" t="n">
        <v>2.7</v>
      </c>
      <c r="G1334" s="9" t="n">
        <v>0</v>
      </c>
      <c r="H1334" s="9" t="n">
        <v>0</v>
      </c>
      <c r="I1334" s="9" t="n">
        <v>0</v>
      </c>
      <c r="J1334" s="7" t="s">
        <v>18</v>
      </c>
      <c r="K1334" s="7" t="s">
        <v>19</v>
      </c>
      <c r="L1334" s="7" t="s">
        <v>20</v>
      </c>
    </row>
    <row r="1335" customFormat="false" ht="22.35" hidden="false" customHeight="false" outlineLevel="0" collapsed="false">
      <c r="A1335" s="4" t="s">
        <v>1364</v>
      </c>
      <c r="B1335" s="4" t="s">
        <v>14</v>
      </c>
      <c r="C1335" s="4" t="s">
        <v>929</v>
      </c>
      <c r="D1335" s="4" t="s">
        <v>930</v>
      </c>
      <c r="E1335" s="4" t="s">
        <v>44</v>
      </c>
      <c r="F1335" s="5" t="n">
        <v>3.67</v>
      </c>
      <c r="G1335" s="6" t="n">
        <v>0</v>
      </c>
      <c r="H1335" s="6" t="n">
        <v>0</v>
      </c>
      <c r="I1335" s="6" t="n">
        <v>0</v>
      </c>
      <c r="J1335" s="4" t="s">
        <v>18</v>
      </c>
      <c r="K1335" s="4" t="s">
        <v>19</v>
      </c>
      <c r="L1335" s="4" t="s">
        <v>20</v>
      </c>
    </row>
    <row r="1336" customFormat="false" ht="22.35" hidden="false" customHeight="false" outlineLevel="0" collapsed="false">
      <c r="A1336" s="7" t="s">
        <v>1365</v>
      </c>
      <c r="B1336" s="7" t="s">
        <v>14</v>
      </c>
      <c r="C1336" s="7" t="s">
        <v>929</v>
      </c>
      <c r="D1336" s="7" t="s">
        <v>930</v>
      </c>
      <c r="E1336" s="7" t="s">
        <v>44</v>
      </c>
      <c r="F1336" s="8" t="n">
        <v>0.341</v>
      </c>
      <c r="G1336" s="9" t="n">
        <v>0</v>
      </c>
      <c r="H1336" s="9" t="n">
        <v>0</v>
      </c>
      <c r="I1336" s="9" t="n">
        <v>0</v>
      </c>
      <c r="J1336" s="7" t="s">
        <v>18</v>
      </c>
      <c r="K1336" s="7" t="s">
        <v>19</v>
      </c>
      <c r="L1336" s="7" t="s">
        <v>20</v>
      </c>
    </row>
    <row r="1337" customFormat="false" ht="22.35" hidden="false" customHeight="false" outlineLevel="0" collapsed="false">
      <c r="A1337" s="4" t="s">
        <v>1366</v>
      </c>
      <c r="B1337" s="4" t="s">
        <v>14</v>
      </c>
      <c r="C1337" s="4" t="s">
        <v>929</v>
      </c>
      <c r="D1337" s="4" t="s">
        <v>930</v>
      </c>
      <c r="E1337" s="4" t="s">
        <v>44</v>
      </c>
      <c r="F1337" s="5" t="n">
        <v>2.27</v>
      </c>
      <c r="G1337" s="6" t="n">
        <v>0</v>
      </c>
      <c r="H1337" s="6" t="n">
        <v>0</v>
      </c>
      <c r="I1337" s="6" t="n">
        <v>0</v>
      </c>
      <c r="J1337" s="4" t="s">
        <v>18</v>
      </c>
      <c r="K1337" s="4" t="s">
        <v>19</v>
      </c>
      <c r="L1337" s="4" t="s">
        <v>20</v>
      </c>
    </row>
    <row r="1338" customFormat="false" ht="22.35" hidden="false" customHeight="false" outlineLevel="0" collapsed="false">
      <c r="A1338" s="7" t="s">
        <v>1367</v>
      </c>
      <c r="B1338" s="7" t="s">
        <v>14</v>
      </c>
      <c r="C1338" s="7" t="s">
        <v>929</v>
      </c>
      <c r="D1338" s="7" t="s">
        <v>930</v>
      </c>
      <c r="E1338" s="7" t="s">
        <v>44</v>
      </c>
      <c r="F1338" s="8" t="n">
        <v>1.75</v>
      </c>
      <c r="G1338" s="9" t="n">
        <v>0</v>
      </c>
      <c r="H1338" s="9" t="n">
        <v>0</v>
      </c>
      <c r="I1338" s="9" t="n">
        <v>0</v>
      </c>
      <c r="J1338" s="7" t="s">
        <v>18</v>
      </c>
      <c r="K1338" s="7" t="s">
        <v>19</v>
      </c>
      <c r="L1338" s="7" t="s">
        <v>20</v>
      </c>
    </row>
    <row r="1339" customFormat="false" ht="22.35" hidden="false" customHeight="false" outlineLevel="0" collapsed="false">
      <c r="A1339" s="4" t="s">
        <v>1368</v>
      </c>
      <c r="B1339" s="4" t="s">
        <v>14</v>
      </c>
      <c r="C1339" s="4" t="s">
        <v>929</v>
      </c>
      <c r="D1339" s="4" t="s">
        <v>930</v>
      </c>
      <c r="E1339" s="4" t="s">
        <v>44</v>
      </c>
      <c r="F1339" s="5" t="n">
        <v>0</v>
      </c>
      <c r="G1339" s="6" t="n">
        <v>0</v>
      </c>
      <c r="H1339" s="6" t="n">
        <v>0</v>
      </c>
      <c r="I1339" s="6" t="n">
        <v>0</v>
      </c>
      <c r="J1339" s="4" t="s">
        <v>18</v>
      </c>
      <c r="K1339" s="4" t="s">
        <v>19</v>
      </c>
      <c r="L1339" s="4" t="s">
        <v>20</v>
      </c>
    </row>
    <row r="1340" customFormat="false" ht="22.35" hidden="false" customHeight="false" outlineLevel="0" collapsed="false">
      <c r="A1340" s="7" t="s">
        <v>1369</v>
      </c>
      <c r="B1340" s="7" t="s">
        <v>14</v>
      </c>
      <c r="C1340" s="7" t="s">
        <v>929</v>
      </c>
      <c r="D1340" s="7" t="s">
        <v>930</v>
      </c>
      <c r="E1340" s="7" t="s">
        <v>1370</v>
      </c>
      <c r="F1340" s="8" t="n">
        <v>0</v>
      </c>
      <c r="G1340" s="9" t="n">
        <v>0</v>
      </c>
      <c r="H1340" s="9" t="n">
        <v>0</v>
      </c>
      <c r="I1340" s="9" t="n">
        <v>0</v>
      </c>
      <c r="J1340" s="7" t="s">
        <v>18</v>
      </c>
      <c r="K1340" s="7" t="s">
        <v>19</v>
      </c>
      <c r="L1340" s="7" t="s">
        <v>20</v>
      </c>
    </row>
    <row r="1341" customFormat="false" ht="22.35" hidden="false" customHeight="false" outlineLevel="0" collapsed="false">
      <c r="A1341" s="4" t="s">
        <v>1371</v>
      </c>
      <c r="B1341" s="4" t="s">
        <v>14</v>
      </c>
      <c r="C1341" s="4" t="s">
        <v>929</v>
      </c>
      <c r="D1341" s="4" t="s">
        <v>930</v>
      </c>
      <c r="E1341" s="4" t="s">
        <v>1370</v>
      </c>
      <c r="F1341" s="5" t="n">
        <v>0</v>
      </c>
      <c r="G1341" s="6" t="n">
        <v>0</v>
      </c>
      <c r="H1341" s="6" t="n">
        <v>0</v>
      </c>
      <c r="I1341" s="6" t="n">
        <v>0</v>
      </c>
      <c r="J1341" s="4" t="s">
        <v>18</v>
      </c>
      <c r="K1341" s="4" t="s">
        <v>19</v>
      </c>
      <c r="L1341" s="4" t="s">
        <v>20</v>
      </c>
    </row>
    <row r="1342" customFormat="false" ht="22.35" hidden="false" customHeight="false" outlineLevel="0" collapsed="false">
      <c r="A1342" s="7" t="s">
        <v>1372</v>
      </c>
      <c r="B1342" s="7" t="s">
        <v>14</v>
      </c>
      <c r="C1342" s="7" t="s">
        <v>929</v>
      </c>
      <c r="D1342" s="7" t="s">
        <v>930</v>
      </c>
      <c r="E1342" s="7" t="s">
        <v>1370</v>
      </c>
      <c r="F1342" s="8" t="n">
        <v>0</v>
      </c>
      <c r="G1342" s="9" t="n">
        <v>0</v>
      </c>
      <c r="H1342" s="9" t="n">
        <v>0</v>
      </c>
      <c r="I1342" s="9" t="n">
        <v>0</v>
      </c>
      <c r="J1342" s="7" t="s">
        <v>18</v>
      </c>
      <c r="K1342" s="7" t="s">
        <v>19</v>
      </c>
      <c r="L1342" s="7" t="s">
        <v>20</v>
      </c>
    </row>
    <row r="1343" customFormat="false" ht="22.35" hidden="false" customHeight="false" outlineLevel="0" collapsed="false">
      <c r="A1343" s="4" t="s">
        <v>1373</v>
      </c>
      <c r="B1343" s="4" t="s">
        <v>14</v>
      </c>
      <c r="C1343" s="4" t="s">
        <v>929</v>
      </c>
      <c r="D1343" s="4" t="s">
        <v>930</v>
      </c>
      <c r="E1343" s="4" t="s">
        <v>1370</v>
      </c>
      <c r="F1343" s="5" t="n">
        <v>0</v>
      </c>
      <c r="G1343" s="6" t="n">
        <v>0</v>
      </c>
      <c r="H1343" s="6" t="n">
        <v>0</v>
      </c>
      <c r="I1343" s="6" t="n">
        <v>0</v>
      </c>
      <c r="J1343" s="4" t="s">
        <v>18</v>
      </c>
      <c r="K1343" s="4" t="s">
        <v>19</v>
      </c>
      <c r="L1343" s="4" t="s">
        <v>20</v>
      </c>
    </row>
    <row r="1344" customFormat="false" ht="22.35" hidden="false" customHeight="false" outlineLevel="0" collapsed="false">
      <c r="A1344" s="7" t="s">
        <v>1374</v>
      </c>
      <c r="B1344" s="7" t="s">
        <v>14</v>
      </c>
      <c r="C1344" s="7" t="s">
        <v>929</v>
      </c>
      <c r="D1344" s="7" t="s">
        <v>930</v>
      </c>
      <c r="E1344" s="7" t="s">
        <v>1370</v>
      </c>
      <c r="F1344" s="8" t="n">
        <v>0</v>
      </c>
      <c r="G1344" s="9" t="n">
        <v>0</v>
      </c>
      <c r="H1344" s="9" t="n">
        <v>0</v>
      </c>
      <c r="I1344" s="9" t="n">
        <v>0</v>
      </c>
      <c r="J1344" s="7" t="s">
        <v>18</v>
      </c>
      <c r="K1344" s="7" t="s">
        <v>19</v>
      </c>
      <c r="L1344" s="7" t="s">
        <v>20</v>
      </c>
    </row>
    <row r="1345" customFormat="false" ht="22.35" hidden="false" customHeight="false" outlineLevel="0" collapsed="false">
      <c r="A1345" s="4" t="s">
        <v>1375</v>
      </c>
      <c r="B1345" s="4" t="s">
        <v>14</v>
      </c>
      <c r="C1345" s="4" t="s">
        <v>929</v>
      </c>
      <c r="D1345" s="4" t="s">
        <v>930</v>
      </c>
      <c r="E1345" s="4" t="s">
        <v>1370</v>
      </c>
      <c r="F1345" s="5" t="n">
        <v>0</v>
      </c>
      <c r="G1345" s="6" t="n">
        <v>0</v>
      </c>
      <c r="H1345" s="6" t="n">
        <v>0</v>
      </c>
      <c r="I1345" s="6" t="n">
        <v>0</v>
      </c>
      <c r="J1345" s="4" t="s">
        <v>18</v>
      </c>
      <c r="K1345" s="4" t="s">
        <v>19</v>
      </c>
      <c r="L1345" s="4" t="s">
        <v>20</v>
      </c>
    </row>
    <row r="1346" customFormat="false" ht="22.35" hidden="false" customHeight="false" outlineLevel="0" collapsed="false">
      <c r="A1346" s="7" t="s">
        <v>1376</v>
      </c>
      <c r="B1346" s="7" t="s">
        <v>14</v>
      </c>
      <c r="C1346" s="7" t="s">
        <v>929</v>
      </c>
      <c r="D1346" s="7" t="s">
        <v>930</v>
      </c>
      <c r="E1346" s="7" t="s">
        <v>1370</v>
      </c>
      <c r="F1346" s="8" t="n">
        <v>0</v>
      </c>
      <c r="G1346" s="9" t="n">
        <v>0</v>
      </c>
      <c r="H1346" s="9" t="n">
        <v>0</v>
      </c>
      <c r="I1346" s="9" t="n">
        <v>0</v>
      </c>
      <c r="J1346" s="7" t="s">
        <v>18</v>
      </c>
      <c r="K1346" s="7" t="s">
        <v>19</v>
      </c>
      <c r="L1346" s="7" t="s">
        <v>20</v>
      </c>
    </row>
    <row r="1347" customFormat="false" ht="22.35" hidden="false" customHeight="false" outlineLevel="0" collapsed="false">
      <c r="A1347" s="4" t="s">
        <v>1377</v>
      </c>
      <c r="B1347" s="4" t="s">
        <v>14</v>
      </c>
      <c r="C1347" s="4" t="s">
        <v>929</v>
      </c>
      <c r="D1347" s="4" t="s">
        <v>930</v>
      </c>
      <c r="E1347" s="4" t="s">
        <v>44</v>
      </c>
      <c r="F1347" s="5" t="n">
        <v>0</v>
      </c>
      <c r="G1347" s="6" t="n">
        <v>0</v>
      </c>
      <c r="H1347" s="6" t="n">
        <v>0</v>
      </c>
      <c r="I1347" s="6" t="n">
        <v>0</v>
      </c>
      <c r="J1347" s="4" t="s">
        <v>18</v>
      </c>
      <c r="K1347" s="4" t="s">
        <v>19</v>
      </c>
      <c r="L1347" s="4" t="s">
        <v>20</v>
      </c>
    </row>
    <row r="1348" customFormat="false" ht="22.35" hidden="false" customHeight="false" outlineLevel="0" collapsed="false">
      <c r="A1348" s="7" t="s">
        <v>1378</v>
      </c>
      <c r="B1348" s="7" t="s">
        <v>14</v>
      </c>
      <c r="C1348" s="7" t="s">
        <v>929</v>
      </c>
      <c r="D1348" s="7" t="s">
        <v>930</v>
      </c>
      <c r="E1348" s="7" t="s">
        <v>44</v>
      </c>
      <c r="F1348" s="8" t="n">
        <v>0</v>
      </c>
      <c r="G1348" s="9" t="n">
        <v>0</v>
      </c>
      <c r="H1348" s="9" t="n">
        <v>0</v>
      </c>
      <c r="I1348" s="9" t="n">
        <v>0</v>
      </c>
      <c r="J1348" s="7" t="s">
        <v>18</v>
      </c>
      <c r="K1348" s="7" t="s">
        <v>19</v>
      </c>
      <c r="L1348" s="7" t="s">
        <v>20</v>
      </c>
    </row>
    <row r="1349" customFormat="false" ht="22.35" hidden="false" customHeight="false" outlineLevel="0" collapsed="false">
      <c r="A1349" s="4" t="s">
        <v>1379</v>
      </c>
      <c r="B1349" s="4" t="s">
        <v>14</v>
      </c>
      <c r="C1349" s="4" t="s">
        <v>929</v>
      </c>
      <c r="D1349" s="4" t="s">
        <v>930</v>
      </c>
      <c r="E1349" s="4" t="s">
        <v>44</v>
      </c>
      <c r="F1349" s="5" t="n">
        <v>0</v>
      </c>
      <c r="G1349" s="6" t="n">
        <v>0</v>
      </c>
      <c r="H1349" s="6" t="n">
        <v>0</v>
      </c>
      <c r="I1349" s="6" t="n">
        <v>0</v>
      </c>
      <c r="J1349" s="4" t="s">
        <v>18</v>
      </c>
      <c r="K1349" s="4" t="s">
        <v>19</v>
      </c>
      <c r="L1349" s="4" t="s">
        <v>20</v>
      </c>
    </row>
    <row r="1350" customFormat="false" ht="22.35" hidden="false" customHeight="false" outlineLevel="0" collapsed="false">
      <c r="A1350" s="7" t="s">
        <v>1380</v>
      </c>
      <c r="B1350" s="7" t="s">
        <v>14</v>
      </c>
      <c r="C1350" s="7" t="s">
        <v>929</v>
      </c>
      <c r="D1350" s="7" t="s">
        <v>930</v>
      </c>
      <c r="E1350" s="7" t="s">
        <v>44</v>
      </c>
      <c r="F1350" s="8" t="n">
        <v>0</v>
      </c>
      <c r="G1350" s="9" t="n">
        <v>0</v>
      </c>
      <c r="H1350" s="9" t="n">
        <v>0</v>
      </c>
      <c r="I1350" s="9" t="n">
        <v>0</v>
      </c>
      <c r="J1350" s="7" t="s">
        <v>18</v>
      </c>
      <c r="K1350" s="7" t="s">
        <v>19</v>
      </c>
      <c r="L1350" s="7" t="s">
        <v>20</v>
      </c>
    </row>
    <row r="1351" customFormat="false" ht="22.35" hidden="false" customHeight="false" outlineLevel="0" collapsed="false">
      <c r="A1351" s="4" t="s">
        <v>1381</v>
      </c>
      <c r="B1351" s="4" t="s">
        <v>14</v>
      </c>
      <c r="C1351" s="4" t="s">
        <v>929</v>
      </c>
      <c r="D1351" s="4" t="s">
        <v>930</v>
      </c>
      <c r="E1351" s="4" t="s">
        <v>1370</v>
      </c>
      <c r="F1351" s="5" t="n">
        <v>0</v>
      </c>
      <c r="G1351" s="6" t="n">
        <v>0</v>
      </c>
      <c r="H1351" s="6" t="n">
        <v>0</v>
      </c>
      <c r="I1351" s="6" t="n">
        <v>0</v>
      </c>
      <c r="J1351" s="4" t="s">
        <v>18</v>
      </c>
      <c r="K1351" s="4" t="s">
        <v>19</v>
      </c>
      <c r="L1351" s="4" t="s">
        <v>20</v>
      </c>
    </row>
    <row r="1352" customFormat="false" ht="22.35" hidden="false" customHeight="false" outlineLevel="0" collapsed="false">
      <c r="A1352" s="7" t="s">
        <v>1382</v>
      </c>
      <c r="B1352" s="7" t="s">
        <v>14</v>
      </c>
      <c r="C1352" s="7" t="s">
        <v>929</v>
      </c>
      <c r="D1352" s="7" t="s">
        <v>930</v>
      </c>
      <c r="E1352" s="7" t="s">
        <v>1370</v>
      </c>
      <c r="F1352" s="8" t="n">
        <v>0</v>
      </c>
      <c r="G1352" s="9" t="n">
        <v>0</v>
      </c>
      <c r="H1352" s="9" t="n">
        <v>0</v>
      </c>
      <c r="I1352" s="9" t="n">
        <v>0</v>
      </c>
      <c r="J1352" s="7" t="s">
        <v>18</v>
      </c>
      <c r="K1352" s="7" t="s">
        <v>19</v>
      </c>
      <c r="L1352" s="7" t="s">
        <v>20</v>
      </c>
    </row>
    <row r="1353" customFormat="false" ht="22.35" hidden="false" customHeight="false" outlineLevel="0" collapsed="false">
      <c r="A1353" s="4" t="s">
        <v>1383</v>
      </c>
      <c r="B1353" s="4" t="s">
        <v>14</v>
      </c>
      <c r="C1353" s="4" t="s">
        <v>929</v>
      </c>
      <c r="D1353" s="4" t="s">
        <v>930</v>
      </c>
      <c r="E1353" s="4" t="s">
        <v>1370</v>
      </c>
      <c r="F1353" s="5" t="n">
        <v>0</v>
      </c>
      <c r="G1353" s="6" t="n">
        <v>0</v>
      </c>
      <c r="H1353" s="6" t="n">
        <v>0</v>
      </c>
      <c r="I1353" s="6" t="n">
        <v>0</v>
      </c>
      <c r="J1353" s="4" t="s">
        <v>18</v>
      </c>
      <c r="K1353" s="4" t="s">
        <v>19</v>
      </c>
      <c r="L1353" s="4" t="s">
        <v>20</v>
      </c>
    </row>
    <row r="1354" customFormat="false" ht="22.35" hidden="false" customHeight="false" outlineLevel="0" collapsed="false">
      <c r="A1354" s="7" t="s">
        <v>1384</v>
      </c>
      <c r="B1354" s="7" t="s">
        <v>14</v>
      </c>
      <c r="C1354" s="7" t="s">
        <v>929</v>
      </c>
      <c r="D1354" s="7" t="s">
        <v>930</v>
      </c>
      <c r="E1354" s="7" t="s">
        <v>44</v>
      </c>
      <c r="F1354" s="8" t="n">
        <v>0</v>
      </c>
      <c r="G1354" s="9" t="n">
        <v>0</v>
      </c>
      <c r="H1354" s="9" t="n">
        <v>0</v>
      </c>
      <c r="I1354" s="9" t="n">
        <v>0</v>
      </c>
      <c r="J1354" s="7" t="s">
        <v>18</v>
      </c>
      <c r="K1354" s="7" t="s">
        <v>19</v>
      </c>
      <c r="L1354" s="7" t="s">
        <v>20</v>
      </c>
    </row>
    <row r="1355" customFormat="false" ht="22.35" hidden="false" customHeight="false" outlineLevel="0" collapsed="false">
      <c r="A1355" s="4" t="s">
        <v>1385</v>
      </c>
      <c r="B1355" s="4" t="s">
        <v>14</v>
      </c>
      <c r="C1355" s="4" t="s">
        <v>929</v>
      </c>
      <c r="D1355" s="4" t="s">
        <v>930</v>
      </c>
      <c r="E1355" s="4" t="s">
        <v>1370</v>
      </c>
      <c r="F1355" s="5" t="n">
        <v>0</v>
      </c>
      <c r="G1355" s="6" t="n">
        <v>0</v>
      </c>
      <c r="H1355" s="6" t="n">
        <v>0</v>
      </c>
      <c r="I1355" s="6" t="n">
        <v>0</v>
      </c>
      <c r="J1355" s="4" t="s">
        <v>18</v>
      </c>
      <c r="K1355" s="4" t="s">
        <v>19</v>
      </c>
      <c r="L1355" s="4" t="s">
        <v>20</v>
      </c>
    </row>
    <row r="1356" customFormat="false" ht="22.35" hidden="false" customHeight="false" outlineLevel="0" collapsed="false">
      <c r="A1356" s="7" t="s">
        <v>1386</v>
      </c>
      <c r="B1356" s="7" t="s">
        <v>14</v>
      </c>
      <c r="C1356" s="7" t="s">
        <v>929</v>
      </c>
      <c r="D1356" s="7" t="s">
        <v>930</v>
      </c>
      <c r="E1356" s="7" t="s">
        <v>44</v>
      </c>
      <c r="F1356" s="8" t="n">
        <v>0</v>
      </c>
      <c r="G1356" s="9" t="n">
        <v>0</v>
      </c>
      <c r="H1356" s="9" t="n">
        <v>0</v>
      </c>
      <c r="I1356" s="9" t="n">
        <v>0</v>
      </c>
      <c r="J1356" s="7" t="s">
        <v>18</v>
      </c>
      <c r="K1356" s="7" t="s">
        <v>19</v>
      </c>
      <c r="L1356" s="7" t="s">
        <v>20</v>
      </c>
    </row>
    <row r="1357" customFormat="false" ht="22.35" hidden="false" customHeight="false" outlineLevel="0" collapsed="false">
      <c r="A1357" s="4" t="s">
        <v>1387</v>
      </c>
      <c r="B1357" s="4" t="s">
        <v>14</v>
      </c>
      <c r="C1357" s="4" t="s">
        <v>929</v>
      </c>
      <c r="D1357" s="4" t="s">
        <v>930</v>
      </c>
      <c r="E1357" s="4" t="s">
        <v>44</v>
      </c>
      <c r="F1357" s="5" t="n">
        <v>0</v>
      </c>
      <c r="G1357" s="6" t="n">
        <v>0</v>
      </c>
      <c r="H1357" s="6" t="n">
        <v>0</v>
      </c>
      <c r="I1357" s="6" t="n">
        <v>0</v>
      </c>
      <c r="J1357" s="4" t="s">
        <v>18</v>
      </c>
      <c r="K1357" s="4" t="s">
        <v>19</v>
      </c>
      <c r="L1357" s="4" t="s">
        <v>20</v>
      </c>
    </row>
    <row r="1358" customFormat="false" ht="22.35" hidden="false" customHeight="false" outlineLevel="0" collapsed="false">
      <c r="A1358" s="7" t="s">
        <v>1388</v>
      </c>
      <c r="B1358" s="7" t="s">
        <v>14</v>
      </c>
      <c r="C1358" s="7" t="s">
        <v>929</v>
      </c>
      <c r="D1358" s="7" t="s">
        <v>930</v>
      </c>
      <c r="E1358" s="7" t="s">
        <v>44</v>
      </c>
      <c r="F1358" s="8" t="n">
        <v>0</v>
      </c>
      <c r="G1358" s="9" t="n">
        <v>0</v>
      </c>
      <c r="H1358" s="9" t="n">
        <v>0</v>
      </c>
      <c r="I1358" s="9" t="n">
        <v>0</v>
      </c>
      <c r="J1358" s="7" t="s">
        <v>18</v>
      </c>
      <c r="K1358" s="7" t="s">
        <v>19</v>
      </c>
      <c r="L1358" s="7" t="s">
        <v>20</v>
      </c>
    </row>
    <row r="1359" customFormat="false" ht="22.35" hidden="false" customHeight="false" outlineLevel="0" collapsed="false">
      <c r="A1359" s="4" t="s">
        <v>1389</v>
      </c>
      <c r="B1359" s="4" t="s">
        <v>14</v>
      </c>
      <c r="C1359" s="4" t="s">
        <v>929</v>
      </c>
      <c r="D1359" s="4" t="s">
        <v>930</v>
      </c>
      <c r="E1359" s="4" t="s">
        <v>1370</v>
      </c>
      <c r="F1359" s="5" t="n">
        <v>0</v>
      </c>
      <c r="G1359" s="6" t="n">
        <v>0</v>
      </c>
      <c r="H1359" s="6" t="n">
        <v>0</v>
      </c>
      <c r="I1359" s="6" t="n">
        <v>0</v>
      </c>
      <c r="J1359" s="4" t="s">
        <v>18</v>
      </c>
      <c r="K1359" s="4" t="s">
        <v>19</v>
      </c>
      <c r="L1359" s="4" t="s">
        <v>20</v>
      </c>
    </row>
    <row r="1360" customFormat="false" ht="22.35" hidden="false" customHeight="false" outlineLevel="0" collapsed="false">
      <c r="A1360" s="7" t="s">
        <v>1390</v>
      </c>
      <c r="B1360" s="7" t="s">
        <v>14</v>
      </c>
      <c r="C1360" s="7" t="s">
        <v>929</v>
      </c>
      <c r="D1360" s="7" t="s">
        <v>930</v>
      </c>
      <c r="E1360" s="7" t="s">
        <v>44</v>
      </c>
      <c r="F1360" s="8" t="n">
        <v>0</v>
      </c>
      <c r="G1360" s="9" t="n">
        <v>0</v>
      </c>
      <c r="H1360" s="9" t="n">
        <v>0</v>
      </c>
      <c r="I1360" s="9" t="n">
        <v>0</v>
      </c>
      <c r="J1360" s="7" t="s">
        <v>18</v>
      </c>
      <c r="K1360" s="7" t="s">
        <v>19</v>
      </c>
      <c r="L1360" s="7" t="s">
        <v>20</v>
      </c>
    </row>
    <row r="1361" customFormat="false" ht="22.35" hidden="false" customHeight="false" outlineLevel="0" collapsed="false">
      <c r="A1361" s="4" t="s">
        <v>1391</v>
      </c>
      <c r="B1361" s="4" t="s">
        <v>14</v>
      </c>
      <c r="C1361" s="4" t="s">
        <v>929</v>
      </c>
      <c r="D1361" s="4" t="s">
        <v>930</v>
      </c>
      <c r="E1361" s="4" t="s">
        <v>44</v>
      </c>
      <c r="F1361" s="5" t="n">
        <v>0</v>
      </c>
      <c r="G1361" s="6" t="n">
        <v>0</v>
      </c>
      <c r="H1361" s="6" t="n">
        <v>0</v>
      </c>
      <c r="I1361" s="6" t="n">
        <v>0</v>
      </c>
      <c r="J1361" s="4" t="s">
        <v>18</v>
      </c>
      <c r="K1361" s="4" t="s">
        <v>19</v>
      </c>
      <c r="L1361" s="4" t="s">
        <v>20</v>
      </c>
    </row>
    <row r="1362" customFormat="false" ht="22.35" hidden="false" customHeight="false" outlineLevel="0" collapsed="false">
      <c r="A1362" s="7" t="s">
        <v>1392</v>
      </c>
      <c r="B1362" s="7" t="s">
        <v>14</v>
      </c>
      <c r="C1362" s="7" t="s">
        <v>929</v>
      </c>
      <c r="D1362" s="7" t="s">
        <v>930</v>
      </c>
      <c r="E1362" s="7" t="s">
        <v>44</v>
      </c>
      <c r="F1362" s="8" t="n">
        <v>0</v>
      </c>
      <c r="G1362" s="9" t="n">
        <v>0</v>
      </c>
      <c r="H1362" s="9" t="n">
        <v>0</v>
      </c>
      <c r="I1362" s="9" t="n">
        <v>0</v>
      </c>
      <c r="J1362" s="7" t="s">
        <v>18</v>
      </c>
      <c r="K1362" s="7" t="s">
        <v>19</v>
      </c>
      <c r="L1362" s="7" t="s">
        <v>20</v>
      </c>
    </row>
    <row r="1363" customFormat="false" ht="22.35" hidden="false" customHeight="false" outlineLevel="0" collapsed="false">
      <c r="A1363" s="4" t="s">
        <v>1393</v>
      </c>
      <c r="B1363" s="4" t="s">
        <v>14</v>
      </c>
      <c r="C1363" s="4" t="s">
        <v>929</v>
      </c>
      <c r="D1363" s="4" t="s">
        <v>930</v>
      </c>
      <c r="E1363" s="4" t="s">
        <v>44</v>
      </c>
      <c r="F1363" s="5" t="n">
        <v>0</v>
      </c>
      <c r="G1363" s="6" t="n">
        <v>0</v>
      </c>
      <c r="H1363" s="6" t="n">
        <v>0</v>
      </c>
      <c r="I1363" s="6" t="n">
        <v>0</v>
      </c>
      <c r="J1363" s="4" t="s">
        <v>18</v>
      </c>
      <c r="K1363" s="4" t="s">
        <v>19</v>
      </c>
      <c r="L1363" s="4" t="s">
        <v>20</v>
      </c>
    </row>
    <row r="1364" customFormat="false" ht="22.35" hidden="false" customHeight="false" outlineLevel="0" collapsed="false">
      <c r="A1364" s="7" t="s">
        <v>1394</v>
      </c>
      <c r="B1364" s="7" t="s">
        <v>14</v>
      </c>
      <c r="C1364" s="7" t="s">
        <v>929</v>
      </c>
      <c r="D1364" s="7" t="s">
        <v>930</v>
      </c>
      <c r="E1364" s="7" t="s">
        <v>44</v>
      </c>
      <c r="F1364" s="8" t="n">
        <v>0</v>
      </c>
      <c r="G1364" s="9" t="n">
        <v>0</v>
      </c>
      <c r="H1364" s="9" t="n">
        <v>0</v>
      </c>
      <c r="I1364" s="9" t="n">
        <v>0</v>
      </c>
      <c r="J1364" s="7" t="s">
        <v>18</v>
      </c>
      <c r="K1364" s="7" t="s">
        <v>19</v>
      </c>
      <c r="L1364" s="7" t="s">
        <v>20</v>
      </c>
    </row>
    <row r="1365" customFormat="false" ht="22.35" hidden="false" customHeight="false" outlineLevel="0" collapsed="false">
      <c r="A1365" s="4" t="s">
        <v>1395</v>
      </c>
      <c r="B1365" s="4" t="s">
        <v>14</v>
      </c>
      <c r="C1365" s="4" t="s">
        <v>929</v>
      </c>
      <c r="D1365" s="4" t="s">
        <v>930</v>
      </c>
      <c r="E1365" s="4" t="s">
        <v>44</v>
      </c>
      <c r="F1365" s="5" t="n">
        <v>0</v>
      </c>
      <c r="G1365" s="6" t="n">
        <v>0</v>
      </c>
      <c r="H1365" s="6" t="n">
        <v>0</v>
      </c>
      <c r="I1365" s="6" t="n">
        <v>0</v>
      </c>
      <c r="J1365" s="4" t="s">
        <v>18</v>
      </c>
      <c r="K1365" s="4" t="s">
        <v>19</v>
      </c>
      <c r="L1365" s="4" t="s">
        <v>20</v>
      </c>
    </row>
    <row r="1366" customFormat="false" ht="22.35" hidden="false" customHeight="false" outlineLevel="0" collapsed="false">
      <c r="A1366" s="7" t="s">
        <v>1396</v>
      </c>
      <c r="B1366" s="7" t="s">
        <v>14</v>
      </c>
      <c r="C1366" s="7" t="s">
        <v>929</v>
      </c>
      <c r="D1366" s="7" t="s">
        <v>930</v>
      </c>
      <c r="E1366" s="7" t="s">
        <v>44</v>
      </c>
      <c r="F1366" s="8" t="n">
        <v>0</v>
      </c>
      <c r="G1366" s="9" t="n">
        <v>0</v>
      </c>
      <c r="H1366" s="9" t="n">
        <v>0</v>
      </c>
      <c r="I1366" s="9" t="n">
        <v>0</v>
      </c>
      <c r="J1366" s="7" t="s">
        <v>18</v>
      </c>
      <c r="K1366" s="7" t="s">
        <v>19</v>
      </c>
      <c r="L1366" s="7" t="s">
        <v>20</v>
      </c>
    </row>
    <row r="1367" customFormat="false" ht="22.35" hidden="false" customHeight="false" outlineLevel="0" collapsed="false">
      <c r="A1367" s="4" t="s">
        <v>1397</v>
      </c>
      <c r="B1367" s="4" t="s">
        <v>14</v>
      </c>
      <c r="C1367" s="4" t="s">
        <v>929</v>
      </c>
      <c r="D1367" s="4" t="s">
        <v>930</v>
      </c>
      <c r="E1367" s="4" t="s">
        <v>44</v>
      </c>
      <c r="F1367" s="5" t="n">
        <v>0</v>
      </c>
      <c r="G1367" s="6" t="n">
        <v>0</v>
      </c>
      <c r="H1367" s="6" t="n">
        <v>0</v>
      </c>
      <c r="I1367" s="6" t="n">
        <v>0</v>
      </c>
      <c r="J1367" s="4" t="s">
        <v>18</v>
      </c>
      <c r="K1367" s="4" t="s">
        <v>19</v>
      </c>
      <c r="L1367" s="4" t="s">
        <v>20</v>
      </c>
    </row>
    <row r="1368" customFormat="false" ht="22.35" hidden="false" customHeight="false" outlineLevel="0" collapsed="false">
      <c r="A1368" s="7" t="s">
        <v>1398</v>
      </c>
      <c r="B1368" s="7" t="s">
        <v>14</v>
      </c>
      <c r="C1368" s="7" t="s">
        <v>929</v>
      </c>
      <c r="D1368" s="7" t="s">
        <v>930</v>
      </c>
      <c r="E1368" s="7" t="s">
        <v>44</v>
      </c>
      <c r="F1368" s="8" t="n">
        <v>0</v>
      </c>
      <c r="G1368" s="9" t="n">
        <v>0</v>
      </c>
      <c r="H1368" s="9" t="n">
        <v>0</v>
      </c>
      <c r="I1368" s="9" t="n">
        <v>0</v>
      </c>
      <c r="J1368" s="7" t="s">
        <v>18</v>
      </c>
      <c r="K1368" s="7" t="s">
        <v>19</v>
      </c>
      <c r="L1368" s="7" t="s">
        <v>20</v>
      </c>
    </row>
    <row r="1369" customFormat="false" ht="22.35" hidden="false" customHeight="false" outlineLevel="0" collapsed="false">
      <c r="A1369" s="4" t="s">
        <v>1399</v>
      </c>
      <c r="B1369" s="4" t="s">
        <v>14</v>
      </c>
      <c r="C1369" s="4" t="s">
        <v>929</v>
      </c>
      <c r="D1369" s="4" t="s">
        <v>930</v>
      </c>
      <c r="E1369" s="4" t="s">
        <v>44</v>
      </c>
      <c r="F1369" s="5" t="n">
        <v>0</v>
      </c>
      <c r="G1369" s="6" t="n">
        <v>0</v>
      </c>
      <c r="H1369" s="6" t="n">
        <v>0</v>
      </c>
      <c r="I1369" s="6" t="n">
        <v>0</v>
      </c>
      <c r="J1369" s="4" t="s">
        <v>18</v>
      </c>
      <c r="K1369" s="4" t="s">
        <v>19</v>
      </c>
      <c r="L1369" s="4" t="s">
        <v>20</v>
      </c>
    </row>
    <row r="1370" customFormat="false" ht="22.35" hidden="false" customHeight="false" outlineLevel="0" collapsed="false">
      <c r="A1370" s="7" t="s">
        <v>1400</v>
      </c>
      <c r="B1370" s="7" t="s">
        <v>14</v>
      </c>
      <c r="C1370" s="7" t="s">
        <v>929</v>
      </c>
      <c r="D1370" s="7" t="s">
        <v>930</v>
      </c>
      <c r="E1370" s="7" t="s">
        <v>44</v>
      </c>
      <c r="F1370" s="8" t="n">
        <v>67.77</v>
      </c>
      <c r="G1370" s="9" t="n">
        <v>0</v>
      </c>
      <c r="H1370" s="9" t="n">
        <v>0</v>
      </c>
      <c r="I1370" s="9" t="n">
        <v>0</v>
      </c>
      <c r="J1370" s="7" t="s">
        <v>18</v>
      </c>
      <c r="K1370" s="10" t="s">
        <v>1284</v>
      </c>
      <c r="L1370" s="7" t="s">
        <v>20</v>
      </c>
    </row>
    <row r="1371" customFormat="false" ht="22.35" hidden="false" customHeight="false" outlineLevel="0" collapsed="false">
      <c r="A1371" s="4" t="s">
        <v>1401</v>
      </c>
      <c r="B1371" s="4" t="s">
        <v>14</v>
      </c>
      <c r="C1371" s="4" t="s">
        <v>929</v>
      </c>
      <c r="D1371" s="4" t="s">
        <v>930</v>
      </c>
      <c r="E1371" s="4" t="s">
        <v>44</v>
      </c>
      <c r="F1371" s="5" t="n">
        <v>7.07</v>
      </c>
      <c r="G1371" s="6" t="n">
        <v>0</v>
      </c>
      <c r="H1371" s="6" t="n">
        <v>0</v>
      </c>
      <c r="I1371" s="6" t="n">
        <v>0</v>
      </c>
      <c r="J1371" s="4" t="s">
        <v>18</v>
      </c>
      <c r="K1371" s="4" t="s">
        <v>19</v>
      </c>
      <c r="L1371" s="4" t="s">
        <v>20</v>
      </c>
    </row>
    <row r="1372" customFormat="false" ht="22.35" hidden="false" customHeight="false" outlineLevel="0" collapsed="false">
      <c r="A1372" s="7" t="s">
        <v>1402</v>
      </c>
      <c r="B1372" s="7" t="s">
        <v>14</v>
      </c>
      <c r="C1372" s="7" t="s">
        <v>929</v>
      </c>
      <c r="D1372" s="7" t="s">
        <v>930</v>
      </c>
      <c r="E1372" s="7" t="s">
        <v>44</v>
      </c>
      <c r="F1372" s="8" t="n">
        <v>10.07</v>
      </c>
      <c r="G1372" s="9" t="n">
        <v>0</v>
      </c>
      <c r="H1372" s="9" t="n">
        <v>0</v>
      </c>
      <c r="I1372" s="9" t="n">
        <v>0</v>
      </c>
      <c r="J1372" s="7" t="s">
        <v>18</v>
      </c>
      <c r="K1372" s="7" t="s">
        <v>19</v>
      </c>
      <c r="L1372" s="7" t="s">
        <v>20</v>
      </c>
    </row>
    <row r="1373" customFormat="false" ht="22.35" hidden="false" customHeight="false" outlineLevel="0" collapsed="false">
      <c r="A1373" s="4" t="s">
        <v>1403</v>
      </c>
      <c r="B1373" s="4" t="s">
        <v>14</v>
      </c>
      <c r="C1373" s="4" t="s">
        <v>929</v>
      </c>
      <c r="D1373" s="4" t="s">
        <v>930</v>
      </c>
      <c r="E1373" s="4" t="s">
        <v>44</v>
      </c>
      <c r="F1373" s="5" t="n">
        <v>13.05</v>
      </c>
      <c r="G1373" s="6" t="n">
        <v>0</v>
      </c>
      <c r="H1373" s="6" t="n">
        <v>0</v>
      </c>
      <c r="I1373" s="6" t="n">
        <v>0</v>
      </c>
      <c r="J1373" s="4" t="s">
        <v>18</v>
      </c>
      <c r="K1373" s="4" t="s">
        <v>19</v>
      </c>
      <c r="L1373" s="4" t="s">
        <v>20</v>
      </c>
    </row>
    <row r="1374" customFormat="false" ht="22.35" hidden="false" customHeight="false" outlineLevel="0" collapsed="false">
      <c r="A1374" s="7" t="s">
        <v>1404</v>
      </c>
      <c r="B1374" s="7" t="s">
        <v>14</v>
      </c>
      <c r="C1374" s="7" t="s">
        <v>929</v>
      </c>
      <c r="D1374" s="7" t="s">
        <v>930</v>
      </c>
      <c r="E1374" s="7" t="s">
        <v>44</v>
      </c>
      <c r="F1374" s="8" t="n">
        <v>15.9</v>
      </c>
      <c r="G1374" s="9" t="n">
        <v>0</v>
      </c>
      <c r="H1374" s="9" t="n">
        <v>0</v>
      </c>
      <c r="I1374" s="9" t="n">
        <v>0</v>
      </c>
      <c r="J1374" s="7" t="s">
        <v>18</v>
      </c>
      <c r="K1374" s="7" t="s">
        <v>19</v>
      </c>
      <c r="L1374" s="7" t="s">
        <v>20</v>
      </c>
    </row>
    <row r="1375" customFormat="false" ht="22.35" hidden="false" customHeight="false" outlineLevel="0" collapsed="false">
      <c r="A1375" s="4" t="s">
        <v>1405</v>
      </c>
      <c r="B1375" s="4" t="s">
        <v>14</v>
      </c>
      <c r="C1375" s="4" t="s">
        <v>929</v>
      </c>
      <c r="D1375" s="4" t="s">
        <v>930</v>
      </c>
      <c r="E1375" s="4" t="s">
        <v>44</v>
      </c>
      <c r="F1375" s="5" t="n">
        <v>5.25</v>
      </c>
      <c r="G1375" s="6" t="n">
        <v>0</v>
      </c>
      <c r="H1375" s="6" t="n">
        <v>0</v>
      </c>
      <c r="I1375" s="6" t="n">
        <v>0</v>
      </c>
      <c r="J1375" s="4" t="s">
        <v>18</v>
      </c>
      <c r="K1375" s="4" t="s">
        <v>19</v>
      </c>
      <c r="L1375" s="4" t="s">
        <v>20</v>
      </c>
    </row>
    <row r="1376" customFormat="false" ht="22.35" hidden="false" customHeight="false" outlineLevel="0" collapsed="false">
      <c r="A1376" s="7" t="s">
        <v>1406</v>
      </c>
      <c r="B1376" s="7" t="s">
        <v>14</v>
      </c>
      <c r="C1376" s="7" t="s">
        <v>929</v>
      </c>
      <c r="D1376" s="7" t="s">
        <v>930</v>
      </c>
      <c r="E1376" s="7" t="s">
        <v>44</v>
      </c>
      <c r="F1376" s="8" t="n">
        <v>14.57</v>
      </c>
      <c r="G1376" s="9" t="n">
        <v>0</v>
      </c>
      <c r="H1376" s="9" t="n">
        <v>0</v>
      </c>
      <c r="I1376" s="9" t="n">
        <v>0</v>
      </c>
      <c r="J1376" s="7" t="s">
        <v>18</v>
      </c>
      <c r="K1376" s="7" t="s">
        <v>19</v>
      </c>
      <c r="L1376" s="7" t="s">
        <v>20</v>
      </c>
    </row>
    <row r="1377" customFormat="false" ht="22.35" hidden="false" customHeight="false" outlineLevel="0" collapsed="false">
      <c r="A1377" s="4" t="s">
        <v>1407</v>
      </c>
      <c r="B1377" s="4" t="s">
        <v>14</v>
      </c>
      <c r="C1377" s="4" t="s">
        <v>929</v>
      </c>
      <c r="D1377" s="4" t="s">
        <v>930</v>
      </c>
      <c r="E1377" s="4" t="s">
        <v>44</v>
      </c>
      <c r="F1377" s="5" t="n">
        <v>12</v>
      </c>
      <c r="G1377" s="6" t="n">
        <v>0</v>
      </c>
      <c r="H1377" s="6" t="n">
        <v>0</v>
      </c>
      <c r="I1377" s="6" t="n">
        <v>0</v>
      </c>
      <c r="J1377" s="4" t="s">
        <v>18</v>
      </c>
      <c r="K1377" s="4" t="s">
        <v>19</v>
      </c>
      <c r="L1377" s="4" t="s">
        <v>20</v>
      </c>
    </row>
    <row r="1378" customFormat="false" ht="22.35" hidden="false" customHeight="false" outlineLevel="0" collapsed="false">
      <c r="A1378" s="7" t="s">
        <v>1408</v>
      </c>
      <c r="B1378" s="7" t="s">
        <v>14</v>
      </c>
      <c r="C1378" s="7" t="s">
        <v>929</v>
      </c>
      <c r="D1378" s="7" t="s">
        <v>930</v>
      </c>
      <c r="E1378" s="7" t="s">
        <v>44</v>
      </c>
      <c r="F1378" s="8" t="n">
        <v>14.57</v>
      </c>
      <c r="G1378" s="9" t="n">
        <v>0</v>
      </c>
      <c r="H1378" s="9" t="n">
        <v>0</v>
      </c>
      <c r="I1378" s="9" t="n">
        <v>0</v>
      </c>
      <c r="J1378" s="7" t="s">
        <v>18</v>
      </c>
      <c r="K1378" s="7" t="s">
        <v>19</v>
      </c>
      <c r="L1378" s="7" t="s">
        <v>20</v>
      </c>
    </row>
    <row r="1379" customFormat="false" ht="22.35" hidden="false" customHeight="false" outlineLevel="0" collapsed="false">
      <c r="A1379" s="4" t="s">
        <v>1409</v>
      </c>
      <c r="B1379" s="4" t="s">
        <v>14</v>
      </c>
      <c r="C1379" s="4" t="s">
        <v>929</v>
      </c>
      <c r="D1379" s="4" t="s">
        <v>930</v>
      </c>
      <c r="E1379" s="4" t="s">
        <v>44</v>
      </c>
      <c r="F1379" s="5" t="n">
        <v>9.57</v>
      </c>
      <c r="G1379" s="6" t="n">
        <v>0</v>
      </c>
      <c r="H1379" s="6" t="n">
        <v>0</v>
      </c>
      <c r="I1379" s="6" t="n">
        <v>0</v>
      </c>
      <c r="J1379" s="4" t="s">
        <v>18</v>
      </c>
      <c r="K1379" s="4" t="s">
        <v>19</v>
      </c>
      <c r="L1379" s="4" t="s">
        <v>20</v>
      </c>
    </row>
    <row r="1380" customFormat="false" ht="22.35" hidden="false" customHeight="false" outlineLevel="0" collapsed="false">
      <c r="A1380" s="7" t="s">
        <v>1410</v>
      </c>
      <c r="B1380" s="7" t="s">
        <v>14</v>
      </c>
      <c r="C1380" s="7" t="s">
        <v>929</v>
      </c>
      <c r="D1380" s="7" t="s">
        <v>930</v>
      </c>
      <c r="E1380" s="7" t="s">
        <v>44</v>
      </c>
      <c r="F1380" s="8" t="n">
        <v>10</v>
      </c>
      <c r="G1380" s="9" t="n">
        <v>0</v>
      </c>
      <c r="H1380" s="9" t="n">
        <v>0</v>
      </c>
      <c r="I1380" s="9" t="n">
        <v>0</v>
      </c>
      <c r="J1380" s="7" t="s">
        <v>18</v>
      </c>
      <c r="K1380" s="7" t="s">
        <v>19</v>
      </c>
      <c r="L1380" s="7" t="s">
        <v>20</v>
      </c>
    </row>
    <row r="1381" customFormat="false" ht="22.35" hidden="false" customHeight="false" outlineLevel="0" collapsed="false">
      <c r="A1381" s="4" t="s">
        <v>1411</v>
      </c>
      <c r="B1381" s="4" t="s">
        <v>14</v>
      </c>
      <c r="C1381" s="4" t="s">
        <v>929</v>
      </c>
      <c r="D1381" s="4" t="s">
        <v>930</v>
      </c>
      <c r="E1381" s="4" t="s">
        <v>44</v>
      </c>
      <c r="F1381" s="5" t="n">
        <v>12</v>
      </c>
      <c r="G1381" s="6" t="n">
        <v>0</v>
      </c>
      <c r="H1381" s="6" t="n">
        <v>0</v>
      </c>
      <c r="I1381" s="6" t="n">
        <v>0</v>
      </c>
      <c r="J1381" s="4" t="s">
        <v>18</v>
      </c>
      <c r="K1381" s="4" t="s">
        <v>19</v>
      </c>
      <c r="L1381" s="4" t="s">
        <v>20</v>
      </c>
    </row>
    <row r="1382" customFormat="false" ht="22.35" hidden="false" customHeight="false" outlineLevel="0" collapsed="false">
      <c r="A1382" s="7" t="s">
        <v>1412</v>
      </c>
      <c r="B1382" s="7" t="s">
        <v>14</v>
      </c>
      <c r="C1382" s="7" t="s">
        <v>929</v>
      </c>
      <c r="D1382" s="7" t="s">
        <v>930</v>
      </c>
      <c r="E1382" s="7" t="s">
        <v>44</v>
      </c>
      <c r="F1382" s="8" t="n">
        <v>0</v>
      </c>
      <c r="G1382" s="9" t="n">
        <v>0</v>
      </c>
      <c r="H1382" s="9" t="n">
        <v>0</v>
      </c>
      <c r="I1382" s="9" t="n">
        <v>0</v>
      </c>
      <c r="J1382" s="7" t="s">
        <v>18</v>
      </c>
      <c r="K1382" s="7" t="s">
        <v>19</v>
      </c>
      <c r="L1382" s="7" t="s">
        <v>20</v>
      </c>
    </row>
    <row r="1383" customFormat="false" ht="22.35" hidden="false" customHeight="false" outlineLevel="0" collapsed="false">
      <c r="A1383" s="4" t="s">
        <v>1413</v>
      </c>
      <c r="B1383" s="4" t="s">
        <v>14</v>
      </c>
      <c r="C1383" s="4" t="s">
        <v>929</v>
      </c>
      <c r="D1383" s="4" t="s">
        <v>930</v>
      </c>
      <c r="E1383" s="4" t="s">
        <v>44</v>
      </c>
      <c r="F1383" s="5" t="n">
        <v>0</v>
      </c>
      <c r="G1383" s="6" t="n">
        <v>0</v>
      </c>
      <c r="H1383" s="6" t="n">
        <v>0</v>
      </c>
      <c r="I1383" s="6" t="n">
        <v>0</v>
      </c>
      <c r="J1383" s="4" t="s">
        <v>18</v>
      </c>
      <c r="K1383" s="4" t="s">
        <v>19</v>
      </c>
      <c r="L1383" s="4" t="s">
        <v>20</v>
      </c>
    </row>
    <row r="1384" customFormat="false" ht="22.35" hidden="false" customHeight="false" outlineLevel="0" collapsed="false">
      <c r="A1384" s="7" t="s">
        <v>1414</v>
      </c>
      <c r="B1384" s="7" t="s">
        <v>14</v>
      </c>
      <c r="C1384" s="7" t="s">
        <v>929</v>
      </c>
      <c r="D1384" s="7" t="s">
        <v>930</v>
      </c>
      <c r="E1384" s="7" t="s">
        <v>44</v>
      </c>
      <c r="F1384" s="8" t="n">
        <v>0</v>
      </c>
      <c r="G1384" s="9" t="n">
        <v>0</v>
      </c>
      <c r="H1384" s="9" t="n">
        <v>0</v>
      </c>
      <c r="I1384" s="9" t="n">
        <v>0</v>
      </c>
      <c r="J1384" s="7" t="s">
        <v>18</v>
      </c>
      <c r="K1384" s="7" t="s">
        <v>19</v>
      </c>
      <c r="L1384" s="7" t="s">
        <v>20</v>
      </c>
    </row>
    <row r="1385" customFormat="false" ht="22.35" hidden="false" customHeight="false" outlineLevel="0" collapsed="false">
      <c r="A1385" s="4" t="s">
        <v>1415</v>
      </c>
      <c r="B1385" s="4" t="s">
        <v>14</v>
      </c>
      <c r="C1385" s="4" t="s">
        <v>929</v>
      </c>
      <c r="D1385" s="4" t="s">
        <v>930</v>
      </c>
      <c r="E1385" s="4" t="s">
        <v>44</v>
      </c>
      <c r="F1385" s="5" t="n">
        <v>0</v>
      </c>
      <c r="G1385" s="6" t="n">
        <v>0</v>
      </c>
      <c r="H1385" s="6" t="n">
        <v>0</v>
      </c>
      <c r="I1385" s="6" t="n">
        <v>0</v>
      </c>
      <c r="J1385" s="4" t="s">
        <v>18</v>
      </c>
      <c r="K1385" s="4" t="s">
        <v>19</v>
      </c>
      <c r="L1385" s="4" t="s">
        <v>20</v>
      </c>
    </row>
    <row r="1386" customFormat="false" ht="22.35" hidden="false" customHeight="false" outlineLevel="0" collapsed="false">
      <c r="A1386" s="7" t="s">
        <v>1416</v>
      </c>
      <c r="B1386" s="7" t="s">
        <v>14</v>
      </c>
      <c r="C1386" s="7" t="s">
        <v>929</v>
      </c>
      <c r="D1386" s="7" t="s">
        <v>930</v>
      </c>
      <c r="E1386" s="7" t="s">
        <v>44</v>
      </c>
      <c r="F1386" s="8" t="n">
        <v>4.92</v>
      </c>
      <c r="G1386" s="9" t="n">
        <v>0</v>
      </c>
      <c r="H1386" s="9" t="n">
        <v>0</v>
      </c>
      <c r="I1386" s="9" t="n">
        <v>0</v>
      </c>
      <c r="J1386" s="7" t="s">
        <v>18</v>
      </c>
      <c r="K1386" s="7" t="s">
        <v>19</v>
      </c>
      <c r="L1386" s="7" t="s">
        <v>20</v>
      </c>
    </row>
    <row r="1387" customFormat="false" ht="22.35" hidden="false" customHeight="false" outlineLevel="0" collapsed="false">
      <c r="A1387" s="4" t="s">
        <v>1417</v>
      </c>
      <c r="B1387" s="4" t="s">
        <v>14</v>
      </c>
      <c r="C1387" s="4" t="s">
        <v>929</v>
      </c>
      <c r="D1387" s="4" t="s">
        <v>930</v>
      </c>
      <c r="E1387" s="4" t="s">
        <v>44</v>
      </c>
      <c r="F1387" s="5" t="n">
        <v>3.82</v>
      </c>
      <c r="G1387" s="6" t="n">
        <v>0</v>
      </c>
      <c r="H1387" s="6" t="n">
        <v>0</v>
      </c>
      <c r="I1387" s="6" t="n">
        <v>0</v>
      </c>
      <c r="J1387" s="4" t="s">
        <v>18</v>
      </c>
      <c r="K1387" s="4" t="s">
        <v>19</v>
      </c>
      <c r="L1387" s="4" t="s">
        <v>20</v>
      </c>
    </row>
    <row r="1388" customFormat="false" ht="22.35" hidden="false" customHeight="false" outlineLevel="0" collapsed="false">
      <c r="A1388" s="7" t="s">
        <v>1418</v>
      </c>
      <c r="B1388" s="7" t="s">
        <v>14</v>
      </c>
      <c r="C1388" s="7" t="s">
        <v>929</v>
      </c>
      <c r="D1388" s="7" t="s">
        <v>930</v>
      </c>
      <c r="E1388" s="7" t="s">
        <v>44</v>
      </c>
      <c r="F1388" s="8" t="n">
        <v>0.9852</v>
      </c>
      <c r="G1388" s="9" t="n">
        <v>0</v>
      </c>
      <c r="H1388" s="9" t="n">
        <v>0</v>
      </c>
      <c r="I1388" s="9" t="n">
        <v>0</v>
      </c>
      <c r="J1388" s="7" t="s">
        <v>18</v>
      </c>
      <c r="K1388" s="7" t="s">
        <v>19</v>
      </c>
      <c r="L1388" s="7" t="s">
        <v>20</v>
      </c>
    </row>
    <row r="1389" customFormat="false" ht="22.35" hidden="false" customHeight="false" outlineLevel="0" collapsed="false">
      <c r="A1389" s="4" t="s">
        <v>1419</v>
      </c>
      <c r="B1389" s="4" t="s">
        <v>14</v>
      </c>
      <c r="C1389" s="4" t="s">
        <v>929</v>
      </c>
      <c r="D1389" s="4" t="s">
        <v>930</v>
      </c>
      <c r="E1389" s="4" t="s">
        <v>44</v>
      </c>
      <c r="F1389" s="5" t="n">
        <v>0</v>
      </c>
      <c r="G1389" s="6" t="n">
        <v>0</v>
      </c>
      <c r="H1389" s="6" t="n">
        <v>0</v>
      </c>
      <c r="I1389" s="6" t="n">
        <v>0</v>
      </c>
      <c r="J1389" s="4" t="s">
        <v>18</v>
      </c>
      <c r="K1389" s="4" t="s">
        <v>19</v>
      </c>
      <c r="L1389" s="4" t="s">
        <v>20</v>
      </c>
    </row>
    <row r="1390" customFormat="false" ht="22.35" hidden="false" customHeight="false" outlineLevel="0" collapsed="false">
      <c r="A1390" s="7" t="s">
        <v>1420</v>
      </c>
      <c r="B1390" s="7" t="s">
        <v>14</v>
      </c>
      <c r="C1390" s="7" t="s">
        <v>929</v>
      </c>
      <c r="D1390" s="7" t="s">
        <v>930</v>
      </c>
      <c r="E1390" s="7" t="s">
        <v>44</v>
      </c>
      <c r="F1390" s="8" t="n">
        <v>0.43</v>
      </c>
      <c r="G1390" s="9" t="n">
        <v>0</v>
      </c>
      <c r="H1390" s="9" t="n">
        <v>0</v>
      </c>
      <c r="I1390" s="9" t="n">
        <v>0</v>
      </c>
      <c r="J1390" s="7" t="s">
        <v>18</v>
      </c>
      <c r="K1390" s="7" t="s">
        <v>19</v>
      </c>
      <c r="L1390" s="7" t="s">
        <v>20</v>
      </c>
    </row>
    <row r="1391" customFormat="false" ht="22.35" hidden="false" customHeight="false" outlineLevel="0" collapsed="false">
      <c r="A1391" s="4" t="s">
        <v>1421</v>
      </c>
      <c r="B1391" s="4" t="s">
        <v>14</v>
      </c>
      <c r="C1391" s="4" t="s">
        <v>929</v>
      </c>
      <c r="D1391" s="4" t="s">
        <v>930</v>
      </c>
      <c r="E1391" s="4" t="s">
        <v>44</v>
      </c>
      <c r="F1391" s="5" t="n">
        <v>2.72</v>
      </c>
      <c r="G1391" s="6" t="n">
        <v>0</v>
      </c>
      <c r="H1391" s="6" t="n">
        <v>0</v>
      </c>
      <c r="I1391" s="6" t="n">
        <v>0</v>
      </c>
      <c r="J1391" s="4" t="s">
        <v>18</v>
      </c>
      <c r="K1391" s="4" t="s">
        <v>19</v>
      </c>
      <c r="L1391" s="4" t="s">
        <v>20</v>
      </c>
    </row>
    <row r="1392" customFormat="false" ht="22.35" hidden="false" customHeight="false" outlineLevel="0" collapsed="false">
      <c r="A1392" s="7" t="s">
        <v>1422</v>
      </c>
      <c r="B1392" s="7" t="s">
        <v>14</v>
      </c>
      <c r="C1392" s="7" t="s">
        <v>929</v>
      </c>
      <c r="D1392" s="7" t="s">
        <v>930</v>
      </c>
      <c r="E1392" s="7" t="s">
        <v>44</v>
      </c>
      <c r="F1392" s="8" t="n">
        <v>3.13</v>
      </c>
      <c r="G1392" s="9" t="n">
        <v>0</v>
      </c>
      <c r="H1392" s="9" t="n">
        <v>0</v>
      </c>
      <c r="I1392" s="9" t="n">
        <v>0</v>
      </c>
      <c r="J1392" s="7" t="s">
        <v>18</v>
      </c>
      <c r="K1392" s="7" t="s">
        <v>19</v>
      </c>
      <c r="L1392" s="7" t="s">
        <v>20</v>
      </c>
    </row>
    <row r="1393" customFormat="false" ht="22.35" hidden="false" customHeight="false" outlineLevel="0" collapsed="false">
      <c r="A1393" s="4" t="s">
        <v>1423</v>
      </c>
      <c r="B1393" s="4" t="s">
        <v>14</v>
      </c>
      <c r="C1393" s="4" t="s">
        <v>929</v>
      </c>
      <c r="D1393" s="4" t="s">
        <v>930</v>
      </c>
      <c r="E1393" s="4" t="s">
        <v>44</v>
      </c>
      <c r="F1393" s="5" t="n">
        <v>2.03</v>
      </c>
      <c r="G1393" s="6" t="n">
        <v>0</v>
      </c>
      <c r="H1393" s="6" t="n">
        <v>0</v>
      </c>
      <c r="I1393" s="6" t="n">
        <v>0</v>
      </c>
      <c r="J1393" s="4" t="s">
        <v>18</v>
      </c>
      <c r="K1393" s="4" t="s">
        <v>19</v>
      </c>
      <c r="L1393" s="4" t="s">
        <v>20</v>
      </c>
    </row>
    <row r="1394" customFormat="false" ht="22.35" hidden="false" customHeight="false" outlineLevel="0" collapsed="false">
      <c r="A1394" s="7" t="s">
        <v>1424</v>
      </c>
      <c r="B1394" s="7" t="s">
        <v>14</v>
      </c>
      <c r="C1394" s="7" t="s">
        <v>929</v>
      </c>
      <c r="D1394" s="7" t="s">
        <v>930</v>
      </c>
      <c r="E1394" s="7" t="s">
        <v>44</v>
      </c>
      <c r="F1394" s="8" t="n">
        <v>0.28</v>
      </c>
      <c r="G1394" s="9" t="n">
        <v>0</v>
      </c>
      <c r="H1394" s="9" t="n">
        <v>0</v>
      </c>
      <c r="I1394" s="9" t="n">
        <v>0</v>
      </c>
      <c r="J1394" s="7" t="s">
        <v>18</v>
      </c>
      <c r="K1394" s="7" t="s">
        <v>19</v>
      </c>
      <c r="L1394" s="7" t="s">
        <v>20</v>
      </c>
    </row>
    <row r="1395" customFormat="false" ht="22.35" hidden="false" customHeight="false" outlineLevel="0" collapsed="false">
      <c r="A1395" s="4" t="s">
        <v>1425</v>
      </c>
      <c r="B1395" s="4" t="s">
        <v>14</v>
      </c>
      <c r="C1395" s="4" t="s">
        <v>929</v>
      </c>
      <c r="D1395" s="4" t="s">
        <v>930</v>
      </c>
      <c r="E1395" s="4" t="s">
        <v>44</v>
      </c>
      <c r="F1395" s="5" t="n">
        <v>0.21</v>
      </c>
      <c r="G1395" s="6" t="n">
        <v>0</v>
      </c>
      <c r="H1395" s="6" t="n">
        <v>0</v>
      </c>
      <c r="I1395" s="6" t="n">
        <v>0</v>
      </c>
      <c r="J1395" s="4" t="s">
        <v>18</v>
      </c>
      <c r="K1395" s="4" t="s">
        <v>19</v>
      </c>
      <c r="L1395" s="4" t="s">
        <v>20</v>
      </c>
    </row>
    <row r="1396" customFormat="false" ht="22.35" hidden="false" customHeight="false" outlineLevel="0" collapsed="false">
      <c r="A1396" s="7" t="s">
        <v>1426</v>
      </c>
      <c r="B1396" s="7" t="s">
        <v>14</v>
      </c>
      <c r="C1396" s="7" t="s">
        <v>929</v>
      </c>
      <c r="D1396" s="7" t="s">
        <v>930</v>
      </c>
      <c r="E1396" s="7" t="s">
        <v>44</v>
      </c>
      <c r="F1396" s="8" t="n">
        <v>0.18</v>
      </c>
      <c r="G1396" s="9" t="n">
        <v>0</v>
      </c>
      <c r="H1396" s="9" t="n">
        <v>0</v>
      </c>
      <c r="I1396" s="9" t="n">
        <v>0</v>
      </c>
      <c r="J1396" s="7" t="s">
        <v>18</v>
      </c>
      <c r="K1396" s="7" t="s">
        <v>19</v>
      </c>
      <c r="L1396" s="7" t="s">
        <v>20</v>
      </c>
    </row>
    <row r="1397" customFormat="false" ht="22.35" hidden="false" customHeight="false" outlineLevel="0" collapsed="false">
      <c r="A1397" s="4" t="s">
        <v>1427</v>
      </c>
      <c r="B1397" s="4" t="s">
        <v>14</v>
      </c>
      <c r="C1397" s="4" t="s">
        <v>929</v>
      </c>
      <c r="D1397" s="4" t="s">
        <v>930</v>
      </c>
      <c r="E1397" s="4" t="s">
        <v>44</v>
      </c>
      <c r="F1397" s="5" t="n">
        <v>0.08</v>
      </c>
      <c r="G1397" s="6" t="n">
        <v>0</v>
      </c>
      <c r="H1397" s="6" t="n">
        <v>0</v>
      </c>
      <c r="I1397" s="6" t="n">
        <v>0</v>
      </c>
      <c r="J1397" s="4" t="s">
        <v>18</v>
      </c>
      <c r="K1397" s="4" t="s">
        <v>19</v>
      </c>
      <c r="L1397" s="4" t="s">
        <v>20</v>
      </c>
    </row>
    <row r="1398" customFormat="false" ht="22.35" hidden="false" customHeight="false" outlineLevel="0" collapsed="false">
      <c r="A1398" s="7" t="s">
        <v>1428</v>
      </c>
      <c r="B1398" s="7" t="s">
        <v>14</v>
      </c>
      <c r="C1398" s="7" t="s">
        <v>929</v>
      </c>
      <c r="D1398" s="7" t="s">
        <v>930</v>
      </c>
      <c r="E1398" s="7" t="s">
        <v>44</v>
      </c>
      <c r="F1398" s="8" t="n">
        <v>0</v>
      </c>
      <c r="G1398" s="9" t="n">
        <v>0</v>
      </c>
      <c r="H1398" s="9" t="n">
        <v>0</v>
      </c>
      <c r="I1398" s="9" t="n">
        <v>0</v>
      </c>
      <c r="J1398" s="7" t="s">
        <v>18</v>
      </c>
      <c r="K1398" s="7" t="s">
        <v>19</v>
      </c>
      <c r="L1398" s="7" t="s">
        <v>20</v>
      </c>
    </row>
    <row r="1399" customFormat="false" ht="22.35" hidden="false" customHeight="false" outlineLevel="0" collapsed="false">
      <c r="A1399" s="4" t="s">
        <v>1429</v>
      </c>
      <c r="B1399" s="4" t="s">
        <v>14</v>
      </c>
      <c r="C1399" s="4" t="s">
        <v>929</v>
      </c>
      <c r="D1399" s="4" t="s">
        <v>930</v>
      </c>
      <c r="E1399" s="4" t="s">
        <v>44</v>
      </c>
      <c r="F1399" s="5" t="n">
        <v>1.02</v>
      </c>
      <c r="G1399" s="6" t="n">
        <v>0</v>
      </c>
      <c r="H1399" s="6" t="n">
        <v>0</v>
      </c>
      <c r="I1399" s="6" t="n">
        <v>0</v>
      </c>
      <c r="J1399" s="4" t="s">
        <v>18</v>
      </c>
      <c r="K1399" s="4" t="s">
        <v>19</v>
      </c>
      <c r="L1399" s="4" t="s">
        <v>20</v>
      </c>
    </row>
    <row r="1400" customFormat="false" ht="22.35" hidden="false" customHeight="false" outlineLevel="0" collapsed="false">
      <c r="A1400" s="7" t="s">
        <v>1430</v>
      </c>
      <c r="B1400" s="7" t="s">
        <v>14</v>
      </c>
      <c r="C1400" s="7" t="s">
        <v>929</v>
      </c>
      <c r="D1400" s="7" t="s">
        <v>930</v>
      </c>
      <c r="E1400" s="7" t="s">
        <v>44</v>
      </c>
      <c r="F1400" s="8" t="n">
        <v>0.11</v>
      </c>
      <c r="G1400" s="9" t="n">
        <v>0</v>
      </c>
      <c r="H1400" s="9" t="n">
        <v>0</v>
      </c>
      <c r="I1400" s="9" t="n">
        <v>0</v>
      </c>
      <c r="J1400" s="7" t="s">
        <v>18</v>
      </c>
      <c r="K1400" s="7" t="s">
        <v>19</v>
      </c>
      <c r="L1400" s="7" t="s">
        <v>20</v>
      </c>
    </row>
    <row r="1401" customFormat="false" ht="22.35" hidden="false" customHeight="false" outlineLevel="0" collapsed="false">
      <c r="A1401" s="4" t="s">
        <v>1431</v>
      </c>
      <c r="B1401" s="4" t="s">
        <v>14</v>
      </c>
      <c r="C1401" s="4" t="s">
        <v>929</v>
      </c>
      <c r="D1401" s="4" t="s">
        <v>930</v>
      </c>
      <c r="E1401" s="4" t="s">
        <v>44</v>
      </c>
      <c r="F1401" s="5" t="n">
        <v>3.03</v>
      </c>
      <c r="G1401" s="6" t="n">
        <v>0</v>
      </c>
      <c r="H1401" s="6" t="n">
        <v>0</v>
      </c>
      <c r="I1401" s="6" t="n">
        <v>0</v>
      </c>
      <c r="J1401" s="4" t="s">
        <v>18</v>
      </c>
      <c r="K1401" s="4" t="s">
        <v>19</v>
      </c>
      <c r="L1401" s="4" t="s">
        <v>20</v>
      </c>
    </row>
    <row r="1402" customFormat="false" ht="22.35" hidden="false" customHeight="false" outlineLevel="0" collapsed="false">
      <c r="A1402" s="7" t="s">
        <v>1432</v>
      </c>
      <c r="B1402" s="7" t="s">
        <v>14</v>
      </c>
      <c r="C1402" s="7" t="s">
        <v>929</v>
      </c>
      <c r="D1402" s="7" t="s">
        <v>930</v>
      </c>
      <c r="E1402" s="7" t="s">
        <v>44</v>
      </c>
      <c r="F1402" s="8" t="n">
        <v>1.21</v>
      </c>
      <c r="G1402" s="9" t="n">
        <v>0</v>
      </c>
      <c r="H1402" s="9" t="n">
        <v>0</v>
      </c>
      <c r="I1402" s="9" t="n">
        <v>0</v>
      </c>
      <c r="J1402" s="7" t="s">
        <v>18</v>
      </c>
      <c r="K1402" s="7" t="s">
        <v>19</v>
      </c>
      <c r="L1402" s="7" t="s">
        <v>20</v>
      </c>
    </row>
    <row r="1403" customFormat="false" ht="22.35" hidden="false" customHeight="false" outlineLevel="0" collapsed="false">
      <c r="A1403" s="4" t="s">
        <v>1433</v>
      </c>
      <c r="B1403" s="4" t="s">
        <v>14</v>
      </c>
      <c r="C1403" s="4" t="s">
        <v>929</v>
      </c>
      <c r="D1403" s="4" t="s">
        <v>930</v>
      </c>
      <c r="E1403" s="4" t="s">
        <v>44</v>
      </c>
      <c r="F1403" s="5" t="n">
        <v>0.47</v>
      </c>
      <c r="G1403" s="6" t="n">
        <v>0</v>
      </c>
      <c r="H1403" s="6" t="n">
        <v>0</v>
      </c>
      <c r="I1403" s="6" t="n">
        <v>0</v>
      </c>
      <c r="J1403" s="4" t="s">
        <v>18</v>
      </c>
      <c r="K1403" s="4" t="s">
        <v>19</v>
      </c>
      <c r="L1403" s="4" t="s">
        <v>20</v>
      </c>
    </row>
    <row r="1404" customFormat="false" ht="22.35" hidden="false" customHeight="false" outlineLevel="0" collapsed="false">
      <c r="A1404" s="7" t="s">
        <v>1434</v>
      </c>
      <c r="B1404" s="7" t="s">
        <v>14</v>
      </c>
      <c r="C1404" s="7" t="s">
        <v>929</v>
      </c>
      <c r="D1404" s="7" t="s">
        <v>930</v>
      </c>
      <c r="E1404" s="7" t="s">
        <v>44</v>
      </c>
      <c r="F1404" s="8" t="n">
        <v>0.43</v>
      </c>
      <c r="G1404" s="9" t="n">
        <v>0</v>
      </c>
      <c r="H1404" s="9" t="n">
        <v>0</v>
      </c>
      <c r="I1404" s="9" t="n">
        <v>0</v>
      </c>
      <c r="J1404" s="7" t="s">
        <v>18</v>
      </c>
      <c r="K1404" s="7" t="s">
        <v>19</v>
      </c>
      <c r="L1404" s="7" t="s">
        <v>20</v>
      </c>
    </row>
    <row r="1405" customFormat="false" ht="22.35" hidden="false" customHeight="false" outlineLevel="0" collapsed="false">
      <c r="A1405" s="4" t="s">
        <v>1435</v>
      </c>
      <c r="B1405" s="4" t="s">
        <v>14</v>
      </c>
      <c r="C1405" s="4" t="s">
        <v>929</v>
      </c>
      <c r="D1405" s="4" t="s">
        <v>930</v>
      </c>
      <c r="E1405" s="4" t="s">
        <v>44</v>
      </c>
      <c r="F1405" s="5" t="n">
        <v>5.01</v>
      </c>
      <c r="G1405" s="6" t="n">
        <v>0</v>
      </c>
      <c r="H1405" s="6" t="n">
        <v>0</v>
      </c>
      <c r="I1405" s="6" t="n">
        <v>0</v>
      </c>
      <c r="J1405" s="4" t="s">
        <v>18</v>
      </c>
      <c r="K1405" s="4" t="s">
        <v>19</v>
      </c>
      <c r="L1405" s="4" t="s">
        <v>20</v>
      </c>
    </row>
    <row r="1406" customFormat="false" ht="22.35" hidden="false" customHeight="false" outlineLevel="0" collapsed="false">
      <c r="A1406" s="7" t="s">
        <v>1436</v>
      </c>
      <c r="B1406" s="7" t="s">
        <v>14</v>
      </c>
      <c r="C1406" s="7" t="s">
        <v>929</v>
      </c>
      <c r="D1406" s="7" t="s">
        <v>930</v>
      </c>
      <c r="E1406" s="7" t="s">
        <v>44</v>
      </c>
      <c r="F1406" s="8" t="n">
        <v>1.6882</v>
      </c>
      <c r="G1406" s="9" t="n">
        <v>0</v>
      </c>
      <c r="H1406" s="9" t="n">
        <v>0</v>
      </c>
      <c r="I1406" s="9" t="n">
        <v>0</v>
      </c>
      <c r="J1406" s="7" t="s">
        <v>18</v>
      </c>
      <c r="K1406" s="7" t="s">
        <v>19</v>
      </c>
      <c r="L1406" s="7" t="s">
        <v>20</v>
      </c>
    </row>
    <row r="1407" customFormat="false" ht="22.35" hidden="false" customHeight="false" outlineLevel="0" collapsed="false">
      <c r="A1407" s="4" t="s">
        <v>1437</v>
      </c>
      <c r="B1407" s="4" t="s">
        <v>14</v>
      </c>
      <c r="C1407" s="4" t="s">
        <v>929</v>
      </c>
      <c r="D1407" s="4" t="s">
        <v>930</v>
      </c>
      <c r="E1407" s="4" t="s">
        <v>44</v>
      </c>
      <c r="F1407" s="5" t="n">
        <v>0.66</v>
      </c>
      <c r="G1407" s="6" t="n">
        <v>0</v>
      </c>
      <c r="H1407" s="6" t="n">
        <v>0</v>
      </c>
      <c r="I1407" s="6" t="n">
        <v>0</v>
      </c>
      <c r="J1407" s="4" t="s">
        <v>18</v>
      </c>
      <c r="K1407" s="4" t="s">
        <v>19</v>
      </c>
      <c r="L1407" s="4" t="s">
        <v>20</v>
      </c>
    </row>
    <row r="1408" customFormat="false" ht="22.35" hidden="false" customHeight="false" outlineLevel="0" collapsed="false">
      <c r="A1408" s="7" t="s">
        <v>1438</v>
      </c>
      <c r="B1408" s="7" t="s">
        <v>14</v>
      </c>
      <c r="C1408" s="7" t="s">
        <v>929</v>
      </c>
      <c r="D1408" s="7" t="s">
        <v>930</v>
      </c>
      <c r="E1408" s="7" t="s">
        <v>44</v>
      </c>
      <c r="F1408" s="8" t="n">
        <v>0.382</v>
      </c>
      <c r="G1408" s="9" t="n">
        <v>0</v>
      </c>
      <c r="H1408" s="9" t="n">
        <v>0</v>
      </c>
      <c r="I1408" s="9" t="n">
        <v>0</v>
      </c>
      <c r="J1408" s="7" t="s">
        <v>18</v>
      </c>
      <c r="K1408" s="7" t="s">
        <v>19</v>
      </c>
      <c r="L1408" s="7" t="s">
        <v>20</v>
      </c>
    </row>
    <row r="1409" customFormat="false" ht="22.35" hidden="false" customHeight="false" outlineLevel="0" collapsed="false">
      <c r="A1409" s="4" t="s">
        <v>1439</v>
      </c>
      <c r="B1409" s="4" t="s">
        <v>14</v>
      </c>
      <c r="C1409" s="4" t="s">
        <v>929</v>
      </c>
      <c r="D1409" s="4" t="s">
        <v>930</v>
      </c>
      <c r="E1409" s="4" t="s">
        <v>44</v>
      </c>
      <c r="F1409" s="5" t="n">
        <v>0.9412</v>
      </c>
      <c r="G1409" s="6" t="n">
        <v>0</v>
      </c>
      <c r="H1409" s="6" t="n">
        <v>0</v>
      </c>
      <c r="I1409" s="6" t="n">
        <v>0</v>
      </c>
      <c r="J1409" s="4" t="s">
        <v>18</v>
      </c>
      <c r="K1409" s="4" t="s">
        <v>19</v>
      </c>
      <c r="L1409" s="4" t="s">
        <v>20</v>
      </c>
    </row>
    <row r="1410" customFormat="false" ht="22.35" hidden="false" customHeight="false" outlineLevel="0" collapsed="false">
      <c r="A1410" s="7" t="s">
        <v>1440</v>
      </c>
      <c r="B1410" s="7" t="s">
        <v>14</v>
      </c>
      <c r="C1410" s="7" t="s">
        <v>929</v>
      </c>
      <c r="D1410" s="7" t="s">
        <v>930</v>
      </c>
      <c r="E1410" s="7" t="s">
        <v>44</v>
      </c>
      <c r="F1410" s="8" t="n">
        <v>44.15</v>
      </c>
      <c r="G1410" s="9" t="n">
        <v>0</v>
      </c>
      <c r="H1410" s="9" t="n">
        <v>0</v>
      </c>
      <c r="I1410" s="9" t="n">
        <v>0</v>
      </c>
      <c r="J1410" s="7" t="s">
        <v>18</v>
      </c>
      <c r="K1410" s="7" t="s">
        <v>19</v>
      </c>
      <c r="L1410" s="7" t="s">
        <v>20</v>
      </c>
    </row>
    <row r="1411" customFormat="false" ht="22.35" hidden="false" customHeight="false" outlineLevel="0" collapsed="false">
      <c r="A1411" s="4" t="s">
        <v>1441</v>
      </c>
      <c r="B1411" s="4" t="s">
        <v>14</v>
      </c>
      <c r="C1411" s="4" t="s">
        <v>929</v>
      </c>
      <c r="D1411" s="4" t="s">
        <v>930</v>
      </c>
      <c r="E1411" s="4" t="s">
        <v>44</v>
      </c>
      <c r="F1411" s="5" t="n">
        <v>0.126</v>
      </c>
      <c r="G1411" s="6" t="n">
        <v>0</v>
      </c>
      <c r="H1411" s="6" t="n">
        <v>0</v>
      </c>
      <c r="I1411" s="6" t="n">
        <v>0</v>
      </c>
      <c r="J1411" s="4" t="s">
        <v>18</v>
      </c>
      <c r="K1411" s="4" t="s">
        <v>19</v>
      </c>
      <c r="L1411" s="4" t="s">
        <v>20</v>
      </c>
    </row>
    <row r="1412" customFormat="false" ht="22.35" hidden="false" customHeight="false" outlineLevel="0" collapsed="false">
      <c r="A1412" s="7" t="s">
        <v>1442</v>
      </c>
      <c r="B1412" s="7" t="s">
        <v>14</v>
      </c>
      <c r="C1412" s="7" t="s">
        <v>929</v>
      </c>
      <c r="D1412" s="7" t="s">
        <v>930</v>
      </c>
      <c r="E1412" s="7" t="s">
        <v>44</v>
      </c>
      <c r="F1412" s="8" t="n">
        <v>0.1</v>
      </c>
      <c r="G1412" s="9" t="n">
        <v>0</v>
      </c>
      <c r="H1412" s="9" t="n">
        <v>0</v>
      </c>
      <c r="I1412" s="9" t="n">
        <v>0</v>
      </c>
      <c r="J1412" s="7" t="s">
        <v>18</v>
      </c>
      <c r="K1412" s="7" t="s">
        <v>19</v>
      </c>
      <c r="L1412" s="7" t="s">
        <v>20</v>
      </c>
    </row>
    <row r="1413" customFormat="false" ht="22.35" hidden="false" customHeight="false" outlineLevel="0" collapsed="false">
      <c r="A1413" s="4" t="s">
        <v>1443</v>
      </c>
      <c r="B1413" s="4" t="s">
        <v>14</v>
      </c>
      <c r="C1413" s="4" t="s">
        <v>929</v>
      </c>
      <c r="D1413" s="4" t="s">
        <v>930</v>
      </c>
      <c r="E1413" s="4" t="s">
        <v>44</v>
      </c>
      <c r="F1413" s="5" t="n">
        <v>0.1345</v>
      </c>
      <c r="G1413" s="6" t="n">
        <v>0</v>
      </c>
      <c r="H1413" s="6" t="n">
        <v>0</v>
      </c>
      <c r="I1413" s="6" t="n">
        <v>0</v>
      </c>
      <c r="J1413" s="4" t="s">
        <v>18</v>
      </c>
      <c r="K1413" s="4" t="s">
        <v>19</v>
      </c>
      <c r="L1413" s="4" t="s">
        <v>20</v>
      </c>
    </row>
    <row r="1414" customFormat="false" ht="22.35" hidden="false" customHeight="false" outlineLevel="0" collapsed="false">
      <c r="A1414" s="7" t="s">
        <v>1444</v>
      </c>
      <c r="B1414" s="7" t="s">
        <v>14</v>
      </c>
      <c r="C1414" s="7" t="s">
        <v>929</v>
      </c>
      <c r="D1414" s="7" t="s">
        <v>930</v>
      </c>
      <c r="E1414" s="7" t="s">
        <v>44</v>
      </c>
      <c r="F1414" s="8" t="n">
        <v>4.1</v>
      </c>
      <c r="G1414" s="9" t="n">
        <v>0</v>
      </c>
      <c r="H1414" s="9" t="n">
        <v>0</v>
      </c>
      <c r="I1414" s="9" t="n">
        <v>0</v>
      </c>
      <c r="J1414" s="7" t="s">
        <v>18</v>
      </c>
      <c r="K1414" s="7" t="s">
        <v>19</v>
      </c>
      <c r="L1414" s="7" t="s">
        <v>20</v>
      </c>
    </row>
    <row r="1415" customFormat="false" ht="22.35" hidden="false" customHeight="false" outlineLevel="0" collapsed="false">
      <c r="A1415" s="4" t="s">
        <v>1445</v>
      </c>
      <c r="B1415" s="4" t="s">
        <v>14</v>
      </c>
      <c r="C1415" s="4" t="s">
        <v>929</v>
      </c>
      <c r="D1415" s="4" t="s">
        <v>930</v>
      </c>
      <c r="E1415" s="4" t="s">
        <v>44</v>
      </c>
      <c r="F1415" s="5" t="n">
        <v>0.086</v>
      </c>
      <c r="G1415" s="6" t="n">
        <v>0</v>
      </c>
      <c r="H1415" s="6" t="n">
        <v>0</v>
      </c>
      <c r="I1415" s="6" t="n">
        <v>0</v>
      </c>
      <c r="J1415" s="4" t="s">
        <v>18</v>
      </c>
      <c r="K1415" s="4" t="s">
        <v>19</v>
      </c>
      <c r="L1415" s="4" t="s">
        <v>20</v>
      </c>
    </row>
    <row r="1416" customFormat="false" ht="22.35" hidden="false" customHeight="false" outlineLevel="0" collapsed="false">
      <c r="A1416" s="7" t="s">
        <v>1446</v>
      </c>
      <c r="B1416" s="7" t="s">
        <v>14</v>
      </c>
      <c r="C1416" s="7" t="s">
        <v>929</v>
      </c>
      <c r="D1416" s="7" t="s">
        <v>930</v>
      </c>
      <c r="E1416" s="7" t="s">
        <v>44</v>
      </c>
      <c r="F1416" s="8" t="n">
        <v>0</v>
      </c>
      <c r="G1416" s="9" t="n">
        <v>0</v>
      </c>
      <c r="H1416" s="9" t="n">
        <v>0</v>
      </c>
      <c r="I1416" s="9" t="n">
        <v>0</v>
      </c>
      <c r="J1416" s="7" t="s">
        <v>18</v>
      </c>
      <c r="K1416" s="7" t="s">
        <v>19</v>
      </c>
      <c r="L1416" s="7" t="s">
        <v>20</v>
      </c>
    </row>
    <row r="1417" customFormat="false" ht="22.35" hidden="false" customHeight="false" outlineLevel="0" collapsed="false">
      <c r="A1417" s="4" t="s">
        <v>1447</v>
      </c>
      <c r="B1417" s="4" t="s">
        <v>14</v>
      </c>
      <c r="C1417" s="4" t="s">
        <v>929</v>
      </c>
      <c r="D1417" s="4" t="s">
        <v>930</v>
      </c>
      <c r="E1417" s="4" t="s">
        <v>44</v>
      </c>
      <c r="F1417" s="5" t="n">
        <v>0.69</v>
      </c>
      <c r="G1417" s="6" t="n">
        <v>0</v>
      </c>
      <c r="H1417" s="6" t="n">
        <v>0</v>
      </c>
      <c r="I1417" s="6" t="n">
        <v>0</v>
      </c>
      <c r="J1417" s="4" t="s">
        <v>18</v>
      </c>
      <c r="K1417" s="4" t="s">
        <v>19</v>
      </c>
      <c r="L1417" s="4" t="s">
        <v>20</v>
      </c>
    </row>
    <row r="1418" customFormat="false" ht="22.35" hidden="false" customHeight="false" outlineLevel="0" collapsed="false">
      <c r="A1418" s="7" t="s">
        <v>1448</v>
      </c>
      <c r="B1418" s="7" t="s">
        <v>14</v>
      </c>
      <c r="C1418" s="7" t="s">
        <v>929</v>
      </c>
      <c r="D1418" s="7" t="s">
        <v>930</v>
      </c>
      <c r="E1418" s="7" t="s">
        <v>44</v>
      </c>
      <c r="F1418" s="8" t="n">
        <v>43.98</v>
      </c>
      <c r="G1418" s="9" t="n">
        <v>0</v>
      </c>
      <c r="H1418" s="9" t="n">
        <v>0</v>
      </c>
      <c r="I1418" s="9" t="n">
        <v>0</v>
      </c>
      <c r="J1418" s="7" t="s">
        <v>18</v>
      </c>
      <c r="K1418" s="7" t="s">
        <v>19</v>
      </c>
      <c r="L1418" s="7" t="s">
        <v>20</v>
      </c>
    </row>
    <row r="1419" customFormat="false" ht="22.35" hidden="false" customHeight="false" outlineLevel="0" collapsed="false">
      <c r="A1419" s="4" t="s">
        <v>1449</v>
      </c>
      <c r="B1419" s="4" t="s">
        <v>14</v>
      </c>
      <c r="C1419" s="4" t="s">
        <v>929</v>
      </c>
      <c r="D1419" s="4" t="s">
        <v>930</v>
      </c>
      <c r="E1419" s="4" t="s">
        <v>44</v>
      </c>
      <c r="F1419" s="5" t="n">
        <v>66.28</v>
      </c>
      <c r="G1419" s="6" t="n">
        <v>0</v>
      </c>
      <c r="H1419" s="6" t="n">
        <v>0</v>
      </c>
      <c r="I1419" s="6" t="n">
        <v>0</v>
      </c>
      <c r="J1419" s="4" t="s">
        <v>18</v>
      </c>
      <c r="K1419" s="4" t="s">
        <v>19</v>
      </c>
      <c r="L1419" s="4" t="s">
        <v>20</v>
      </c>
    </row>
    <row r="1420" customFormat="false" ht="22.35" hidden="false" customHeight="false" outlineLevel="0" collapsed="false">
      <c r="A1420" s="7" t="s">
        <v>1450</v>
      </c>
      <c r="B1420" s="7" t="s">
        <v>14</v>
      </c>
      <c r="C1420" s="7" t="s">
        <v>929</v>
      </c>
      <c r="D1420" s="7" t="s">
        <v>930</v>
      </c>
      <c r="E1420" s="7" t="s">
        <v>44</v>
      </c>
      <c r="F1420" s="8" t="n">
        <v>0</v>
      </c>
      <c r="G1420" s="9" t="n">
        <v>0</v>
      </c>
      <c r="H1420" s="9" t="n">
        <v>0</v>
      </c>
      <c r="I1420" s="9" t="n">
        <v>0</v>
      </c>
      <c r="J1420" s="7" t="s">
        <v>18</v>
      </c>
      <c r="K1420" s="7" t="s">
        <v>19</v>
      </c>
      <c r="L1420" s="7" t="s">
        <v>20</v>
      </c>
    </row>
    <row r="1421" customFormat="false" ht="22.35" hidden="false" customHeight="false" outlineLevel="0" collapsed="false">
      <c r="A1421" s="4" t="s">
        <v>1451</v>
      </c>
      <c r="B1421" s="4" t="s">
        <v>14</v>
      </c>
      <c r="C1421" s="4" t="s">
        <v>929</v>
      </c>
      <c r="D1421" s="4" t="s">
        <v>930</v>
      </c>
      <c r="E1421" s="4" t="s">
        <v>44</v>
      </c>
      <c r="F1421" s="5" t="n">
        <v>0</v>
      </c>
      <c r="G1421" s="6" t="n">
        <v>0</v>
      </c>
      <c r="H1421" s="6" t="n">
        <v>0</v>
      </c>
      <c r="I1421" s="6" t="n">
        <v>0</v>
      </c>
      <c r="J1421" s="4" t="s">
        <v>18</v>
      </c>
      <c r="K1421" s="4" t="s">
        <v>19</v>
      </c>
      <c r="L1421" s="4" t="s">
        <v>20</v>
      </c>
    </row>
    <row r="1422" customFormat="false" ht="22.35" hidden="false" customHeight="false" outlineLevel="0" collapsed="false">
      <c r="A1422" s="7" t="s">
        <v>1452</v>
      </c>
      <c r="B1422" s="7" t="s">
        <v>14</v>
      </c>
      <c r="C1422" s="7" t="s">
        <v>929</v>
      </c>
      <c r="D1422" s="7" t="s">
        <v>930</v>
      </c>
      <c r="E1422" s="7" t="s">
        <v>44</v>
      </c>
      <c r="F1422" s="8" t="n">
        <v>0</v>
      </c>
      <c r="G1422" s="9" t="n">
        <v>0</v>
      </c>
      <c r="H1422" s="9" t="n">
        <v>0</v>
      </c>
      <c r="I1422" s="9" t="n">
        <v>0</v>
      </c>
      <c r="J1422" s="7" t="s">
        <v>18</v>
      </c>
      <c r="K1422" s="7" t="s">
        <v>19</v>
      </c>
      <c r="L1422" s="7" t="s">
        <v>20</v>
      </c>
    </row>
    <row r="1423" customFormat="false" ht="22.35" hidden="false" customHeight="false" outlineLevel="0" collapsed="false">
      <c r="A1423" s="4" t="s">
        <v>1453</v>
      </c>
      <c r="B1423" s="4" t="s">
        <v>14</v>
      </c>
      <c r="C1423" s="4" t="s">
        <v>929</v>
      </c>
      <c r="D1423" s="4" t="s">
        <v>930</v>
      </c>
      <c r="E1423" s="4" t="s">
        <v>44</v>
      </c>
      <c r="F1423" s="5" t="n">
        <v>0.126</v>
      </c>
      <c r="G1423" s="6" t="n">
        <v>0</v>
      </c>
      <c r="H1423" s="6" t="n">
        <v>0</v>
      </c>
      <c r="I1423" s="6" t="n">
        <v>0</v>
      </c>
      <c r="J1423" s="4" t="s">
        <v>18</v>
      </c>
      <c r="K1423" s="4" t="s">
        <v>19</v>
      </c>
      <c r="L1423" s="4" t="s">
        <v>20</v>
      </c>
    </row>
    <row r="1424" customFormat="false" ht="22.35" hidden="false" customHeight="false" outlineLevel="0" collapsed="false">
      <c r="A1424" s="7" t="s">
        <v>1454</v>
      </c>
      <c r="B1424" s="7" t="s">
        <v>14</v>
      </c>
      <c r="C1424" s="7" t="s">
        <v>929</v>
      </c>
      <c r="D1424" s="7" t="s">
        <v>930</v>
      </c>
      <c r="E1424" s="7" t="s">
        <v>44</v>
      </c>
      <c r="F1424" s="8" t="n">
        <v>0.126</v>
      </c>
      <c r="G1424" s="9" t="n">
        <v>0</v>
      </c>
      <c r="H1424" s="9" t="n">
        <v>0</v>
      </c>
      <c r="I1424" s="9" t="n">
        <v>0</v>
      </c>
      <c r="J1424" s="7" t="s">
        <v>18</v>
      </c>
      <c r="K1424" s="7" t="s">
        <v>19</v>
      </c>
      <c r="L1424" s="7" t="s">
        <v>20</v>
      </c>
    </row>
    <row r="1425" customFormat="false" ht="22.35" hidden="false" customHeight="false" outlineLevel="0" collapsed="false">
      <c r="A1425" s="4" t="s">
        <v>1455</v>
      </c>
      <c r="B1425" s="4" t="s">
        <v>14</v>
      </c>
      <c r="C1425" s="4" t="s">
        <v>929</v>
      </c>
      <c r="D1425" s="4" t="s">
        <v>930</v>
      </c>
      <c r="E1425" s="4" t="s">
        <v>44</v>
      </c>
      <c r="F1425" s="5" t="n">
        <v>0.276</v>
      </c>
      <c r="G1425" s="6" t="n">
        <v>0</v>
      </c>
      <c r="H1425" s="6" t="n">
        <v>0</v>
      </c>
      <c r="I1425" s="6" t="n">
        <v>0</v>
      </c>
      <c r="J1425" s="4" t="s">
        <v>18</v>
      </c>
      <c r="K1425" s="4" t="s">
        <v>19</v>
      </c>
      <c r="L1425" s="4" t="s">
        <v>20</v>
      </c>
    </row>
    <row r="1426" customFormat="false" ht="22.35" hidden="false" customHeight="false" outlineLevel="0" collapsed="false">
      <c r="A1426" s="7" t="s">
        <v>1456</v>
      </c>
      <c r="B1426" s="7" t="s">
        <v>14</v>
      </c>
      <c r="C1426" s="7" t="s">
        <v>929</v>
      </c>
      <c r="D1426" s="7" t="s">
        <v>930</v>
      </c>
      <c r="E1426" s="7" t="s">
        <v>44</v>
      </c>
      <c r="F1426" s="8" t="n">
        <v>0.126</v>
      </c>
      <c r="G1426" s="9" t="n">
        <v>0</v>
      </c>
      <c r="H1426" s="9" t="n">
        <v>0</v>
      </c>
      <c r="I1426" s="9" t="n">
        <v>0</v>
      </c>
      <c r="J1426" s="7" t="s">
        <v>18</v>
      </c>
      <c r="K1426" s="7" t="s">
        <v>19</v>
      </c>
      <c r="L1426" s="7" t="s">
        <v>20</v>
      </c>
    </row>
    <row r="1427" customFormat="false" ht="22.35" hidden="false" customHeight="false" outlineLevel="0" collapsed="false">
      <c r="A1427" s="4" t="s">
        <v>1457</v>
      </c>
      <c r="B1427" s="4" t="s">
        <v>14</v>
      </c>
      <c r="C1427" s="4" t="s">
        <v>929</v>
      </c>
      <c r="D1427" s="4" t="s">
        <v>930</v>
      </c>
      <c r="E1427" s="4" t="s">
        <v>44</v>
      </c>
      <c r="F1427" s="5" t="n">
        <v>0.574</v>
      </c>
      <c r="G1427" s="6" t="n">
        <v>0</v>
      </c>
      <c r="H1427" s="6" t="n">
        <v>0</v>
      </c>
      <c r="I1427" s="6" t="n">
        <v>0</v>
      </c>
      <c r="J1427" s="4" t="s">
        <v>18</v>
      </c>
      <c r="K1427" s="4" t="s">
        <v>19</v>
      </c>
      <c r="L1427" s="4" t="s">
        <v>20</v>
      </c>
    </row>
    <row r="1428" customFormat="false" ht="22.35" hidden="false" customHeight="false" outlineLevel="0" collapsed="false">
      <c r="A1428" s="7" t="s">
        <v>1458</v>
      </c>
      <c r="B1428" s="7" t="s">
        <v>14</v>
      </c>
      <c r="C1428" s="7" t="s">
        <v>929</v>
      </c>
      <c r="D1428" s="7" t="s">
        <v>930</v>
      </c>
      <c r="E1428" s="7" t="s">
        <v>44</v>
      </c>
      <c r="F1428" s="8" t="n">
        <v>0.1</v>
      </c>
      <c r="G1428" s="9" t="n">
        <v>0</v>
      </c>
      <c r="H1428" s="9" t="n">
        <v>0</v>
      </c>
      <c r="I1428" s="9" t="n">
        <v>0</v>
      </c>
      <c r="J1428" s="7" t="s">
        <v>18</v>
      </c>
      <c r="K1428" s="7" t="s">
        <v>19</v>
      </c>
      <c r="L1428" s="7" t="s">
        <v>20</v>
      </c>
    </row>
    <row r="1429" customFormat="false" ht="22.35" hidden="false" customHeight="false" outlineLevel="0" collapsed="false">
      <c r="A1429" s="4" t="s">
        <v>1459</v>
      </c>
      <c r="B1429" s="4" t="s">
        <v>14</v>
      </c>
      <c r="C1429" s="4" t="s">
        <v>929</v>
      </c>
      <c r="D1429" s="4" t="s">
        <v>930</v>
      </c>
      <c r="E1429" s="4" t="s">
        <v>44</v>
      </c>
      <c r="F1429" s="5" t="n">
        <v>0.1681</v>
      </c>
      <c r="G1429" s="6" t="n">
        <v>0</v>
      </c>
      <c r="H1429" s="6" t="n">
        <v>0</v>
      </c>
      <c r="I1429" s="6" t="n">
        <v>0</v>
      </c>
      <c r="J1429" s="4" t="s">
        <v>18</v>
      </c>
      <c r="K1429" s="4" t="s">
        <v>19</v>
      </c>
      <c r="L1429" s="4" t="s">
        <v>20</v>
      </c>
    </row>
    <row r="1430" customFormat="false" ht="22.35" hidden="false" customHeight="false" outlineLevel="0" collapsed="false">
      <c r="A1430" s="7" t="s">
        <v>1460</v>
      </c>
      <c r="B1430" s="7" t="s">
        <v>14</v>
      </c>
      <c r="C1430" s="7" t="s">
        <v>929</v>
      </c>
      <c r="D1430" s="7" t="s">
        <v>930</v>
      </c>
      <c r="E1430" s="7" t="s">
        <v>44</v>
      </c>
      <c r="F1430" s="8" t="n">
        <v>0.516</v>
      </c>
      <c r="G1430" s="9" t="n">
        <v>0</v>
      </c>
      <c r="H1430" s="9" t="n">
        <v>0</v>
      </c>
      <c r="I1430" s="9" t="n">
        <v>0</v>
      </c>
      <c r="J1430" s="7" t="s">
        <v>18</v>
      </c>
      <c r="K1430" s="7" t="s">
        <v>19</v>
      </c>
      <c r="L1430" s="7" t="s">
        <v>20</v>
      </c>
    </row>
    <row r="1431" customFormat="false" ht="22.35" hidden="false" customHeight="false" outlineLevel="0" collapsed="false">
      <c r="A1431" s="4" t="s">
        <v>1461</v>
      </c>
      <c r="B1431" s="4" t="s">
        <v>14</v>
      </c>
      <c r="C1431" s="4" t="s">
        <v>929</v>
      </c>
      <c r="D1431" s="4" t="s">
        <v>930</v>
      </c>
      <c r="E1431" s="4" t="s">
        <v>44</v>
      </c>
      <c r="F1431" s="5" t="n">
        <v>0.5141</v>
      </c>
      <c r="G1431" s="6" t="n">
        <v>0</v>
      </c>
      <c r="H1431" s="6" t="n">
        <v>0</v>
      </c>
      <c r="I1431" s="6" t="n">
        <v>0</v>
      </c>
      <c r="J1431" s="4" t="s">
        <v>18</v>
      </c>
      <c r="K1431" s="4" t="s">
        <v>19</v>
      </c>
      <c r="L1431" s="4" t="s">
        <v>20</v>
      </c>
    </row>
    <row r="1432" customFormat="false" ht="22.35" hidden="false" customHeight="false" outlineLevel="0" collapsed="false">
      <c r="A1432" s="7" t="s">
        <v>1462</v>
      </c>
      <c r="B1432" s="7" t="s">
        <v>14</v>
      </c>
      <c r="C1432" s="7" t="s">
        <v>929</v>
      </c>
      <c r="D1432" s="7" t="s">
        <v>930</v>
      </c>
      <c r="E1432" s="7" t="s">
        <v>44</v>
      </c>
      <c r="F1432" s="8" t="n">
        <v>0.09</v>
      </c>
      <c r="G1432" s="9" t="n">
        <v>0</v>
      </c>
      <c r="H1432" s="9" t="n">
        <v>0</v>
      </c>
      <c r="I1432" s="9" t="n">
        <v>0</v>
      </c>
      <c r="J1432" s="7" t="s">
        <v>18</v>
      </c>
      <c r="K1432" s="7" t="s">
        <v>19</v>
      </c>
      <c r="L1432" s="7" t="s">
        <v>20</v>
      </c>
    </row>
    <row r="1433" customFormat="false" ht="22.35" hidden="false" customHeight="false" outlineLevel="0" collapsed="false">
      <c r="A1433" s="4" t="s">
        <v>1463</v>
      </c>
      <c r="B1433" s="4" t="s">
        <v>14</v>
      </c>
      <c r="C1433" s="4" t="s">
        <v>929</v>
      </c>
      <c r="D1433" s="4" t="s">
        <v>930</v>
      </c>
      <c r="E1433" s="4" t="s">
        <v>44</v>
      </c>
      <c r="F1433" s="5" t="n">
        <v>0.126</v>
      </c>
      <c r="G1433" s="6" t="n">
        <v>0</v>
      </c>
      <c r="H1433" s="6" t="n">
        <v>0</v>
      </c>
      <c r="I1433" s="6" t="n">
        <v>0</v>
      </c>
      <c r="J1433" s="4" t="s">
        <v>18</v>
      </c>
      <c r="K1433" s="4" t="s">
        <v>19</v>
      </c>
      <c r="L1433" s="4" t="s">
        <v>20</v>
      </c>
    </row>
    <row r="1434" customFormat="false" ht="22.35" hidden="false" customHeight="false" outlineLevel="0" collapsed="false">
      <c r="A1434" s="7" t="s">
        <v>1464</v>
      </c>
      <c r="B1434" s="7" t="s">
        <v>14</v>
      </c>
      <c r="C1434" s="7" t="s">
        <v>929</v>
      </c>
      <c r="D1434" s="7" t="s">
        <v>930</v>
      </c>
      <c r="E1434" s="7" t="s">
        <v>44</v>
      </c>
      <c r="F1434" s="8" t="n">
        <v>0.09</v>
      </c>
      <c r="G1434" s="9" t="n">
        <v>0</v>
      </c>
      <c r="H1434" s="9" t="n">
        <v>0</v>
      </c>
      <c r="I1434" s="9" t="n">
        <v>0</v>
      </c>
      <c r="J1434" s="7" t="s">
        <v>18</v>
      </c>
      <c r="K1434" s="7" t="s">
        <v>19</v>
      </c>
      <c r="L1434" s="7" t="s">
        <v>20</v>
      </c>
    </row>
    <row r="1435" customFormat="false" ht="22.35" hidden="false" customHeight="false" outlineLevel="0" collapsed="false">
      <c r="A1435" s="4" t="s">
        <v>1465</v>
      </c>
      <c r="B1435" s="4" t="s">
        <v>14</v>
      </c>
      <c r="C1435" s="4" t="s">
        <v>929</v>
      </c>
      <c r="D1435" s="4" t="s">
        <v>930</v>
      </c>
      <c r="E1435" s="4" t="s">
        <v>44</v>
      </c>
      <c r="F1435" s="5" t="n">
        <v>0.9</v>
      </c>
      <c r="G1435" s="6" t="n">
        <v>0</v>
      </c>
      <c r="H1435" s="6" t="n">
        <v>0</v>
      </c>
      <c r="I1435" s="6" t="n">
        <v>0</v>
      </c>
      <c r="J1435" s="4" t="s">
        <v>18</v>
      </c>
      <c r="K1435" s="4" t="s">
        <v>19</v>
      </c>
      <c r="L1435" s="4" t="s">
        <v>20</v>
      </c>
    </row>
    <row r="1436" customFormat="false" ht="22.35" hidden="false" customHeight="false" outlineLevel="0" collapsed="false">
      <c r="A1436" s="7" t="s">
        <v>1466</v>
      </c>
      <c r="B1436" s="7" t="s">
        <v>14</v>
      </c>
      <c r="C1436" s="7" t="s">
        <v>929</v>
      </c>
      <c r="D1436" s="7" t="s">
        <v>930</v>
      </c>
      <c r="E1436" s="7" t="s">
        <v>44</v>
      </c>
      <c r="F1436" s="8" t="n">
        <v>0.126</v>
      </c>
      <c r="G1436" s="9" t="n">
        <v>0</v>
      </c>
      <c r="H1436" s="9" t="n">
        <v>0</v>
      </c>
      <c r="I1436" s="9" t="n">
        <v>0</v>
      </c>
      <c r="J1436" s="7" t="s">
        <v>18</v>
      </c>
      <c r="K1436" s="7" t="s">
        <v>19</v>
      </c>
      <c r="L1436" s="7" t="s">
        <v>20</v>
      </c>
    </row>
    <row r="1437" customFormat="false" ht="22.35" hidden="false" customHeight="false" outlineLevel="0" collapsed="false">
      <c r="A1437" s="4" t="s">
        <v>1467</v>
      </c>
      <c r="B1437" s="4" t="s">
        <v>14</v>
      </c>
      <c r="C1437" s="4" t="s">
        <v>929</v>
      </c>
      <c r="D1437" s="4" t="s">
        <v>930</v>
      </c>
      <c r="E1437" s="4" t="s">
        <v>44</v>
      </c>
      <c r="F1437" s="5" t="n">
        <v>0.1056</v>
      </c>
      <c r="G1437" s="6" t="n">
        <v>0</v>
      </c>
      <c r="H1437" s="6" t="n">
        <v>0</v>
      </c>
      <c r="I1437" s="6" t="n">
        <v>0</v>
      </c>
      <c r="J1437" s="4" t="s">
        <v>18</v>
      </c>
      <c r="K1437" s="4" t="s">
        <v>19</v>
      </c>
      <c r="L1437" s="4" t="s">
        <v>20</v>
      </c>
    </row>
    <row r="1438" customFormat="false" ht="22.35" hidden="false" customHeight="false" outlineLevel="0" collapsed="false">
      <c r="A1438" s="7" t="s">
        <v>1468</v>
      </c>
      <c r="B1438" s="7" t="s">
        <v>14</v>
      </c>
      <c r="C1438" s="7" t="s">
        <v>929</v>
      </c>
      <c r="D1438" s="7" t="s">
        <v>930</v>
      </c>
      <c r="E1438" s="7" t="s">
        <v>44</v>
      </c>
      <c r="F1438" s="8" t="n">
        <v>0.79</v>
      </c>
      <c r="G1438" s="9" t="n">
        <v>0</v>
      </c>
      <c r="H1438" s="9" t="n">
        <v>0</v>
      </c>
      <c r="I1438" s="9" t="n">
        <v>0</v>
      </c>
      <c r="J1438" s="7" t="s">
        <v>18</v>
      </c>
      <c r="K1438" s="7" t="s">
        <v>19</v>
      </c>
      <c r="L1438" s="7" t="s">
        <v>20</v>
      </c>
    </row>
    <row r="1439" customFormat="false" ht="22.35" hidden="false" customHeight="false" outlineLevel="0" collapsed="false">
      <c r="A1439" s="4" t="s">
        <v>1469</v>
      </c>
      <c r="B1439" s="4" t="s">
        <v>14</v>
      </c>
      <c r="C1439" s="4" t="s">
        <v>929</v>
      </c>
      <c r="D1439" s="4" t="s">
        <v>930</v>
      </c>
      <c r="E1439" s="4" t="s">
        <v>44</v>
      </c>
      <c r="F1439" s="5" t="n">
        <v>0.66</v>
      </c>
      <c r="G1439" s="6" t="n">
        <v>0</v>
      </c>
      <c r="H1439" s="6" t="n">
        <v>0</v>
      </c>
      <c r="I1439" s="6" t="n">
        <v>0</v>
      </c>
      <c r="J1439" s="4" t="s">
        <v>18</v>
      </c>
      <c r="K1439" s="4" t="s">
        <v>19</v>
      </c>
      <c r="L1439" s="4" t="s">
        <v>20</v>
      </c>
    </row>
    <row r="1440" customFormat="false" ht="22.35" hidden="false" customHeight="false" outlineLevel="0" collapsed="false">
      <c r="A1440" s="7" t="s">
        <v>1470</v>
      </c>
      <c r="B1440" s="7" t="s">
        <v>14</v>
      </c>
      <c r="C1440" s="7" t="s">
        <v>929</v>
      </c>
      <c r="D1440" s="7" t="s">
        <v>930</v>
      </c>
      <c r="E1440" s="7" t="s">
        <v>44</v>
      </c>
      <c r="F1440" s="8" t="n">
        <v>0.54</v>
      </c>
      <c r="G1440" s="9" t="n">
        <v>0</v>
      </c>
      <c r="H1440" s="9" t="n">
        <v>0</v>
      </c>
      <c r="I1440" s="9" t="n">
        <v>0</v>
      </c>
      <c r="J1440" s="7" t="s">
        <v>18</v>
      </c>
      <c r="K1440" s="7" t="s">
        <v>19</v>
      </c>
      <c r="L1440" s="7" t="s">
        <v>20</v>
      </c>
    </row>
    <row r="1441" customFormat="false" ht="22.35" hidden="false" customHeight="false" outlineLevel="0" collapsed="false">
      <c r="A1441" s="4" t="s">
        <v>1471</v>
      </c>
      <c r="B1441" s="4" t="s">
        <v>14</v>
      </c>
      <c r="C1441" s="4" t="s">
        <v>929</v>
      </c>
      <c r="D1441" s="4" t="s">
        <v>930</v>
      </c>
      <c r="E1441" s="4" t="s">
        <v>44</v>
      </c>
      <c r="F1441" s="5" t="n">
        <v>0.37</v>
      </c>
      <c r="G1441" s="6" t="n">
        <v>0</v>
      </c>
      <c r="H1441" s="6" t="n">
        <v>0</v>
      </c>
      <c r="I1441" s="6" t="n">
        <v>0</v>
      </c>
      <c r="J1441" s="4" t="s">
        <v>18</v>
      </c>
      <c r="K1441" s="4" t="s">
        <v>19</v>
      </c>
      <c r="L1441" s="4" t="s">
        <v>20</v>
      </c>
    </row>
    <row r="1442" customFormat="false" ht="22.35" hidden="false" customHeight="false" outlineLevel="0" collapsed="false">
      <c r="A1442" s="7" t="s">
        <v>1472</v>
      </c>
      <c r="B1442" s="7" t="s">
        <v>14</v>
      </c>
      <c r="C1442" s="7" t="s">
        <v>929</v>
      </c>
      <c r="D1442" s="7" t="s">
        <v>930</v>
      </c>
      <c r="E1442" s="7" t="s">
        <v>44</v>
      </c>
      <c r="F1442" s="8" t="n">
        <v>148.57</v>
      </c>
      <c r="G1442" s="9" t="n">
        <v>0</v>
      </c>
      <c r="H1442" s="9" t="n">
        <v>0</v>
      </c>
      <c r="I1442" s="9" t="n">
        <v>0</v>
      </c>
      <c r="J1442" s="7" t="s">
        <v>18</v>
      </c>
      <c r="K1442" s="7" t="s">
        <v>19</v>
      </c>
      <c r="L1442" s="7" t="s">
        <v>20</v>
      </c>
    </row>
    <row r="1443" customFormat="false" ht="22.35" hidden="false" customHeight="false" outlineLevel="0" collapsed="false">
      <c r="A1443" s="4" t="s">
        <v>1473</v>
      </c>
      <c r="B1443" s="4" t="s">
        <v>14</v>
      </c>
      <c r="C1443" s="4" t="s">
        <v>929</v>
      </c>
      <c r="D1443" s="4" t="s">
        <v>930</v>
      </c>
      <c r="E1443" s="4" t="s">
        <v>44</v>
      </c>
      <c r="F1443" s="5" t="n">
        <v>370.75</v>
      </c>
      <c r="G1443" s="6" t="n">
        <v>0</v>
      </c>
      <c r="H1443" s="6" t="n">
        <v>0</v>
      </c>
      <c r="I1443" s="6" t="n">
        <v>0</v>
      </c>
      <c r="J1443" s="4" t="s">
        <v>18</v>
      </c>
      <c r="K1443" s="4" t="s">
        <v>19</v>
      </c>
      <c r="L1443" s="4" t="s">
        <v>20</v>
      </c>
    </row>
    <row r="1444" customFormat="false" ht="22.35" hidden="false" customHeight="false" outlineLevel="0" collapsed="false">
      <c r="A1444" s="7" t="s">
        <v>1474</v>
      </c>
      <c r="B1444" s="7" t="s">
        <v>14</v>
      </c>
      <c r="C1444" s="7" t="s">
        <v>929</v>
      </c>
      <c r="D1444" s="7" t="s">
        <v>930</v>
      </c>
      <c r="E1444" s="7" t="s">
        <v>44</v>
      </c>
      <c r="F1444" s="8" t="n">
        <v>3066.65</v>
      </c>
      <c r="G1444" s="9" t="n">
        <v>0</v>
      </c>
      <c r="H1444" s="9" t="n">
        <v>0</v>
      </c>
      <c r="I1444" s="9" t="n">
        <v>0</v>
      </c>
      <c r="J1444" s="7" t="s">
        <v>18</v>
      </c>
      <c r="K1444" s="7" t="s">
        <v>19</v>
      </c>
      <c r="L1444" s="7" t="s">
        <v>20</v>
      </c>
    </row>
    <row r="1445" customFormat="false" ht="22.35" hidden="false" customHeight="false" outlineLevel="0" collapsed="false">
      <c r="A1445" s="4" t="s">
        <v>1475</v>
      </c>
      <c r="B1445" s="4" t="s">
        <v>14</v>
      </c>
      <c r="C1445" s="4" t="s">
        <v>929</v>
      </c>
      <c r="D1445" s="4" t="s">
        <v>930</v>
      </c>
      <c r="E1445" s="4" t="s">
        <v>44</v>
      </c>
      <c r="F1445" s="5" t="n">
        <v>97.5</v>
      </c>
      <c r="G1445" s="6" t="n">
        <v>0</v>
      </c>
      <c r="H1445" s="6" t="n">
        <v>0</v>
      </c>
      <c r="I1445" s="6" t="n">
        <v>0</v>
      </c>
      <c r="J1445" s="4" t="s">
        <v>18</v>
      </c>
      <c r="K1445" s="4" t="s">
        <v>19</v>
      </c>
      <c r="L1445" s="4" t="s">
        <v>20</v>
      </c>
    </row>
    <row r="1446" customFormat="false" ht="22.35" hidden="false" customHeight="false" outlineLevel="0" collapsed="false">
      <c r="A1446" s="7" t="s">
        <v>1476</v>
      </c>
      <c r="B1446" s="7" t="s">
        <v>14</v>
      </c>
      <c r="C1446" s="7" t="s">
        <v>929</v>
      </c>
      <c r="D1446" s="7" t="s">
        <v>930</v>
      </c>
      <c r="E1446" s="7" t="s">
        <v>44</v>
      </c>
      <c r="F1446" s="8" t="n">
        <v>216.52</v>
      </c>
      <c r="G1446" s="9" t="n">
        <v>0</v>
      </c>
      <c r="H1446" s="9" t="n">
        <v>0</v>
      </c>
      <c r="I1446" s="9" t="n">
        <v>0</v>
      </c>
      <c r="J1446" s="7" t="s">
        <v>18</v>
      </c>
      <c r="K1446" s="7" t="s">
        <v>19</v>
      </c>
      <c r="L1446" s="7" t="s">
        <v>20</v>
      </c>
    </row>
    <row r="1447" customFormat="false" ht="22.35" hidden="false" customHeight="false" outlineLevel="0" collapsed="false">
      <c r="A1447" s="4" t="s">
        <v>1477</v>
      </c>
      <c r="B1447" s="4" t="s">
        <v>14</v>
      </c>
      <c r="C1447" s="4" t="s">
        <v>929</v>
      </c>
      <c r="D1447" s="4" t="s">
        <v>930</v>
      </c>
      <c r="E1447" s="4" t="s">
        <v>44</v>
      </c>
      <c r="F1447" s="5" t="n">
        <v>47.9075</v>
      </c>
      <c r="G1447" s="6" t="n">
        <v>0</v>
      </c>
      <c r="H1447" s="6" t="n">
        <v>0</v>
      </c>
      <c r="I1447" s="6" t="n">
        <v>0</v>
      </c>
      <c r="J1447" s="4" t="s">
        <v>18</v>
      </c>
      <c r="K1447" s="4" t="s">
        <v>19</v>
      </c>
      <c r="L1447" s="4" t="s">
        <v>20</v>
      </c>
    </row>
    <row r="1448" customFormat="false" ht="22.35" hidden="false" customHeight="false" outlineLevel="0" collapsed="false">
      <c r="A1448" s="7" t="s">
        <v>1478</v>
      </c>
      <c r="B1448" s="7" t="s">
        <v>14</v>
      </c>
      <c r="C1448" s="7" t="s">
        <v>929</v>
      </c>
      <c r="D1448" s="7" t="s">
        <v>930</v>
      </c>
      <c r="E1448" s="7" t="s">
        <v>44</v>
      </c>
      <c r="F1448" s="8" t="n">
        <v>2.905</v>
      </c>
      <c r="G1448" s="9" t="n">
        <v>0</v>
      </c>
      <c r="H1448" s="9" t="n">
        <v>0</v>
      </c>
      <c r="I1448" s="9" t="n">
        <v>0</v>
      </c>
      <c r="J1448" s="7" t="s">
        <v>18</v>
      </c>
      <c r="K1448" s="7" t="s">
        <v>19</v>
      </c>
      <c r="L1448" s="7" t="s">
        <v>20</v>
      </c>
    </row>
    <row r="1449" customFormat="false" ht="22.35" hidden="false" customHeight="false" outlineLevel="0" collapsed="false">
      <c r="A1449" s="4" t="s">
        <v>1479</v>
      </c>
      <c r="B1449" s="4" t="s">
        <v>14</v>
      </c>
      <c r="C1449" s="4" t="s">
        <v>929</v>
      </c>
      <c r="D1449" s="4" t="s">
        <v>930</v>
      </c>
      <c r="E1449" s="4" t="s">
        <v>44</v>
      </c>
      <c r="F1449" s="5" t="n">
        <v>300</v>
      </c>
      <c r="G1449" s="6" t="n">
        <v>0</v>
      </c>
      <c r="H1449" s="6" t="n">
        <v>0</v>
      </c>
      <c r="I1449" s="6" t="n">
        <v>0</v>
      </c>
      <c r="J1449" s="4" t="s">
        <v>18</v>
      </c>
      <c r="K1449" s="4" t="s">
        <v>19</v>
      </c>
      <c r="L1449" s="4" t="s">
        <v>20</v>
      </c>
    </row>
    <row r="1450" customFormat="false" ht="22.35" hidden="false" customHeight="false" outlineLevel="0" collapsed="false">
      <c r="A1450" s="7" t="s">
        <v>1480</v>
      </c>
      <c r="B1450" s="7" t="s">
        <v>14</v>
      </c>
      <c r="C1450" s="7" t="s">
        <v>929</v>
      </c>
      <c r="D1450" s="7" t="s">
        <v>930</v>
      </c>
      <c r="E1450" s="7" t="s">
        <v>44</v>
      </c>
      <c r="F1450" s="8" t="n">
        <v>3074</v>
      </c>
      <c r="G1450" s="9" t="n">
        <v>0</v>
      </c>
      <c r="H1450" s="9" t="n">
        <v>0</v>
      </c>
      <c r="I1450" s="9" t="n">
        <v>0</v>
      </c>
      <c r="J1450" s="7" t="s">
        <v>18</v>
      </c>
      <c r="K1450" s="7" t="s">
        <v>19</v>
      </c>
      <c r="L1450" s="7" t="s">
        <v>20</v>
      </c>
    </row>
    <row r="1451" customFormat="false" ht="22.35" hidden="false" customHeight="false" outlineLevel="0" collapsed="false">
      <c r="A1451" s="4" t="s">
        <v>1481</v>
      </c>
      <c r="B1451" s="4" t="s">
        <v>14</v>
      </c>
      <c r="C1451" s="4" t="s">
        <v>929</v>
      </c>
      <c r="D1451" s="4" t="s">
        <v>930</v>
      </c>
      <c r="E1451" s="4" t="s">
        <v>44</v>
      </c>
      <c r="F1451" s="5" t="n">
        <v>0</v>
      </c>
      <c r="G1451" s="6" t="n">
        <v>0</v>
      </c>
      <c r="H1451" s="6" t="n">
        <v>0</v>
      </c>
      <c r="I1451" s="6" t="n">
        <v>0</v>
      </c>
      <c r="J1451" s="4" t="s">
        <v>18</v>
      </c>
      <c r="K1451" s="4" t="s">
        <v>19</v>
      </c>
      <c r="L1451" s="4" t="s">
        <v>20</v>
      </c>
    </row>
    <row r="1452" customFormat="false" ht="22.35" hidden="false" customHeight="false" outlineLevel="0" collapsed="false">
      <c r="A1452" s="7" t="s">
        <v>1482</v>
      </c>
      <c r="B1452" s="7" t="s">
        <v>14</v>
      </c>
      <c r="C1452" s="7" t="s">
        <v>929</v>
      </c>
      <c r="D1452" s="7" t="s">
        <v>930</v>
      </c>
      <c r="E1452" s="7" t="s">
        <v>44</v>
      </c>
      <c r="F1452" s="8" t="n">
        <v>0</v>
      </c>
      <c r="G1452" s="9" t="n">
        <v>0</v>
      </c>
      <c r="H1452" s="9" t="n">
        <v>0</v>
      </c>
      <c r="I1452" s="9" t="n">
        <v>0</v>
      </c>
      <c r="J1452" s="7" t="s">
        <v>18</v>
      </c>
      <c r="K1452" s="7" t="s">
        <v>19</v>
      </c>
      <c r="L1452" s="7" t="s">
        <v>20</v>
      </c>
    </row>
    <row r="1453" customFormat="false" ht="22.35" hidden="false" customHeight="false" outlineLevel="0" collapsed="false">
      <c r="A1453" s="4" t="s">
        <v>1483</v>
      </c>
      <c r="B1453" s="4" t="s">
        <v>14</v>
      </c>
      <c r="C1453" s="4" t="s">
        <v>929</v>
      </c>
      <c r="D1453" s="4" t="s">
        <v>930</v>
      </c>
      <c r="E1453" s="4" t="s">
        <v>44</v>
      </c>
      <c r="F1453" s="5" t="n">
        <v>0</v>
      </c>
      <c r="G1453" s="6" t="n">
        <v>0</v>
      </c>
      <c r="H1453" s="6" t="n">
        <v>0</v>
      </c>
      <c r="I1453" s="6" t="n">
        <v>0</v>
      </c>
      <c r="J1453" s="4" t="s">
        <v>18</v>
      </c>
      <c r="K1453" s="4" t="s">
        <v>19</v>
      </c>
      <c r="L1453" s="4" t="s">
        <v>20</v>
      </c>
    </row>
    <row r="1454" customFormat="false" ht="22.35" hidden="false" customHeight="false" outlineLevel="0" collapsed="false">
      <c r="A1454" s="7" t="s">
        <v>1484</v>
      </c>
      <c r="B1454" s="7" t="s">
        <v>14</v>
      </c>
      <c r="C1454" s="7" t="s">
        <v>929</v>
      </c>
      <c r="D1454" s="7" t="s">
        <v>930</v>
      </c>
      <c r="E1454" s="7" t="s">
        <v>44</v>
      </c>
      <c r="F1454" s="8" t="n">
        <v>158.58</v>
      </c>
      <c r="G1454" s="9" t="n">
        <v>0</v>
      </c>
      <c r="H1454" s="9" t="n">
        <v>0</v>
      </c>
      <c r="I1454" s="9" t="n">
        <v>0</v>
      </c>
      <c r="J1454" s="7" t="s">
        <v>18</v>
      </c>
      <c r="K1454" s="7" t="s">
        <v>19</v>
      </c>
      <c r="L1454" s="7" t="s">
        <v>20</v>
      </c>
    </row>
    <row r="1455" customFormat="false" ht="22.35" hidden="false" customHeight="false" outlineLevel="0" collapsed="false">
      <c r="A1455" s="4" t="s">
        <v>1485</v>
      </c>
      <c r="B1455" s="4" t="s">
        <v>14</v>
      </c>
      <c r="C1455" s="4" t="s">
        <v>929</v>
      </c>
      <c r="D1455" s="4" t="s">
        <v>930</v>
      </c>
      <c r="E1455" s="4" t="s">
        <v>44</v>
      </c>
      <c r="F1455" s="5" t="n">
        <v>0</v>
      </c>
      <c r="G1455" s="6" t="n">
        <v>0</v>
      </c>
      <c r="H1455" s="6" t="n">
        <v>0</v>
      </c>
      <c r="I1455" s="6" t="n">
        <v>0</v>
      </c>
      <c r="J1455" s="4" t="s">
        <v>18</v>
      </c>
      <c r="K1455" s="4" t="s">
        <v>19</v>
      </c>
      <c r="L1455" s="4" t="s">
        <v>20</v>
      </c>
    </row>
    <row r="1456" customFormat="false" ht="22.35" hidden="false" customHeight="false" outlineLevel="0" collapsed="false">
      <c r="A1456" s="7" t="s">
        <v>1486</v>
      </c>
      <c r="B1456" s="7" t="s">
        <v>14</v>
      </c>
      <c r="C1456" s="7" t="s">
        <v>929</v>
      </c>
      <c r="D1456" s="7" t="s">
        <v>930</v>
      </c>
      <c r="E1456" s="7" t="s">
        <v>44</v>
      </c>
      <c r="F1456" s="8" t="n">
        <v>0</v>
      </c>
      <c r="G1456" s="9" t="n">
        <v>0</v>
      </c>
      <c r="H1456" s="9" t="n">
        <v>0</v>
      </c>
      <c r="I1456" s="9" t="n">
        <v>0</v>
      </c>
      <c r="J1456" s="7" t="s">
        <v>18</v>
      </c>
      <c r="K1456" s="7" t="s">
        <v>19</v>
      </c>
      <c r="L1456" s="7" t="s">
        <v>20</v>
      </c>
    </row>
    <row r="1457" customFormat="false" ht="22.35" hidden="false" customHeight="false" outlineLevel="0" collapsed="false">
      <c r="A1457" s="4" t="s">
        <v>1487</v>
      </c>
      <c r="B1457" s="4" t="s">
        <v>14</v>
      </c>
      <c r="C1457" s="4" t="s">
        <v>929</v>
      </c>
      <c r="D1457" s="4" t="s">
        <v>930</v>
      </c>
      <c r="E1457" s="4" t="s">
        <v>44</v>
      </c>
      <c r="F1457" s="5" t="n">
        <v>0</v>
      </c>
      <c r="G1457" s="6" t="n">
        <v>0</v>
      </c>
      <c r="H1457" s="6" t="n">
        <v>0</v>
      </c>
      <c r="I1457" s="6" t="n">
        <v>0</v>
      </c>
      <c r="J1457" s="4" t="s">
        <v>18</v>
      </c>
      <c r="K1457" s="4" t="s">
        <v>19</v>
      </c>
      <c r="L1457" s="4" t="s">
        <v>20</v>
      </c>
    </row>
    <row r="1458" customFormat="false" ht="22.35" hidden="false" customHeight="false" outlineLevel="0" collapsed="false">
      <c r="A1458" s="7" t="s">
        <v>1488</v>
      </c>
      <c r="B1458" s="7" t="s">
        <v>14</v>
      </c>
      <c r="C1458" s="7" t="s">
        <v>929</v>
      </c>
      <c r="D1458" s="7" t="s">
        <v>930</v>
      </c>
      <c r="E1458" s="7" t="s">
        <v>44</v>
      </c>
      <c r="F1458" s="8" t="n">
        <v>0</v>
      </c>
      <c r="G1458" s="9" t="n">
        <v>0</v>
      </c>
      <c r="H1458" s="9" t="n">
        <v>0</v>
      </c>
      <c r="I1458" s="9" t="n">
        <v>0</v>
      </c>
      <c r="J1458" s="7" t="s">
        <v>18</v>
      </c>
      <c r="K1458" s="7" t="s">
        <v>19</v>
      </c>
      <c r="L1458" s="7" t="s">
        <v>20</v>
      </c>
    </row>
    <row r="1459" customFormat="false" ht="22.35" hidden="false" customHeight="false" outlineLevel="0" collapsed="false">
      <c r="A1459" s="4" t="s">
        <v>1489</v>
      </c>
      <c r="B1459" s="4" t="s">
        <v>14</v>
      </c>
      <c r="C1459" s="4" t="s">
        <v>929</v>
      </c>
      <c r="D1459" s="4" t="s">
        <v>930</v>
      </c>
      <c r="E1459" s="4" t="s">
        <v>44</v>
      </c>
      <c r="F1459" s="5" t="n">
        <v>0</v>
      </c>
      <c r="G1459" s="6" t="n">
        <v>0</v>
      </c>
      <c r="H1459" s="6" t="n">
        <v>0</v>
      </c>
      <c r="I1459" s="6" t="n">
        <v>0</v>
      </c>
      <c r="J1459" s="4" t="s">
        <v>18</v>
      </c>
      <c r="K1459" s="4" t="s">
        <v>19</v>
      </c>
      <c r="L1459" s="4" t="s">
        <v>20</v>
      </c>
    </row>
    <row r="1460" customFormat="false" ht="15" hidden="false" customHeight="false" outlineLevel="0" collapsed="false">
      <c r="A1460" s="7" t="s">
        <v>1490</v>
      </c>
      <c r="B1460" s="7" t="s">
        <v>1491</v>
      </c>
      <c r="C1460" s="7" t="s">
        <v>15</v>
      </c>
      <c r="D1460" s="7" t="s">
        <v>16</v>
      </c>
      <c r="E1460" s="7" t="s">
        <v>44</v>
      </c>
      <c r="F1460" s="8" t="n">
        <v>8.77</v>
      </c>
      <c r="G1460" s="9" t="n">
        <v>0.03</v>
      </c>
      <c r="H1460" s="9" t="n">
        <v>0</v>
      </c>
      <c r="I1460" s="9" t="n">
        <v>0</v>
      </c>
      <c r="J1460" s="7" t="n">
        <v>2026</v>
      </c>
      <c r="K1460" s="7" t="s">
        <v>19</v>
      </c>
      <c r="L1460" s="7" t="s">
        <v>1492</v>
      </c>
    </row>
    <row r="1461" customFormat="false" ht="22.35" hidden="false" customHeight="false" outlineLevel="0" collapsed="false">
      <c r="A1461" s="11" t="s">
        <v>1493</v>
      </c>
      <c r="B1461" s="11" t="s">
        <v>1494</v>
      </c>
      <c r="C1461" s="11" t="s">
        <v>15</v>
      </c>
      <c r="D1461" s="11" t="s">
        <v>16</v>
      </c>
      <c r="E1461" s="11" t="s">
        <v>17</v>
      </c>
      <c r="F1461" s="12" t="n">
        <v>29</v>
      </c>
      <c r="G1461" s="13" t="n">
        <v>0.0713</v>
      </c>
      <c r="H1461" s="13" t="n">
        <v>0.0713</v>
      </c>
      <c r="I1461" s="13" t="n">
        <v>0</v>
      </c>
      <c r="J1461" s="11" t="n">
        <v>2022</v>
      </c>
      <c r="K1461" s="11" t="s">
        <v>19</v>
      </c>
      <c r="L1461" s="11" t="s">
        <v>1495</v>
      </c>
    </row>
    <row r="1462" customFormat="false" ht="15" hidden="false" customHeight="false" outlineLevel="0" collapsed="false">
      <c r="A1462" s="7" t="s">
        <v>1496</v>
      </c>
      <c r="B1462" s="7" t="s">
        <v>1497</v>
      </c>
      <c r="C1462" s="7" t="s">
        <v>15</v>
      </c>
      <c r="D1462" s="7" t="s">
        <v>16</v>
      </c>
      <c r="E1462" s="7" t="s">
        <v>44</v>
      </c>
      <c r="F1462" s="8" t="n">
        <v>3.34</v>
      </c>
      <c r="G1462" s="9" t="n">
        <v>0.47</v>
      </c>
      <c r="H1462" s="9" t="n">
        <v>0</v>
      </c>
      <c r="I1462" s="9" t="n">
        <v>0</v>
      </c>
      <c r="J1462" s="7" t="n">
        <v>2026</v>
      </c>
      <c r="K1462" s="7" t="s">
        <v>19</v>
      </c>
      <c r="L1462" s="7" t="s">
        <v>1492</v>
      </c>
    </row>
    <row r="1463" customFormat="false" ht="22.35" hidden="false" customHeight="false" outlineLevel="0" collapsed="false">
      <c r="A1463" s="11" t="s">
        <v>1498</v>
      </c>
      <c r="B1463" s="11" t="s">
        <v>1499</v>
      </c>
      <c r="C1463" s="11" t="s">
        <v>15</v>
      </c>
      <c r="D1463" s="11" t="s">
        <v>16</v>
      </c>
      <c r="E1463" s="11" t="s">
        <v>17</v>
      </c>
      <c r="F1463" s="12" t="n">
        <v>111.65</v>
      </c>
      <c r="G1463" s="13" t="n">
        <v>0.49</v>
      </c>
      <c r="H1463" s="13" t="n">
        <v>0.49</v>
      </c>
      <c r="I1463" s="13" t="n">
        <v>0</v>
      </c>
      <c r="J1463" s="11" t="n">
        <v>2022</v>
      </c>
      <c r="K1463" s="11" t="s">
        <v>19</v>
      </c>
      <c r="L1463" s="11" t="s">
        <v>1495</v>
      </c>
    </row>
    <row r="1464" customFormat="false" ht="15" hidden="false" customHeight="false" outlineLevel="0" collapsed="false">
      <c r="A1464" s="7" t="s">
        <v>1500</v>
      </c>
      <c r="B1464" s="7" t="s">
        <v>1501</v>
      </c>
      <c r="C1464" s="7" t="s">
        <v>15</v>
      </c>
      <c r="D1464" s="7" t="s">
        <v>16</v>
      </c>
      <c r="E1464" s="7" t="s">
        <v>44</v>
      </c>
      <c r="F1464" s="8" t="n">
        <v>13.62</v>
      </c>
      <c r="G1464" s="9" t="n">
        <v>0.91</v>
      </c>
      <c r="H1464" s="9" t="n">
        <v>0</v>
      </c>
      <c r="I1464" s="9" t="n">
        <v>0</v>
      </c>
      <c r="J1464" s="7" t="n">
        <v>2026</v>
      </c>
      <c r="K1464" s="10" t="s">
        <v>1284</v>
      </c>
      <c r="L1464" s="7" t="s">
        <v>1492</v>
      </c>
    </row>
    <row r="1465" customFormat="false" ht="22.35" hidden="false" customHeight="false" outlineLevel="0" collapsed="false">
      <c r="A1465" s="11" t="s">
        <v>1502</v>
      </c>
      <c r="B1465" s="11" t="s">
        <v>1503</v>
      </c>
      <c r="C1465" s="11" t="s">
        <v>15</v>
      </c>
      <c r="D1465" s="11" t="s">
        <v>16</v>
      </c>
      <c r="E1465" s="11" t="s">
        <v>17</v>
      </c>
      <c r="F1465" s="12" t="n">
        <v>2.68</v>
      </c>
      <c r="G1465" s="13" t="n">
        <v>0.95</v>
      </c>
      <c r="H1465" s="13" t="n">
        <v>0.95</v>
      </c>
      <c r="I1465" s="13" t="n">
        <v>0</v>
      </c>
      <c r="J1465" s="11" t="n">
        <v>2023</v>
      </c>
      <c r="K1465" s="11" t="s">
        <v>19</v>
      </c>
      <c r="L1465" s="11" t="s">
        <v>1504</v>
      </c>
    </row>
    <row r="1466" customFormat="false" ht="15" hidden="false" customHeight="false" outlineLevel="0" collapsed="false">
      <c r="A1466" s="7" t="s">
        <v>1505</v>
      </c>
      <c r="B1466" s="7" t="s">
        <v>1506</v>
      </c>
      <c r="C1466" s="7" t="s">
        <v>15</v>
      </c>
      <c r="D1466" s="7" t="s">
        <v>16</v>
      </c>
      <c r="E1466" s="7" t="s">
        <v>44</v>
      </c>
      <c r="F1466" s="8" t="n">
        <v>5.278</v>
      </c>
      <c r="G1466" s="9" t="n">
        <v>1.1</v>
      </c>
      <c r="H1466" s="9" t="n">
        <v>0</v>
      </c>
      <c r="I1466" s="9" t="n">
        <v>0</v>
      </c>
      <c r="J1466" s="7" t="n">
        <v>2026</v>
      </c>
      <c r="K1466" s="7" t="s">
        <v>19</v>
      </c>
      <c r="L1466" s="7" t="s">
        <v>1492</v>
      </c>
    </row>
    <row r="1467" customFormat="false" ht="22.35" hidden="false" customHeight="false" outlineLevel="0" collapsed="false">
      <c r="A1467" s="11" t="s">
        <v>1507</v>
      </c>
      <c r="B1467" s="11" t="s">
        <v>1508</v>
      </c>
      <c r="C1467" s="11" t="s">
        <v>15</v>
      </c>
      <c r="D1467" s="11" t="s">
        <v>16</v>
      </c>
      <c r="E1467" s="11" t="s">
        <v>17</v>
      </c>
      <c r="F1467" s="12" t="n">
        <v>43.264</v>
      </c>
      <c r="G1467" s="13" t="n">
        <v>1.2</v>
      </c>
      <c r="H1467" s="13" t="n">
        <v>1.2</v>
      </c>
      <c r="I1467" s="13" t="n">
        <v>0</v>
      </c>
      <c r="J1467" s="11" t="n">
        <v>2022</v>
      </c>
      <c r="K1467" s="11" t="s">
        <v>19</v>
      </c>
      <c r="L1467" s="11" t="s">
        <v>1495</v>
      </c>
    </row>
    <row r="1468" customFormat="false" ht="22.35" hidden="false" customHeight="false" outlineLevel="0" collapsed="false">
      <c r="A1468" s="11" t="s">
        <v>1509</v>
      </c>
      <c r="B1468" s="11" t="s">
        <v>1510</v>
      </c>
      <c r="C1468" s="11" t="s">
        <v>15</v>
      </c>
      <c r="D1468" s="11" t="s">
        <v>16</v>
      </c>
      <c r="E1468" s="11" t="s">
        <v>44</v>
      </c>
      <c r="F1468" s="12" t="n">
        <v>11.42</v>
      </c>
      <c r="G1468" s="13" t="n">
        <v>1.29</v>
      </c>
      <c r="H1468" s="13" t="n">
        <v>1.29</v>
      </c>
      <c r="I1468" s="13" t="n">
        <v>0</v>
      </c>
      <c r="J1468" s="11" t="n">
        <v>2022</v>
      </c>
      <c r="K1468" s="11" t="s">
        <v>19</v>
      </c>
      <c r="L1468" s="11" t="s">
        <v>1495</v>
      </c>
    </row>
    <row r="1469" customFormat="false" ht="22.35" hidden="false" customHeight="false" outlineLevel="0" collapsed="false">
      <c r="A1469" s="11" t="s">
        <v>1511</v>
      </c>
      <c r="B1469" s="11" t="s">
        <v>1512</v>
      </c>
      <c r="C1469" s="11" t="s">
        <v>15</v>
      </c>
      <c r="D1469" s="11" t="s">
        <v>16</v>
      </c>
      <c r="E1469" s="11" t="s">
        <v>17</v>
      </c>
      <c r="F1469" s="12" t="n">
        <v>5.42</v>
      </c>
      <c r="G1469" s="13" t="n">
        <v>1.49</v>
      </c>
      <c r="H1469" s="13" t="n">
        <v>1.49</v>
      </c>
      <c r="I1469" s="13" t="n">
        <v>0</v>
      </c>
      <c r="J1469" s="11" t="n">
        <v>2021</v>
      </c>
      <c r="K1469" s="11" t="s">
        <v>19</v>
      </c>
      <c r="L1469" s="11" t="s">
        <v>1513</v>
      </c>
    </row>
    <row r="1470" customFormat="false" ht="22.35" hidden="false" customHeight="false" outlineLevel="0" collapsed="false">
      <c r="A1470" s="11" t="s">
        <v>1514</v>
      </c>
      <c r="B1470" s="11" t="s">
        <v>1515</v>
      </c>
      <c r="C1470" s="11" t="s">
        <v>15</v>
      </c>
      <c r="D1470" s="11" t="s">
        <v>16</v>
      </c>
      <c r="E1470" s="11" t="s">
        <v>17</v>
      </c>
      <c r="F1470" s="12" t="n">
        <v>54.15</v>
      </c>
      <c r="G1470" s="13" t="n">
        <v>1.56</v>
      </c>
      <c r="H1470" s="13" t="n">
        <v>1.56</v>
      </c>
      <c r="I1470" s="13" t="n">
        <v>0</v>
      </c>
      <c r="J1470" s="11" t="n">
        <v>2021</v>
      </c>
      <c r="K1470" s="11" t="s">
        <v>19</v>
      </c>
      <c r="L1470" s="11" t="s">
        <v>1513</v>
      </c>
    </row>
    <row r="1471" customFormat="false" ht="22.35" hidden="false" customHeight="false" outlineLevel="0" collapsed="false">
      <c r="A1471" s="11" t="s">
        <v>1516</v>
      </c>
      <c r="B1471" s="11" t="s">
        <v>1517</v>
      </c>
      <c r="C1471" s="11" t="s">
        <v>15</v>
      </c>
      <c r="D1471" s="11" t="s">
        <v>16</v>
      </c>
      <c r="E1471" s="11" t="s">
        <v>17</v>
      </c>
      <c r="F1471" s="12" t="n">
        <v>5.718</v>
      </c>
      <c r="G1471" s="13" t="n">
        <v>1.95</v>
      </c>
      <c r="H1471" s="13" t="n">
        <v>1.95</v>
      </c>
      <c r="I1471" s="13" t="n">
        <v>0</v>
      </c>
      <c r="J1471" s="11" t="n">
        <v>2021</v>
      </c>
      <c r="K1471" s="11" t="s">
        <v>19</v>
      </c>
      <c r="L1471" s="11" t="s">
        <v>1513</v>
      </c>
    </row>
    <row r="1472" customFormat="false" ht="15" hidden="false" customHeight="false" outlineLevel="0" collapsed="false">
      <c r="A1472" s="7" t="s">
        <v>1518</v>
      </c>
      <c r="B1472" s="7" t="s">
        <v>1519</v>
      </c>
      <c r="C1472" s="7" t="s">
        <v>15</v>
      </c>
      <c r="D1472" s="7" t="s">
        <v>16</v>
      </c>
      <c r="E1472" s="7" t="s">
        <v>44</v>
      </c>
      <c r="F1472" s="8" t="n">
        <v>16.06</v>
      </c>
      <c r="G1472" s="9" t="n">
        <v>2</v>
      </c>
      <c r="H1472" s="9" t="n">
        <v>0</v>
      </c>
      <c r="I1472" s="9" t="n">
        <v>0</v>
      </c>
      <c r="J1472" s="7" t="n">
        <v>2026</v>
      </c>
      <c r="K1472" s="7" t="s">
        <v>19</v>
      </c>
      <c r="L1472" s="7" t="s">
        <v>1492</v>
      </c>
    </row>
    <row r="1473" customFormat="false" ht="22.35" hidden="false" customHeight="false" outlineLevel="0" collapsed="false">
      <c r="A1473" s="11" t="s">
        <v>1520</v>
      </c>
      <c r="B1473" s="11" t="s">
        <v>1521</v>
      </c>
      <c r="C1473" s="11" t="s">
        <v>15</v>
      </c>
      <c r="D1473" s="11" t="s">
        <v>16</v>
      </c>
      <c r="E1473" s="11" t="s">
        <v>17</v>
      </c>
      <c r="F1473" s="12" t="n">
        <v>9.93</v>
      </c>
      <c r="G1473" s="13" t="n">
        <v>2</v>
      </c>
      <c r="H1473" s="13" t="n">
        <v>2</v>
      </c>
      <c r="I1473" s="13" t="n">
        <v>0</v>
      </c>
      <c r="J1473" s="11" t="n">
        <v>2023</v>
      </c>
      <c r="K1473" s="11" t="s">
        <v>19</v>
      </c>
      <c r="L1473" s="11" t="s">
        <v>1504</v>
      </c>
    </row>
    <row r="1474" customFormat="false" ht="22.35" hidden="false" customHeight="false" outlineLevel="0" collapsed="false">
      <c r="A1474" s="11" t="s">
        <v>1522</v>
      </c>
      <c r="B1474" s="11" t="s">
        <v>1523</v>
      </c>
      <c r="C1474" s="11" t="s">
        <v>15</v>
      </c>
      <c r="D1474" s="11" t="s">
        <v>16</v>
      </c>
      <c r="E1474" s="11" t="s">
        <v>17</v>
      </c>
      <c r="F1474" s="12" t="n">
        <v>5.69</v>
      </c>
      <c r="G1474" s="13" t="n">
        <v>2</v>
      </c>
      <c r="H1474" s="13" t="n">
        <v>2</v>
      </c>
      <c r="I1474" s="13" t="n">
        <v>0</v>
      </c>
      <c r="J1474" s="11" t="n">
        <v>2023</v>
      </c>
      <c r="K1474" s="11" t="s">
        <v>19</v>
      </c>
      <c r="L1474" s="11" t="s">
        <v>1504</v>
      </c>
    </row>
    <row r="1475" customFormat="false" ht="22.35" hidden="false" customHeight="false" outlineLevel="0" collapsed="false">
      <c r="A1475" s="11" t="s">
        <v>1524</v>
      </c>
      <c r="B1475" s="11" t="s">
        <v>1525</v>
      </c>
      <c r="C1475" s="11" t="s">
        <v>15</v>
      </c>
      <c r="D1475" s="11" t="s">
        <v>16</v>
      </c>
      <c r="E1475" s="11" t="s">
        <v>17</v>
      </c>
      <c r="F1475" s="12" t="n">
        <v>5.09</v>
      </c>
      <c r="G1475" s="13" t="n">
        <v>2</v>
      </c>
      <c r="H1475" s="13" t="n">
        <v>2</v>
      </c>
      <c r="I1475" s="13" t="n">
        <v>0</v>
      </c>
      <c r="J1475" s="11" t="n">
        <v>2023</v>
      </c>
      <c r="K1475" s="11" t="s">
        <v>19</v>
      </c>
      <c r="L1475" s="11" t="s">
        <v>1504</v>
      </c>
    </row>
    <row r="1476" customFormat="false" ht="22.35" hidden="false" customHeight="false" outlineLevel="0" collapsed="false">
      <c r="A1476" s="11" t="s">
        <v>1526</v>
      </c>
      <c r="B1476" s="11" t="s">
        <v>1527</v>
      </c>
      <c r="C1476" s="11" t="s">
        <v>15</v>
      </c>
      <c r="D1476" s="11" t="s">
        <v>16</v>
      </c>
      <c r="E1476" s="11" t="s">
        <v>17</v>
      </c>
      <c r="F1476" s="12" t="n">
        <v>7.3</v>
      </c>
      <c r="G1476" s="13" t="n">
        <v>2.0694</v>
      </c>
      <c r="H1476" s="13" t="n">
        <v>2.0694</v>
      </c>
      <c r="I1476" s="13" t="n">
        <v>0</v>
      </c>
      <c r="J1476" s="11" t="n">
        <v>2022</v>
      </c>
      <c r="K1476" s="11" t="s">
        <v>19</v>
      </c>
      <c r="L1476" s="11" t="s">
        <v>1495</v>
      </c>
    </row>
    <row r="1477" customFormat="false" ht="22.35" hidden="false" customHeight="false" outlineLevel="0" collapsed="false">
      <c r="A1477" s="11" t="s">
        <v>1528</v>
      </c>
      <c r="B1477" s="11" t="s">
        <v>1529</v>
      </c>
      <c r="C1477" s="11" t="s">
        <v>15</v>
      </c>
      <c r="D1477" s="11" t="s">
        <v>16</v>
      </c>
      <c r="E1477" s="11" t="s">
        <v>44</v>
      </c>
      <c r="F1477" s="12" t="n">
        <v>4.37</v>
      </c>
      <c r="G1477" s="13" t="n">
        <v>2.62</v>
      </c>
      <c r="H1477" s="13" t="n">
        <v>2.62</v>
      </c>
      <c r="I1477" s="13" t="n">
        <v>0</v>
      </c>
      <c r="J1477" s="11" t="n">
        <v>2021</v>
      </c>
      <c r="K1477" s="11" t="s">
        <v>19</v>
      </c>
      <c r="L1477" s="11" t="s">
        <v>1513</v>
      </c>
    </row>
    <row r="1478" customFormat="false" ht="22.35" hidden="false" customHeight="false" outlineLevel="0" collapsed="false">
      <c r="A1478" s="11" t="s">
        <v>1530</v>
      </c>
      <c r="B1478" s="11" t="s">
        <v>1531</v>
      </c>
      <c r="C1478" s="11" t="s">
        <v>15</v>
      </c>
      <c r="D1478" s="11" t="s">
        <v>16</v>
      </c>
      <c r="E1478" s="11" t="s">
        <v>17</v>
      </c>
      <c r="F1478" s="12" t="n">
        <v>8.08</v>
      </c>
      <c r="G1478" s="13" t="n">
        <v>2.68</v>
      </c>
      <c r="H1478" s="13" t="n">
        <v>2.68</v>
      </c>
      <c r="I1478" s="13" t="n">
        <v>0</v>
      </c>
      <c r="J1478" s="11" t="n">
        <v>2023</v>
      </c>
      <c r="K1478" s="11" t="s">
        <v>19</v>
      </c>
      <c r="L1478" s="11" t="s">
        <v>1504</v>
      </c>
    </row>
    <row r="1479" customFormat="false" ht="15" hidden="false" customHeight="false" outlineLevel="0" collapsed="false">
      <c r="A1479" s="4" t="s">
        <v>1532</v>
      </c>
      <c r="B1479" s="4" t="s">
        <v>1533</v>
      </c>
      <c r="C1479" s="4" t="s">
        <v>15</v>
      </c>
      <c r="D1479" s="4" t="s">
        <v>16</v>
      </c>
      <c r="E1479" s="4" t="s">
        <v>44</v>
      </c>
      <c r="F1479" s="5" t="n">
        <v>10.12</v>
      </c>
      <c r="G1479" s="6" t="n">
        <v>3.03</v>
      </c>
      <c r="H1479" s="6" t="n">
        <v>0</v>
      </c>
      <c r="I1479" s="6" t="n">
        <v>0</v>
      </c>
      <c r="J1479" s="4" t="n">
        <v>2026</v>
      </c>
      <c r="K1479" s="4" t="s">
        <v>19</v>
      </c>
      <c r="L1479" s="4" t="s">
        <v>1492</v>
      </c>
    </row>
    <row r="1480" customFormat="false" ht="15" hidden="false" customHeight="false" outlineLevel="0" collapsed="false">
      <c r="A1480" s="7" t="s">
        <v>1534</v>
      </c>
      <c r="B1480" s="7" t="s">
        <v>1535</v>
      </c>
      <c r="C1480" s="7" t="s">
        <v>15</v>
      </c>
      <c r="D1480" s="7" t="s">
        <v>16</v>
      </c>
      <c r="E1480" s="7" t="s">
        <v>44</v>
      </c>
      <c r="F1480" s="8" t="n">
        <v>9.75</v>
      </c>
      <c r="G1480" s="9" t="n">
        <v>3.17</v>
      </c>
      <c r="H1480" s="9" t="n">
        <v>0</v>
      </c>
      <c r="I1480" s="9" t="n">
        <v>0</v>
      </c>
      <c r="J1480" s="7" t="n">
        <v>2026</v>
      </c>
      <c r="K1480" s="7" t="s">
        <v>19</v>
      </c>
      <c r="L1480" s="7" t="s">
        <v>1492</v>
      </c>
    </row>
    <row r="1481" customFormat="false" ht="22.35" hidden="false" customHeight="false" outlineLevel="0" collapsed="false">
      <c r="A1481" s="11" t="s">
        <v>1536</v>
      </c>
      <c r="B1481" s="11" t="s">
        <v>1537</v>
      </c>
      <c r="C1481" s="11" t="s">
        <v>15</v>
      </c>
      <c r="D1481" s="11" t="s">
        <v>16</v>
      </c>
      <c r="E1481" s="11" t="s">
        <v>44</v>
      </c>
      <c r="F1481" s="12" t="n">
        <v>8.11</v>
      </c>
      <c r="G1481" s="13" t="n">
        <v>3.19</v>
      </c>
      <c r="H1481" s="13" t="n">
        <v>0.19</v>
      </c>
      <c r="I1481" s="13" t="n">
        <v>0</v>
      </c>
      <c r="J1481" s="11" t="n">
        <v>2026</v>
      </c>
      <c r="K1481" s="11" t="s">
        <v>19</v>
      </c>
      <c r="L1481" s="11" t="s">
        <v>1538</v>
      </c>
    </row>
    <row r="1482" customFormat="false" ht="22.35" hidden="false" customHeight="false" outlineLevel="0" collapsed="false">
      <c r="A1482" s="11" t="s">
        <v>1539</v>
      </c>
      <c r="B1482" s="11" t="s">
        <v>1540</v>
      </c>
      <c r="C1482" s="11" t="s">
        <v>15</v>
      </c>
      <c r="D1482" s="11" t="s">
        <v>16</v>
      </c>
      <c r="E1482" s="11" t="s">
        <v>17</v>
      </c>
      <c r="F1482" s="12" t="n">
        <v>29.58</v>
      </c>
      <c r="G1482" s="13" t="n">
        <v>3.89</v>
      </c>
      <c r="H1482" s="13" t="n">
        <v>3.89</v>
      </c>
      <c r="I1482" s="13" t="n">
        <v>0</v>
      </c>
      <c r="J1482" s="11" t="n">
        <v>2022</v>
      </c>
      <c r="K1482" s="11" t="s">
        <v>19</v>
      </c>
      <c r="L1482" s="11" t="s">
        <v>1495</v>
      </c>
    </row>
    <row r="1483" customFormat="false" ht="22.35" hidden="false" customHeight="false" outlineLevel="0" collapsed="false">
      <c r="A1483" s="11" t="s">
        <v>1541</v>
      </c>
      <c r="B1483" s="11" t="s">
        <v>1542</v>
      </c>
      <c r="C1483" s="11" t="s">
        <v>15</v>
      </c>
      <c r="D1483" s="11" t="s">
        <v>16</v>
      </c>
      <c r="E1483" s="11" t="s">
        <v>17</v>
      </c>
      <c r="F1483" s="12" t="n">
        <v>10.52</v>
      </c>
      <c r="G1483" s="13" t="n">
        <v>3.9</v>
      </c>
      <c r="H1483" s="13" t="n">
        <v>3.9</v>
      </c>
      <c r="I1483" s="13" t="n">
        <v>0</v>
      </c>
      <c r="J1483" s="11" t="n">
        <v>2023</v>
      </c>
      <c r="K1483" s="11" t="s">
        <v>19</v>
      </c>
      <c r="L1483" s="11" t="s">
        <v>1504</v>
      </c>
    </row>
    <row r="1484" customFormat="false" ht="22.35" hidden="false" customHeight="false" outlineLevel="0" collapsed="false">
      <c r="A1484" s="11" t="s">
        <v>1543</v>
      </c>
      <c r="B1484" s="11" t="s">
        <v>1517</v>
      </c>
      <c r="C1484" s="11" t="s">
        <v>15</v>
      </c>
      <c r="D1484" s="11" t="s">
        <v>16</v>
      </c>
      <c r="E1484" s="11" t="s">
        <v>44</v>
      </c>
      <c r="F1484" s="12" t="n">
        <v>4.799</v>
      </c>
      <c r="G1484" s="13" t="n">
        <v>4.41</v>
      </c>
      <c r="H1484" s="13" t="n">
        <v>4.41</v>
      </c>
      <c r="I1484" s="13" t="n">
        <v>0</v>
      </c>
      <c r="J1484" s="11" t="n">
        <v>2021</v>
      </c>
      <c r="K1484" s="11" t="s">
        <v>19</v>
      </c>
      <c r="L1484" s="11" t="s">
        <v>1513</v>
      </c>
    </row>
    <row r="1485" customFormat="false" ht="22.35" hidden="false" customHeight="false" outlineLevel="0" collapsed="false">
      <c r="A1485" s="11" t="s">
        <v>1544</v>
      </c>
      <c r="B1485" s="11" t="s">
        <v>1545</v>
      </c>
      <c r="C1485" s="11" t="s">
        <v>15</v>
      </c>
      <c r="D1485" s="11" t="s">
        <v>16</v>
      </c>
      <c r="E1485" s="11" t="s">
        <v>17</v>
      </c>
      <c r="F1485" s="12" t="n">
        <v>2.32</v>
      </c>
      <c r="G1485" s="13" t="n">
        <v>4.92</v>
      </c>
      <c r="H1485" s="13" t="n">
        <v>4.92</v>
      </c>
      <c r="I1485" s="13" t="n">
        <v>0</v>
      </c>
      <c r="J1485" s="11" t="n">
        <v>2021</v>
      </c>
      <c r="K1485" s="11" t="s">
        <v>19</v>
      </c>
      <c r="L1485" s="11" t="s">
        <v>1513</v>
      </c>
    </row>
    <row r="1486" customFormat="false" ht="15" hidden="false" customHeight="false" outlineLevel="0" collapsed="false">
      <c r="A1486" s="7" t="s">
        <v>1546</v>
      </c>
      <c r="B1486" s="7" t="s">
        <v>1547</v>
      </c>
      <c r="C1486" s="7" t="s">
        <v>15</v>
      </c>
      <c r="D1486" s="7" t="s">
        <v>16</v>
      </c>
      <c r="E1486" s="7" t="s">
        <v>44</v>
      </c>
      <c r="F1486" s="8" t="n">
        <v>4.06</v>
      </c>
      <c r="G1486" s="9" t="n">
        <v>5</v>
      </c>
      <c r="H1486" s="9" t="n">
        <v>0</v>
      </c>
      <c r="I1486" s="9" t="n">
        <v>0</v>
      </c>
      <c r="J1486" s="7" t="n">
        <v>2026</v>
      </c>
      <c r="K1486" s="7" t="s">
        <v>19</v>
      </c>
      <c r="L1486" s="7" t="s">
        <v>1492</v>
      </c>
    </row>
    <row r="1487" customFormat="false" ht="15" hidden="false" customHeight="false" outlineLevel="0" collapsed="false">
      <c r="A1487" s="4" t="s">
        <v>1548</v>
      </c>
      <c r="B1487" s="4" t="s">
        <v>1531</v>
      </c>
      <c r="C1487" s="4" t="s">
        <v>15</v>
      </c>
      <c r="D1487" s="4" t="s">
        <v>16</v>
      </c>
      <c r="E1487" s="4" t="s">
        <v>44</v>
      </c>
      <c r="F1487" s="5" t="n">
        <v>19.8232</v>
      </c>
      <c r="G1487" s="6" t="n">
        <v>5</v>
      </c>
      <c r="H1487" s="6" t="n">
        <v>0</v>
      </c>
      <c r="I1487" s="6" t="n">
        <v>0</v>
      </c>
      <c r="J1487" s="4" t="n">
        <v>2026</v>
      </c>
      <c r="K1487" s="4" t="s">
        <v>19</v>
      </c>
      <c r="L1487" s="4" t="s">
        <v>1492</v>
      </c>
    </row>
    <row r="1488" customFormat="false" ht="22.35" hidden="false" customHeight="false" outlineLevel="0" collapsed="false">
      <c r="A1488" s="11" t="s">
        <v>1549</v>
      </c>
      <c r="B1488" s="11" t="s">
        <v>1550</v>
      </c>
      <c r="C1488" s="11" t="s">
        <v>929</v>
      </c>
      <c r="D1488" s="11" t="s">
        <v>930</v>
      </c>
      <c r="E1488" s="11" t="s">
        <v>44</v>
      </c>
      <c r="F1488" s="12" t="n">
        <v>24.42</v>
      </c>
      <c r="G1488" s="13" t="n">
        <v>5</v>
      </c>
      <c r="H1488" s="13" t="n">
        <v>4</v>
      </c>
      <c r="I1488" s="13" t="n">
        <v>0</v>
      </c>
      <c r="J1488" s="11" t="n">
        <v>2026</v>
      </c>
      <c r="K1488" s="11" t="s">
        <v>19</v>
      </c>
      <c r="L1488" s="11" t="s">
        <v>1538</v>
      </c>
    </row>
    <row r="1489" customFormat="false" ht="22.35" hidden="false" customHeight="false" outlineLevel="0" collapsed="false">
      <c r="A1489" s="11" t="s">
        <v>1551</v>
      </c>
      <c r="B1489" s="11" t="s">
        <v>1552</v>
      </c>
      <c r="C1489" s="11" t="s">
        <v>929</v>
      </c>
      <c r="D1489" s="11" t="s">
        <v>930</v>
      </c>
      <c r="E1489" s="11" t="s">
        <v>44</v>
      </c>
      <c r="F1489" s="12" t="n">
        <v>1.349</v>
      </c>
      <c r="G1489" s="13" t="n">
        <v>5</v>
      </c>
      <c r="H1489" s="13" t="n">
        <v>5</v>
      </c>
      <c r="I1489" s="13" t="n">
        <v>0</v>
      </c>
      <c r="J1489" s="11" t="n">
        <v>2022</v>
      </c>
      <c r="K1489" s="11" t="s">
        <v>19</v>
      </c>
      <c r="L1489" s="11" t="s">
        <v>1495</v>
      </c>
    </row>
    <row r="1490" customFormat="false" ht="15" hidden="false" customHeight="false" outlineLevel="0" collapsed="false">
      <c r="A1490" s="7" t="s">
        <v>1553</v>
      </c>
      <c r="B1490" s="7" t="s">
        <v>1554</v>
      </c>
      <c r="C1490" s="7" t="s">
        <v>15</v>
      </c>
      <c r="D1490" s="7" t="s">
        <v>16</v>
      </c>
      <c r="E1490" s="7" t="s">
        <v>44</v>
      </c>
      <c r="F1490" s="8" t="n">
        <v>16.09</v>
      </c>
      <c r="G1490" s="9" t="n">
        <v>6</v>
      </c>
      <c r="H1490" s="9" t="n">
        <v>0</v>
      </c>
      <c r="I1490" s="9" t="n">
        <v>0</v>
      </c>
      <c r="J1490" s="7" t="n">
        <v>2026</v>
      </c>
      <c r="K1490" s="7" t="s">
        <v>19</v>
      </c>
      <c r="L1490" s="7" t="s">
        <v>1492</v>
      </c>
    </row>
    <row r="1491" customFormat="false" ht="22.35" hidden="false" customHeight="false" outlineLevel="0" collapsed="false">
      <c r="A1491" s="11" t="s">
        <v>1555</v>
      </c>
      <c r="B1491" s="11" t="s">
        <v>1556</v>
      </c>
      <c r="C1491" s="11" t="s">
        <v>929</v>
      </c>
      <c r="D1491" s="11" t="s">
        <v>930</v>
      </c>
      <c r="E1491" s="11" t="s">
        <v>44</v>
      </c>
      <c r="F1491" s="12" t="n">
        <v>1.19</v>
      </c>
      <c r="G1491" s="13" t="n">
        <v>6</v>
      </c>
      <c r="H1491" s="13" t="n">
        <v>6</v>
      </c>
      <c r="I1491" s="13" t="n">
        <v>0</v>
      </c>
      <c r="J1491" s="11" t="n">
        <v>2021</v>
      </c>
      <c r="K1491" s="10" t="s">
        <v>1284</v>
      </c>
      <c r="L1491" s="11" t="s">
        <v>1513</v>
      </c>
    </row>
    <row r="1492" customFormat="false" ht="15" hidden="false" customHeight="false" outlineLevel="0" collapsed="false">
      <c r="A1492" s="7" t="s">
        <v>1557</v>
      </c>
      <c r="B1492" s="7" t="s">
        <v>1558</v>
      </c>
      <c r="C1492" s="7" t="s">
        <v>15</v>
      </c>
      <c r="D1492" s="7" t="s">
        <v>16</v>
      </c>
      <c r="E1492" s="7" t="s">
        <v>44</v>
      </c>
      <c r="F1492" s="8" t="n">
        <v>15.9038</v>
      </c>
      <c r="G1492" s="9" t="n">
        <v>6.33</v>
      </c>
      <c r="H1492" s="9" t="n">
        <v>0</v>
      </c>
      <c r="I1492" s="9" t="n">
        <v>0</v>
      </c>
      <c r="J1492" s="7" t="n">
        <v>2026</v>
      </c>
      <c r="K1492" s="7" t="s">
        <v>19</v>
      </c>
      <c r="L1492" s="7" t="s">
        <v>1492</v>
      </c>
    </row>
    <row r="1493" customFormat="false" ht="15" hidden="false" customHeight="false" outlineLevel="0" collapsed="false">
      <c r="A1493" s="4" t="s">
        <v>1559</v>
      </c>
      <c r="B1493" s="4" t="s">
        <v>1560</v>
      </c>
      <c r="C1493" s="4" t="s">
        <v>15</v>
      </c>
      <c r="D1493" s="4" t="s">
        <v>16</v>
      </c>
      <c r="E1493" s="4" t="s">
        <v>44</v>
      </c>
      <c r="F1493" s="5" t="n">
        <v>11.29</v>
      </c>
      <c r="G1493" s="6" t="n">
        <v>6.535</v>
      </c>
      <c r="H1493" s="6" t="n">
        <v>0</v>
      </c>
      <c r="I1493" s="6" t="n">
        <v>0</v>
      </c>
      <c r="J1493" s="4" t="n">
        <v>2026</v>
      </c>
      <c r="K1493" s="4" t="s">
        <v>19</v>
      </c>
      <c r="L1493" s="4" t="s">
        <v>1492</v>
      </c>
    </row>
    <row r="1494" customFormat="false" ht="15" hidden="false" customHeight="false" outlineLevel="0" collapsed="false">
      <c r="A1494" s="7" t="s">
        <v>1561</v>
      </c>
      <c r="B1494" s="7" t="s">
        <v>1562</v>
      </c>
      <c r="C1494" s="7" t="s">
        <v>15</v>
      </c>
      <c r="D1494" s="7" t="s">
        <v>16</v>
      </c>
      <c r="E1494" s="7" t="s">
        <v>44</v>
      </c>
      <c r="F1494" s="8" t="n">
        <v>5.77</v>
      </c>
      <c r="G1494" s="9" t="n">
        <v>6.732</v>
      </c>
      <c r="H1494" s="9" t="n">
        <v>0</v>
      </c>
      <c r="I1494" s="9" t="n">
        <v>0</v>
      </c>
      <c r="J1494" s="7" t="n">
        <v>2026</v>
      </c>
      <c r="K1494" s="7" t="s">
        <v>19</v>
      </c>
      <c r="L1494" s="7" t="s">
        <v>1492</v>
      </c>
    </row>
    <row r="1495" customFormat="false" ht="15" hidden="false" customHeight="false" outlineLevel="0" collapsed="false">
      <c r="A1495" s="4" t="s">
        <v>1563</v>
      </c>
      <c r="B1495" s="4" t="s">
        <v>1564</v>
      </c>
      <c r="C1495" s="4" t="s">
        <v>15</v>
      </c>
      <c r="D1495" s="4" t="s">
        <v>16</v>
      </c>
      <c r="E1495" s="4" t="s">
        <v>44</v>
      </c>
      <c r="F1495" s="5" t="n">
        <v>14.32</v>
      </c>
      <c r="G1495" s="6" t="n">
        <v>7</v>
      </c>
      <c r="H1495" s="6" t="n">
        <v>0</v>
      </c>
      <c r="I1495" s="6" t="n">
        <v>0</v>
      </c>
      <c r="J1495" s="4" t="n">
        <v>2026</v>
      </c>
      <c r="K1495" s="4" t="s">
        <v>19</v>
      </c>
      <c r="L1495" s="4" t="s">
        <v>1492</v>
      </c>
    </row>
    <row r="1496" customFormat="false" ht="15" hidden="false" customHeight="false" outlineLevel="0" collapsed="false">
      <c r="A1496" s="7" t="s">
        <v>1565</v>
      </c>
      <c r="B1496" s="7" t="s">
        <v>1566</v>
      </c>
      <c r="C1496" s="7" t="s">
        <v>15</v>
      </c>
      <c r="D1496" s="7" t="s">
        <v>16</v>
      </c>
      <c r="E1496" s="7" t="s">
        <v>44</v>
      </c>
      <c r="F1496" s="8" t="n">
        <v>9.37</v>
      </c>
      <c r="G1496" s="9" t="n">
        <v>7</v>
      </c>
      <c r="H1496" s="9" t="n">
        <v>0</v>
      </c>
      <c r="I1496" s="9" t="n">
        <v>0</v>
      </c>
      <c r="J1496" s="7" t="n">
        <v>2026</v>
      </c>
      <c r="K1496" s="7" t="s">
        <v>19</v>
      </c>
      <c r="L1496" s="7" t="s">
        <v>1492</v>
      </c>
    </row>
    <row r="1497" customFormat="false" ht="15" hidden="false" customHeight="false" outlineLevel="0" collapsed="false">
      <c r="A1497" s="4" t="s">
        <v>1567</v>
      </c>
      <c r="B1497" s="4" t="s">
        <v>1568</v>
      </c>
      <c r="C1497" s="4" t="s">
        <v>15</v>
      </c>
      <c r="D1497" s="4" t="s">
        <v>16</v>
      </c>
      <c r="E1497" s="4" t="s">
        <v>44</v>
      </c>
      <c r="F1497" s="5" t="n">
        <v>17.52</v>
      </c>
      <c r="G1497" s="6" t="n">
        <v>7</v>
      </c>
      <c r="H1497" s="6" t="n">
        <v>0</v>
      </c>
      <c r="I1497" s="6" t="n">
        <v>0</v>
      </c>
      <c r="J1497" s="4" t="n">
        <v>2026</v>
      </c>
      <c r="K1497" s="4" t="s">
        <v>19</v>
      </c>
      <c r="L1497" s="4" t="s">
        <v>1492</v>
      </c>
    </row>
    <row r="1498" customFormat="false" ht="22.35" hidden="false" customHeight="false" outlineLevel="0" collapsed="false">
      <c r="A1498" s="11" t="s">
        <v>1569</v>
      </c>
      <c r="B1498" s="11" t="s">
        <v>1570</v>
      </c>
      <c r="C1498" s="11" t="s">
        <v>15</v>
      </c>
      <c r="D1498" s="11" t="s">
        <v>16</v>
      </c>
      <c r="E1498" s="11" t="s">
        <v>17</v>
      </c>
      <c r="F1498" s="12" t="n">
        <v>3.29</v>
      </c>
      <c r="G1498" s="13" t="n">
        <v>7</v>
      </c>
      <c r="H1498" s="13" t="n">
        <v>7</v>
      </c>
      <c r="I1498" s="13" t="n">
        <v>0</v>
      </c>
      <c r="J1498" s="11" t="n">
        <v>2023</v>
      </c>
      <c r="K1498" s="11" t="s">
        <v>19</v>
      </c>
      <c r="L1498" s="11" t="s">
        <v>1504</v>
      </c>
    </row>
    <row r="1499" customFormat="false" ht="22.35" hidden="false" customHeight="false" outlineLevel="0" collapsed="false">
      <c r="A1499" s="11" t="s">
        <v>1571</v>
      </c>
      <c r="B1499" s="11" t="s">
        <v>1572</v>
      </c>
      <c r="C1499" s="11" t="s">
        <v>929</v>
      </c>
      <c r="D1499" s="11" t="s">
        <v>930</v>
      </c>
      <c r="E1499" s="11" t="s">
        <v>44</v>
      </c>
      <c r="F1499" s="12" t="n">
        <v>57.2</v>
      </c>
      <c r="G1499" s="13" t="n">
        <v>7</v>
      </c>
      <c r="H1499" s="13" t="n">
        <v>7</v>
      </c>
      <c r="I1499" s="13" t="n">
        <v>0</v>
      </c>
      <c r="J1499" s="11" t="n">
        <v>2022</v>
      </c>
      <c r="K1499" s="11" t="s">
        <v>19</v>
      </c>
      <c r="L1499" s="11" t="s">
        <v>1495</v>
      </c>
    </row>
    <row r="1500" customFormat="false" ht="22.35" hidden="false" customHeight="false" outlineLevel="0" collapsed="false">
      <c r="A1500" s="11" t="s">
        <v>1573</v>
      </c>
      <c r="B1500" s="11" t="s">
        <v>1517</v>
      </c>
      <c r="C1500" s="11" t="s">
        <v>15</v>
      </c>
      <c r="D1500" s="11" t="s">
        <v>16</v>
      </c>
      <c r="E1500" s="11" t="s">
        <v>17</v>
      </c>
      <c r="F1500" s="12" t="n">
        <v>4.0089</v>
      </c>
      <c r="G1500" s="13" t="n">
        <v>7.3</v>
      </c>
      <c r="H1500" s="13" t="n">
        <v>7.3</v>
      </c>
      <c r="I1500" s="13" t="n">
        <v>0</v>
      </c>
      <c r="J1500" s="11" t="n">
        <v>2022</v>
      </c>
      <c r="K1500" s="11" t="s">
        <v>19</v>
      </c>
      <c r="L1500" s="11" t="s">
        <v>1495</v>
      </c>
    </row>
    <row r="1501" customFormat="false" ht="15" hidden="false" customHeight="false" outlineLevel="0" collapsed="false">
      <c r="A1501" s="4" t="s">
        <v>1574</v>
      </c>
      <c r="B1501" s="4" t="s">
        <v>1575</v>
      </c>
      <c r="C1501" s="4" t="s">
        <v>15</v>
      </c>
      <c r="D1501" s="4" t="s">
        <v>16</v>
      </c>
      <c r="E1501" s="4" t="s">
        <v>44</v>
      </c>
      <c r="F1501" s="5" t="n">
        <v>11.5602</v>
      </c>
      <c r="G1501" s="6" t="n">
        <v>7.56</v>
      </c>
      <c r="H1501" s="6" t="n">
        <v>0</v>
      </c>
      <c r="I1501" s="6" t="n">
        <v>0</v>
      </c>
      <c r="J1501" s="4" t="n">
        <v>2026</v>
      </c>
      <c r="K1501" s="4" t="s">
        <v>19</v>
      </c>
      <c r="L1501" s="4" t="s">
        <v>1492</v>
      </c>
    </row>
    <row r="1502" customFormat="false" ht="22.35" hidden="false" customHeight="false" outlineLevel="0" collapsed="false">
      <c r="A1502" s="11" t="s">
        <v>1576</v>
      </c>
      <c r="B1502" s="11" t="s">
        <v>1577</v>
      </c>
      <c r="C1502" s="11" t="s">
        <v>929</v>
      </c>
      <c r="D1502" s="11" t="s">
        <v>930</v>
      </c>
      <c r="E1502" s="11" t="s">
        <v>44</v>
      </c>
      <c r="F1502" s="12" t="n">
        <v>48.71</v>
      </c>
      <c r="G1502" s="13" t="n">
        <v>8</v>
      </c>
      <c r="H1502" s="13" t="n">
        <v>8</v>
      </c>
      <c r="I1502" s="13" t="n">
        <v>0</v>
      </c>
      <c r="J1502" s="11" t="n">
        <v>2021</v>
      </c>
      <c r="K1502" s="11" t="s">
        <v>19</v>
      </c>
      <c r="L1502" s="11" t="s">
        <v>1513</v>
      </c>
    </row>
    <row r="1503" customFormat="false" ht="15" hidden="false" customHeight="false" outlineLevel="0" collapsed="false">
      <c r="A1503" s="4" t="s">
        <v>1578</v>
      </c>
      <c r="B1503" s="4" t="s">
        <v>1579</v>
      </c>
      <c r="C1503" s="4" t="s">
        <v>15</v>
      </c>
      <c r="D1503" s="4" t="s">
        <v>16</v>
      </c>
      <c r="E1503" s="4" t="s">
        <v>44</v>
      </c>
      <c r="F1503" s="5" t="n">
        <v>5.57</v>
      </c>
      <c r="G1503" s="6" t="n">
        <v>8.55</v>
      </c>
      <c r="H1503" s="6" t="n">
        <v>0</v>
      </c>
      <c r="I1503" s="6" t="n">
        <v>0</v>
      </c>
      <c r="J1503" s="4" t="n">
        <v>2026</v>
      </c>
      <c r="K1503" s="4" t="s">
        <v>19</v>
      </c>
      <c r="L1503" s="4" t="s">
        <v>1492</v>
      </c>
    </row>
    <row r="1504" customFormat="false" ht="22.35" hidden="false" customHeight="false" outlineLevel="0" collapsed="false">
      <c r="A1504" s="11" t="s">
        <v>1580</v>
      </c>
      <c r="B1504" s="11" t="s">
        <v>1581</v>
      </c>
      <c r="C1504" s="11" t="s">
        <v>15</v>
      </c>
      <c r="D1504" s="11" t="s">
        <v>16</v>
      </c>
      <c r="E1504" s="11" t="s">
        <v>17</v>
      </c>
      <c r="F1504" s="12" t="n">
        <v>8.52</v>
      </c>
      <c r="G1504" s="13" t="n">
        <v>8.56</v>
      </c>
      <c r="H1504" s="13" t="n">
        <v>8.56</v>
      </c>
      <c r="I1504" s="13" t="n">
        <v>0</v>
      </c>
      <c r="J1504" s="11" t="n">
        <v>2021</v>
      </c>
      <c r="K1504" s="11" t="s">
        <v>19</v>
      </c>
      <c r="L1504" s="11" t="s">
        <v>1513</v>
      </c>
    </row>
    <row r="1505" customFormat="false" ht="22.35" hidden="false" customHeight="false" outlineLevel="0" collapsed="false">
      <c r="A1505" s="11" t="s">
        <v>1582</v>
      </c>
      <c r="B1505" s="11" t="s">
        <v>1583</v>
      </c>
      <c r="C1505" s="11" t="s">
        <v>929</v>
      </c>
      <c r="D1505" s="11" t="s">
        <v>930</v>
      </c>
      <c r="E1505" s="11" t="s">
        <v>44</v>
      </c>
      <c r="F1505" s="12" t="n">
        <v>374.79</v>
      </c>
      <c r="G1505" s="13" t="n">
        <v>9</v>
      </c>
      <c r="H1505" s="13" t="n">
        <v>9</v>
      </c>
      <c r="I1505" s="13" t="n">
        <v>0</v>
      </c>
      <c r="J1505" s="11" t="n">
        <v>2022</v>
      </c>
      <c r="K1505" s="11" t="s">
        <v>19</v>
      </c>
      <c r="L1505" s="11" t="s">
        <v>1495</v>
      </c>
    </row>
    <row r="1506" customFormat="false" ht="22.35" hidden="false" customHeight="false" outlineLevel="0" collapsed="false">
      <c r="A1506" s="11" t="s">
        <v>1584</v>
      </c>
      <c r="B1506" s="11" t="s">
        <v>1531</v>
      </c>
      <c r="C1506" s="11" t="s">
        <v>15</v>
      </c>
      <c r="D1506" s="11" t="s">
        <v>16</v>
      </c>
      <c r="E1506" s="11" t="s">
        <v>17</v>
      </c>
      <c r="F1506" s="12" t="n">
        <v>6.43</v>
      </c>
      <c r="G1506" s="13" t="n">
        <v>9.45</v>
      </c>
      <c r="H1506" s="13" t="n">
        <v>9.45</v>
      </c>
      <c r="I1506" s="13" t="n">
        <v>0</v>
      </c>
      <c r="J1506" s="11" t="n">
        <v>2022</v>
      </c>
      <c r="K1506" s="11" t="s">
        <v>19</v>
      </c>
      <c r="L1506" s="11" t="s">
        <v>1495</v>
      </c>
    </row>
    <row r="1507" customFormat="false" ht="22.35" hidden="false" customHeight="false" outlineLevel="0" collapsed="false">
      <c r="A1507" s="11" t="s">
        <v>1585</v>
      </c>
      <c r="B1507" s="11" t="s">
        <v>1586</v>
      </c>
      <c r="C1507" s="11" t="s">
        <v>929</v>
      </c>
      <c r="D1507" s="11" t="s">
        <v>930</v>
      </c>
      <c r="E1507" s="11" t="s">
        <v>44</v>
      </c>
      <c r="F1507" s="12" t="n">
        <v>0.223</v>
      </c>
      <c r="G1507" s="13" t="n">
        <v>10</v>
      </c>
      <c r="H1507" s="13" t="n">
        <v>10</v>
      </c>
      <c r="I1507" s="13" t="n">
        <v>0</v>
      </c>
      <c r="J1507" s="11" t="n">
        <v>2023</v>
      </c>
      <c r="K1507" s="11" t="s">
        <v>19</v>
      </c>
      <c r="L1507" s="11" t="s">
        <v>1504</v>
      </c>
    </row>
    <row r="1508" customFormat="false" ht="22.35" hidden="false" customHeight="false" outlineLevel="0" collapsed="false">
      <c r="A1508" s="11" t="s">
        <v>1587</v>
      </c>
      <c r="B1508" s="11" t="s">
        <v>1542</v>
      </c>
      <c r="C1508" s="11" t="s">
        <v>15</v>
      </c>
      <c r="D1508" s="11" t="s">
        <v>16</v>
      </c>
      <c r="E1508" s="11" t="s">
        <v>17</v>
      </c>
      <c r="F1508" s="12" t="n">
        <v>8.991</v>
      </c>
      <c r="G1508" s="13" t="n">
        <v>10.14</v>
      </c>
      <c r="H1508" s="13" t="n">
        <v>10.14</v>
      </c>
      <c r="I1508" s="13" t="n">
        <v>0</v>
      </c>
      <c r="J1508" s="11" t="n">
        <v>2022</v>
      </c>
      <c r="K1508" s="11" t="s">
        <v>19</v>
      </c>
      <c r="L1508" s="11" t="s">
        <v>1495</v>
      </c>
    </row>
    <row r="1509" customFormat="false" ht="22.35" hidden="false" customHeight="false" outlineLevel="0" collapsed="false">
      <c r="A1509" s="11" t="s">
        <v>1588</v>
      </c>
      <c r="B1509" s="11" t="s">
        <v>1589</v>
      </c>
      <c r="C1509" s="11" t="s">
        <v>15</v>
      </c>
      <c r="D1509" s="11" t="s">
        <v>16</v>
      </c>
      <c r="E1509" s="11" t="s">
        <v>44</v>
      </c>
      <c r="F1509" s="12" t="n">
        <v>11.93</v>
      </c>
      <c r="G1509" s="13" t="n">
        <v>10.42</v>
      </c>
      <c r="H1509" s="13" t="n">
        <v>8.42</v>
      </c>
      <c r="I1509" s="13" t="n">
        <v>0</v>
      </c>
      <c r="J1509" s="11" t="n">
        <v>2026</v>
      </c>
      <c r="K1509" s="11" t="s">
        <v>19</v>
      </c>
      <c r="L1509" s="11" t="s">
        <v>1538</v>
      </c>
    </row>
    <row r="1510" customFormat="false" ht="22.35" hidden="false" customHeight="false" outlineLevel="0" collapsed="false">
      <c r="A1510" s="11" t="s">
        <v>1590</v>
      </c>
      <c r="B1510" s="11" t="s">
        <v>1591</v>
      </c>
      <c r="C1510" s="11" t="s">
        <v>15</v>
      </c>
      <c r="D1510" s="11" t="s">
        <v>16</v>
      </c>
      <c r="E1510" s="11" t="s">
        <v>17</v>
      </c>
      <c r="F1510" s="12" t="n">
        <v>2.39</v>
      </c>
      <c r="G1510" s="13" t="n">
        <v>11.25</v>
      </c>
      <c r="H1510" s="13" t="n">
        <v>11.25</v>
      </c>
      <c r="I1510" s="13" t="n">
        <v>0</v>
      </c>
      <c r="J1510" s="11" t="n">
        <v>2022</v>
      </c>
      <c r="K1510" s="11" t="s">
        <v>19</v>
      </c>
      <c r="L1510" s="11" t="s">
        <v>1495</v>
      </c>
    </row>
    <row r="1511" customFormat="false" ht="15" hidden="false" customHeight="false" outlineLevel="0" collapsed="false">
      <c r="A1511" s="4" t="s">
        <v>1592</v>
      </c>
      <c r="B1511" s="4" t="s">
        <v>1593</v>
      </c>
      <c r="C1511" s="4" t="s">
        <v>15</v>
      </c>
      <c r="D1511" s="4" t="s">
        <v>16</v>
      </c>
      <c r="E1511" s="4" t="s">
        <v>44</v>
      </c>
      <c r="F1511" s="5" t="n">
        <v>6.07</v>
      </c>
      <c r="G1511" s="6" t="n">
        <v>11.45</v>
      </c>
      <c r="H1511" s="6" t="n">
        <v>0</v>
      </c>
      <c r="I1511" s="6" t="n">
        <v>0</v>
      </c>
      <c r="J1511" s="4" t="n">
        <v>2026</v>
      </c>
      <c r="K1511" s="4" t="s">
        <v>19</v>
      </c>
      <c r="L1511" s="4" t="s">
        <v>1492</v>
      </c>
    </row>
    <row r="1512" customFormat="false" ht="15" hidden="false" customHeight="false" outlineLevel="0" collapsed="false">
      <c r="A1512" s="7" t="s">
        <v>1594</v>
      </c>
      <c r="B1512" s="7" t="s">
        <v>1595</v>
      </c>
      <c r="C1512" s="7" t="s">
        <v>15</v>
      </c>
      <c r="D1512" s="7" t="s">
        <v>16</v>
      </c>
      <c r="E1512" s="7" t="s">
        <v>44</v>
      </c>
      <c r="F1512" s="8" t="n">
        <v>7.36</v>
      </c>
      <c r="G1512" s="9" t="n">
        <v>11.97</v>
      </c>
      <c r="H1512" s="9" t="n">
        <v>0</v>
      </c>
      <c r="I1512" s="9" t="n">
        <v>0</v>
      </c>
      <c r="J1512" s="7" t="n">
        <v>2026</v>
      </c>
      <c r="K1512" s="7" t="s">
        <v>19</v>
      </c>
      <c r="L1512" s="7" t="s">
        <v>1492</v>
      </c>
    </row>
    <row r="1513" customFormat="false" ht="22.35" hidden="false" customHeight="false" outlineLevel="0" collapsed="false">
      <c r="A1513" s="11" t="s">
        <v>1596</v>
      </c>
      <c r="B1513" s="11" t="s">
        <v>1597</v>
      </c>
      <c r="C1513" s="11" t="s">
        <v>15</v>
      </c>
      <c r="D1513" s="11" t="s">
        <v>16</v>
      </c>
      <c r="E1513" s="11" t="s">
        <v>17</v>
      </c>
      <c r="F1513" s="12" t="n">
        <v>4.95</v>
      </c>
      <c r="G1513" s="13" t="n">
        <v>12.37</v>
      </c>
      <c r="H1513" s="13" t="n">
        <v>12.37</v>
      </c>
      <c r="I1513" s="13" t="n">
        <v>0</v>
      </c>
      <c r="J1513" s="11" t="n">
        <v>2022</v>
      </c>
      <c r="K1513" s="11" t="s">
        <v>19</v>
      </c>
      <c r="L1513" s="11" t="s">
        <v>1495</v>
      </c>
    </row>
    <row r="1514" customFormat="false" ht="22.35" hidden="false" customHeight="false" outlineLevel="0" collapsed="false">
      <c r="A1514" s="11" t="s">
        <v>1598</v>
      </c>
      <c r="B1514" s="11" t="s">
        <v>1599</v>
      </c>
      <c r="C1514" s="11" t="s">
        <v>15</v>
      </c>
      <c r="D1514" s="11" t="s">
        <v>16</v>
      </c>
      <c r="E1514" s="11" t="s">
        <v>17</v>
      </c>
      <c r="F1514" s="12" t="n">
        <v>7.35</v>
      </c>
      <c r="G1514" s="13" t="n">
        <v>15.17</v>
      </c>
      <c r="H1514" s="13" t="n">
        <v>15.17</v>
      </c>
      <c r="I1514" s="13" t="n">
        <v>0</v>
      </c>
      <c r="J1514" s="11" t="n">
        <v>2022</v>
      </c>
      <c r="K1514" s="11" t="s">
        <v>19</v>
      </c>
      <c r="L1514" s="11" t="s">
        <v>1495</v>
      </c>
    </row>
    <row r="1515" customFormat="false" ht="22.35" hidden="false" customHeight="false" outlineLevel="0" collapsed="false">
      <c r="A1515" s="11" t="s">
        <v>1600</v>
      </c>
      <c r="B1515" s="11" t="s">
        <v>1601</v>
      </c>
      <c r="C1515" s="11" t="s">
        <v>15</v>
      </c>
      <c r="D1515" s="11" t="s">
        <v>16</v>
      </c>
      <c r="E1515" s="11" t="s">
        <v>44</v>
      </c>
      <c r="F1515" s="12" t="n">
        <v>5.84</v>
      </c>
      <c r="G1515" s="13" t="n">
        <v>15.7729</v>
      </c>
      <c r="H1515" s="13" t="n">
        <v>15.7729</v>
      </c>
      <c r="I1515" s="13" t="n">
        <v>0</v>
      </c>
      <c r="J1515" s="11" t="n">
        <v>2022</v>
      </c>
      <c r="K1515" s="11" t="s">
        <v>19</v>
      </c>
      <c r="L1515" s="11" t="s">
        <v>1495</v>
      </c>
    </row>
    <row r="1516" customFormat="false" ht="15" hidden="false" customHeight="false" outlineLevel="0" collapsed="false">
      <c r="A1516" s="7" t="s">
        <v>1602</v>
      </c>
      <c r="B1516" s="7" t="s">
        <v>1603</v>
      </c>
      <c r="C1516" s="7" t="s">
        <v>15</v>
      </c>
      <c r="D1516" s="7" t="s">
        <v>16</v>
      </c>
      <c r="E1516" s="7" t="s">
        <v>44</v>
      </c>
      <c r="F1516" s="8" t="n">
        <v>30.065</v>
      </c>
      <c r="G1516" s="9" t="n">
        <v>16.76</v>
      </c>
      <c r="H1516" s="9" t="n">
        <v>0</v>
      </c>
      <c r="I1516" s="9" t="n">
        <v>0</v>
      </c>
      <c r="J1516" s="7" t="n">
        <v>2026</v>
      </c>
      <c r="K1516" s="7" t="s">
        <v>19</v>
      </c>
      <c r="L1516" s="7" t="s">
        <v>1492</v>
      </c>
    </row>
    <row r="1517" customFormat="false" ht="22.35" hidden="false" customHeight="false" outlineLevel="0" collapsed="false">
      <c r="A1517" s="11" t="s">
        <v>1604</v>
      </c>
      <c r="B1517" s="11" t="s">
        <v>1605</v>
      </c>
      <c r="C1517" s="11" t="s">
        <v>15</v>
      </c>
      <c r="D1517" s="11" t="s">
        <v>16</v>
      </c>
      <c r="E1517" s="11" t="s">
        <v>17</v>
      </c>
      <c r="F1517" s="12" t="n">
        <v>6.02</v>
      </c>
      <c r="G1517" s="13" t="n">
        <v>19.98</v>
      </c>
      <c r="H1517" s="13" t="n">
        <v>19.98</v>
      </c>
      <c r="I1517" s="13" t="n">
        <v>0</v>
      </c>
      <c r="J1517" s="11" t="n">
        <v>2023</v>
      </c>
      <c r="K1517" s="11" t="s">
        <v>19</v>
      </c>
      <c r="L1517" s="11" t="s">
        <v>1504</v>
      </c>
    </row>
    <row r="1518" customFormat="false" ht="22.35" hidden="false" customHeight="false" outlineLevel="0" collapsed="false">
      <c r="A1518" s="11" t="s">
        <v>1606</v>
      </c>
      <c r="B1518" s="11" t="s">
        <v>1607</v>
      </c>
      <c r="C1518" s="11" t="s">
        <v>929</v>
      </c>
      <c r="D1518" s="11" t="s">
        <v>930</v>
      </c>
      <c r="E1518" s="11" t="s">
        <v>44</v>
      </c>
      <c r="F1518" s="12" t="n">
        <v>1.2</v>
      </c>
      <c r="G1518" s="13" t="n">
        <v>20</v>
      </c>
      <c r="H1518" s="13" t="n">
        <v>20</v>
      </c>
      <c r="I1518" s="13" t="n">
        <v>0</v>
      </c>
      <c r="J1518" s="11" t="n">
        <v>2021</v>
      </c>
      <c r="K1518" s="10" t="s">
        <v>1284</v>
      </c>
      <c r="L1518" s="11" t="s">
        <v>1513</v>
      </c>
    </row>
    <row r="1519" customFormat="false" ht="22.35" hidden="false" customHeight="false" outlineLevel="0" collapsed="false">
      <c r="A1519" s="11" t="s">
        <v>1608</v>
      </c>
      <c r="B1519" s="11" t="s">
        <v>1609</v>
      </c>
      <c r="C1519" s="11" t="s">
        <v>929</v>
      </c>
      <c r="D1519" s="11" t="s">
        <v>930</v>
      </c>
      <c r="E1519" s="11" t="s">
        <v>44</v>
      </c>
      <c r="F1519" s="12" t="n">
        <v>42.48</v>
      </c>
      <c r="G1519" s="13" t="n">
        <v>22</v>
      </c>
      <c r="H1519" s="13" t="n">
        <v>22</v>
      </c>
      <c r="I1519" s="13" t="n">
        <v>0</v>
      </c>
      <c r="J1519" s="11" t="n">
        <v>2022</v>
      </c>
      <c r="K1519" s="11" t="s">
        <v>19</v>
      </c>
      <c r="L1519" s="11" t="s">
        <v>1495</v>
      </c>
    </row>
    <row r="1520" customFormat="false" ht="22.35" hidden="false" customHeight="false" outlineLevel="0" collapsed="false">
      <c r="A1520" s="11" t="s">
        <v>1610</v>
      </c>
      <c r="B1520" s="11" t="s">
        <v>1611</v>
      </c>
      <c r="C1520" s="11" t="s">
        <v>15</v>
      </c>
      <c r="D1520" s="11" t="s">
        <v>16</v>
      </c>
      <c r="E1520" s="11" t="s">
        <v>17</v>
      </c>
      <c r="F1520" s="12" t="n">
        <v>1.17</v>
      </c>
      <c r="G1520" s="13" t="n">
        <v>22.62</v>
      </c>
      <c r="H1520" s="13" t="n">
        <v>22.62</v>
      </c>
      <c r="I1520" s="13" t="n">
        <v>0</v>
      </c>
      <c r="J1520" s="11" t="n">
        <v>2021</v>
      </c>
      <c r="K1520" s="11" t="s">
        <v>19</v>
      </c>
      <c r="L1520" s="11" t="s">
        <v>1513</v>
      </c>
    </row>
    <row r="1521" customFormat="false" ht="15" hidden="false" customHeight="false" outlineLevel="0" collapsed="false">
      <c r="A1521" s="4" t="s">
        <v>1612</v>
      </c>
      <c r="B1521" s="4" t="s">
        <v>1613</v>
      </c>
      <c r="C1521" s="4" t="s">
        <v>15</v>
      </c>
      <c r="D1521" s="4" t="s">
        <v>16</v>
      </c>
      <c r="E1521" s="4" t="s">
        <v>44</v>
      </c>
      <c r="F1521" s="5" t="n">
        <v>5.23</v>
      </c>
      <c r="G1521" s="6" t="n">
        <v>24.33</v>
      </c>
      <c r="H1521" s="6" t="n">
        <v>0</v>
      </c>
      <c r="I1521" s="6" t="n">
        <v>0</v>
      </c>
      <c r="J1521" s="4" t="n">
        <v>2026</v>
      </c>
      <c r="K1521" s="4" t="s">
        <v>19</v>
      </c>
      <c r="L1521" s="4" t="s">
        <v>1492</v>
      </c>
    </row>
    <row r="1522" customFormat="false" ht="15" hidden="false" customHeight="false" outlineLevel="0" collapsed="false">
      <c r="A1522" s="7" t="s">
        <v>1614</v>
      </c>
      <c r="B1522" s="7" t="s">
        <v>1615</v>
      </c>
      <c r="C1522" s="7" t="s">
        <v>15</v>
      </c>
      <c r="D1522" s="7" t="s">
        <v>16</v>
      </c>
      <c r="E1522" s="7" t="s">
        <v>44</v>
      </c>
      <c r="F1522" s="8" t="n">
        <v>4.4702</v>
      </c>
      <c r="G1522" s="9" t="n">
        <v>24.68</v>
      </c>
      <c r="H1522" s="9" t="n">
        <v>0</v>
      </c>
      <c r="I1522" s="9" t="n">
        <v>0</v>
      </c>
      <c r="J1522" s="7" t="n">
        <v>2026</v>
      </c>
      <c r="K1522" s="7" t="s">
        <v>19</v>
      </c>
      <c r="L1522" s="7" t="s">
        <v>1492</v>
      </c>
    </row>
    <row r="1523" customFormat="false" ht="22.35" hidden="false" customHeight="false" outlineLevel="0" collapsed="false">
      <c r="A1523" s="11" t="s">
        <v>1616</v>
      </c>
      <c r="B1523" s="11" t="s">
        <v>1617</v>
      </c>
      <c r="C1523" s="11" t="s">
        <v>15</v>
      </c>
      <c r="D1523" s="11" t="s">
        <v>16</v>
      </c>
      <c r="E1523" s="11" t="s">
        <v>17</v>
      </c>
      <c r="F1523" s="12" t="n">
        <v>7.66</v>
      </c>
      <c r="G1523" s="13" t="n">
        <v>26.32</v>
      </c>
      <c r="H1523" s="13" t="n">
        <v>26.32</v>
      </c>
      <c r="I1523" s="13" t="n">
        <v>0</v>
      </c>
      <c r="J1523" s="11" t="n">
        <v>2023</v>
      </c>
      <c r="K1523" s="11" t="s">
        <v>19</v>
      </c>
      <c r="L1523" s="11" t="s">
        <v>1504</v>
      </c>
    </row>
    <row r="1524" customFormat="false" ht="22.35" hidden="false" customHeight="false" outlineLevel="0" collapsed="false">
      <c r="A1524" s="11" t="s">
        <v>1618</v>
      </c>
      <c r="B1524" s="11" t="s">
        <v>1619</v>
      </c>
      <c r="C1524" s="11" t="s">
        <v>15</v>
      </c>
      <c r="D1524" s="11" t="s">
        <v>16</v>
      </c>
      <c r="E1524" s="11" t="s">
        <v>17</v>
      </c>
      <c r="F1524" s="12" t="n">
        <v>3.07</v>
      </c>
      <c r="G1524" s="13" t="n">
        <v>26.36</v>
      </c>
      <c r="H1524" s="13" t="n">
        <v>5</v>
      </c>
      <c r="I1524" s="13" t="n">
        <v>0</v>
      </c>
      <c r="J1524" s="11" t="n">
        <v>2026</v>
      </c>
      <c r="K1524" s="11" t="s">
        <v>19</v>
      </c>
      <c r="L1524" s="11" t="s">
        <v>1538</v>
      </c>
    </row>
    <row r="1525" customFormat="false" ht="22.35" hidden="false" customHeight="false" outlineLevel="0" collapsed="false">
      <c r="A1525" s="11" t="s">
        <v>1620</v>
      </c>
      <c r="B1525" s="11" t="s">
        <v>1531</v>
      </c>
      <c r="C1525" s="11" t="s">
        <v>15</v>
      </c>
      <c r="D1525" s="11" t="s">
        <v>16</v>
      </c>
      <c r="E1525" s="11" t="s">
        <v>17</v>
      </c>
      <c r="F1525" s="12" t="n">
        <v>21.127</v>
      </c>
      <c r="G1525" s="13" t="n">
        <v>27.18</v>
      </c>
      <c r="H1525" s="13" t="n">
        <v>27.18</v>
      </c>
      <c r="I1525" s="13" t="n">
        <v>0</v>
      </c>
      <c r="J1525" s="11" t="n">
        <v>2022</v>
      </c>
      <c r="K1525" s="11" t="s">
        <v>19</v>
      </c>
      <c r="L1525" s="11" t="s">
        <v>1495</v>
      </c>
    </row>
    <row r="1526" customFormat="false" ht="22.35" hidden="false" customHeight="false" outlineLevel="0" collapsed="false">
      <c r="A1526" s="11" t="s">
        <v>1621</v>
      </c>
      <c r="B1526" s="11" t="s">
        <v>1622</v>
      </c>
      <c r="C1526" s="11" t="s">
        <v>15</v>
      </c>
      <c r="D1526" s="11" t="s">
        <v>16</v>
      </c>
      <c r="E1526" s="11" t="s">
        <v>44</v>
      </c>
      <c r="F1526" s="12" t="n">
        <v>12.6909</v>
      </c>
      <c r="G1526" s="13" t="n">
        <v>27.8294</v>
      </c>
      <c r="H1526" s="13" t="n">
        <v>23.4294</v>
      </c>
      <c r="I1526" s="13" t="n">
        <v>0</v>
      </c>
      <c r="J1526" s="11" t="n">
        <v>2026</v>
      </c>
      <c r="K1526" s="11" t="s">
        <v>19</v>
      </c>
      <c r="L1526" s="11" t="s">
        <v>1538</v>
      </c>
    </row>
    <row r="1527" customFormat="false" ht="22.35" hidden="false" customHeight="false" outlineLevel="0" collapsed="false">
      <c r="A1527" s="11" t="s">
        <v>1623</v>
      </c>
      <c r="B1527" s="11" t="s">
        <v>1624</v>
      </c>
      <c r="C1527" s="11" t="s">
        <v>15</v>
      </c>
      <c r="D1527" s="11" t="s">
        <v>16</v>
      </c>
      <c r="E1527" s="11" t="s">
        <v>17</v>
      </c>
      <c r="F1527" s="12" t="n">
        <v>6.18</v>
      </c>
      <c r="G1527" s="13" t="n">
        <v>28.9329</v>
      </c>
      <c r="H1527" s="13" t="n">
        <v>28.9329</v>
      </c>
      <c r="I1527" s="13" t="n">
        <v>0</v>
      </c>
      <c r="J1527" s="11" t="n">
        <v>2022</v>
      </c>
      <c r="K1527" s="11" t="s">
        <v>19</v>
      </c>
      <c r="L1527" s="11" t="s">
        <v>1495</v>
      </c>
    </row>
    <row r="1528" customFormat="false" ht="15" hidden="false" customHeight="false" outlineLevel="0" collapsed="false">
      <c r="A1528" s="7" t="s">
        <v>1625</v>
      </c>
      <c r="B1528" s="7" t="s">
        <v>1626</v>
      </c>
      <c r="C1528" s="7" t="s">
        <v>15</v>
      </c>
      <c r="D1528" s="7" t="s">
        <v>16</v>
      </c>
      <c r="E1528" s="7" t="s">
        <v>44</v>
      </c>
      <c r="F1528" s="8" t="n">
        <v>10.05</v>
      </c>
      <c r="G1528" s="9" t="n">
        <v>29.81</v>
      </c>
      <c r="H1528" s="9" t="n">
        <v>0</v>
      </c>
      <c r="I1528" s="9" t="n">
        <v>0</v>
      </c>
      <c r="J1528" s="7" t="n">
        <v>2026</v>
      </c>
      <c r="K1528" s="7" t="s">
        <v>19</v>
      </c>
      <c r="L1528" s="7" t="s">
        <v>1492</v>
      </c>
    </row>
    <row r="1529" customFormat="false" ht="22.35" hidden="false" customHeight="false" outlineLevel="0" collapsed="false">
      <c r="A1529" s="11" t="s">
        <v>1627</v>
      </c>
      <c r="B1529" s="11" t="s">
        <v>1628</v>
      </c>
      <c r="C1529" s="11" t="s">
        <v>15</v>
      </c>
      <c r="D1529" s="11" t="s">
        <v>16</v>
      </c>
      <c r="E1529" s="11" t="s">
        <v>17</v>
      </c>
      <c r="F1529" s="12" t="n">
        <v>5.9</v>
      </c>
      <c r="G1529" s="13" t="n">
        <v>29.92</v>
      </c>
      <c r="H1529" s="13" t="n">
        <v>29.92</v>
      </c>
      <c r="I1529" s="13" t="n">
        <v>0</v>
      </c>
      <c r="J1529" s="11" t="n">
        <v>2022</v>
      </c>
      <c r="K1529" s="11" t="s">
        <v>19</v>
      </c>
      <c r="L1529" s="11" t="s">
        <v>1495</v>
      </c>
    </row>
    <row r="1530" customFormat="false" ht="22.35" hidden="false" customHeight="false" outlineLevel="0" collapsed="false">
      <c r="A1530" s="11" t="s">
        <v>1629</v>
      </c>
      <c r="B1530" s="11" t="s">
        <v>1531</v>
      </c>
      <c r="C1530" s="11" t="s">
        <v>15</v>
      </c>
      <c r="D1530" s="11" t="s">
        <v>16</v>
      </c>
      <c r="E1530" s="11" t="s">
        <v>17</v>
      </c>
      <c r="F1530" s="12" t="n">
        <v>2.84</v>
      </c>
      <c r="G1530" s="13" t="n">
        <v>31.3</v>
      </c>
      <c r="H1530" s="13" t="n">
        <v>31.3</v>
      </c>
      <c r="I1530" s="13" t="n">
        <v>0</v>
      </c>
      <c r="J1530" s="11" t="n">
        <v>2022</v>
      </c>
      <c r="K1530" s="11" t="s">
        <v>19</v>
      </c>
      <c r="L1530" s="11" t="s">
        <v>1495</v>
      </c>
    </row>
    <row r="1531" customFormat="false" ht="22.35" hidden="false" customHeight="false" outlineLevel="0" collapsed="false">
      <c r="A1531" s="11" t="s">
        <v>1630</v>
      </c>
      <c r="B1531" s="11" t="s">
        <v>1631</v>
      </c>
      <c r="C1531" s="11" t="s">
        <v>15</v>
      </c>
      <c r="D1531" s="11" t="s">
        <v>16</v>
      </c>
      <c r="E1531" s="11" t="s">
        <v>17</v>
      </c>
      <c r="F1531" s="12" t="n">
        <v>5.28</v>
      </c>
      <c r="G1531" s="13" t="n">
        <v>31.69</v>
      </c>
      <c r="H1531" s="13" t="n">
        <v>31.69</v>
      </c>
      <c r="I1531" s="13" t="n">
        <v>0</v>
      </c>
      <c r="J1531" s="11" t="n">
        <v>2022</v>
      </c>
      <c r="K1531" s="11" t="s">
        <v>19</v>
      </c>
      <c r="L1531" s="11" t="s">
        <v>1495</v>
      </c>
    </row>
    <row r="1532" customFormat="false" ht="15" hidden="false" customHeight="false" outlineLevel="0" collapsed="false">
      <c r="A1532" s="7" t="s">
        <v>1632</v>
      </c>
      <c r="B1532" s="7" t="s">
        <v>1633</v>
      </c>
      <c r="C1532" s="7" t="s">
        <v>15</v>
      </c>
      <c r="D1532" s="7" t="s">
        <v>16</v>
      </c>
      <c r="E1532" s="7" t="s">
        <v>44</v>
      </c>
      <c r="F1532" s="8" t="n">
        <v>8.84</v>
      </c>
      <c r="G1532" s="9" t="n">
        <v>32.54</v>
      </c>
      <c r="H1532" s="9" t="n">
        <v>0</v>
      </c>
      <c r="I1532" s="9" t="n">
        <v>0</v>
      </c>
      <c r="J1532" s="7" t="n">
        <v>2026</v>
      </c>
      <c r="K1532" s="7" t="s">
        <v>19</v>
      </c>
      <c r="L1532" s="7" t="s">
        <v>1492</v>
      </c>
    </row>
    <row r="1533" customFormat="false" ht="22.35" hidden="false" customHeight="false" outlineLevel="0" collapsed="false">
      <c r="A1533" s="11" t="s">
        <v>1634</v>
      </c>
      <c r="B1533" s="11" t="s">
        <v>1635</v>
      </c>
      <c r="C1533" s="11" t="s">
        <v>929</v>
      </c>
      <c r="D1533" s="11" t="s">
        <v>930</v>
      </c>
      <c r="E1533" s="11" t="s">
        <v>44</v>
      </c>
      <c r="F1533" s="12" t="n">
        <v>5.27</v>
      </c>
      <c r="G1533" s="13" t="n">
        <v>39</v>
      </c>
      <c r="H1533" s="13" t="n">
        <v>39</v>
      </c>
      <c r="I1533" s="13" t="n">
        <v>0</v>
      </c>
      <c r="J1533" s="11" t="n">
        <v>2022</v>
      </c>
      <c r="K1533" s="11" t="s">
        <v>19</v>
      </c>
      <c r="L1533" s="11" t="s">
        <v>1495</v>
      </c>
    </row>
    <row r="1534" customFormat="false" ht="22.35" hidden="false" customHeight="false" outlineLevel="0" collapsed="false">
      <c r="A1534" s="11" t="s">
        <v>1636</v>
      </c>
      <c r="B1534" s="11" t="s">
        <v>1637</v>
      </c>
      <c r="C1534" s="11" t="s">
        <v>929</v>
      </c>
      <c r="D1534" s="11" t="s">
        <v>930</v>
      </c>
      <c r="E1534" s="11" t="s">
        <v>44</v>
      </c>
      <c r="F1534" s="12" t="n">
        <v>1.715</v>
      </c>
      <c r="G1534" s="13" t="n">
        <v>39</v>
      </c>
      <c r="H1534" s="13" t="n">
        <v>39</v>
      </c>
      <c r="I1534" s="13" t="n">
        <v>0</v>
      </c>
      <c r="J1534" s="11" t="n">
        <v>2022</v>
      </c>
      <c r="K1534" s="11" t="s">
        <v>19</v>
      </c>
      <c r="L1534" s="11" t="s">
        <v>1495</v>
      </c>
    </row>
    <row r="1535" customFormat="false" ht="22.35" hidden="false" customHeight="false" outlineLevel="0" collapsed="false">
      <c r="A1535" s="11" t="s">
        <v>1638</v>
      </c>
      <c r="B1535" s="11" t="s">
        <v>1639</v>
      </c>
      <c r="C1535" s="11" t="s">
        <v>929</v>
      </c>
      <c r="D1535" s="11" t="s">
        <v>930</v>
      </c>
      <c r="E1535" s="11" t="s">
        <v>44</v>
      </c>
      <c r="F1535" s="12" t="n">
        <v>4.07</v>
      </c>
      <c r="G1535" s="13" t="n">
        <v>39</v>
      </c>
      <c r="H1535" s="13" t="n">
        <v>39</v>
      </c>
      <c r="I1535" s="13" t="n">
        <v>0</v>
      </c>
      <c r="J1535" s="11" t="n">
        <v>2022</v>
      </c>
      <c r="K1535" s="11" t="s">
        <v>19</v>
      </c>
      <c r="L1535" s="11" t="s">
        <v>1495</v>
      </c>
    </row>
    <row r="1536" customFormat="false" ht="22.35" hidden="false" customHeight="false" outlineLevel="0" collapsed="false">
      <c r="A1536" s="11" t="s">
        <v>1640</v>
      </c>
      <c r="B1536" s="11" t="s">
        <v>1641</v>
      </c>
      <c r="C1536" s="11" t="s">
        <v>929</v>
      </c>
      <c r="D1536" s="11" t="s">
        <v>930</v>
      </c>
      <c r="E1536" s="11" t="s">
        <v>44</v>
      </c>
      <c r="F1536" s="12" t="n">
        <v>1.715</v>
      </c>
      <c r="G1536" s="13" t="n">
        <v>39</v>
      </c>
      <c r="H1536" s="13" t="n">
        <v>39</v>
      </c>
      <c r="I1536" s="13" t="n">
        <v>0</v>
      </c>
      <c r="J1536" s="11" t="n">
        <v>2022</v>
      </c>
      <c r="K1536" s="11" t="s">
        <v>19</v>
      </c>
      <c r="L1536" s="11" t="s">
        <v>1495</v>
      </c>
    </row>
    <row r="1537" customFormat="false" ht="15" hidden="false" customHeight="false" outlineLevel="0" collapsed="false">
      <c r="A1537" s="4" t="s">
        <v>1642</v>
      </c>
      <c r="B1537" s="4" t="s">
        <v>1643</v>
      </c>
      <c r="C1537" s="4" t="s">
        <v>15</v>
      </c>
      <c r="D1537" s="4" t="s">
        <v>16</v>
      </c>
      <c r="E1537" s="4" t="s">
        <v>44</v>
      </c>
      <c r="F1537" s="5" t="n">
        <v>13.4</v>
      </c>
      <c r="G1537" s="6" t="n">
        <v>40.23</v>
      </c>
      <c r="H1537" s="6" t="n">
        <v>0</v>
      </c>
      <c r="I1537" s="6" t="n">
        <v>0</v>
      </c>
      <c r="J1537" s="4" t="n">
        <v>2026</v>
      </c>
      <c r="K1537" s="4" t="s">
        <v>19</v>
      </c>
      <c r="L1537" s="4" t="s">
        <v>1492</v>
      </c>
    </row>
    <row r="1538" customFormat="false" ht="22.35" hidden="false" customHeight="false" outlineLevel="0" collapsed="false">
      <c r="A1538" s="11" t="s">
        <v>1644</v>
      </c>
      <c r="B1538" s="11" t="s">
        <v>1645</v>
      </c>
      <c r="C1538" s="11" t="s">
        <v>15</v>
      </c>
      <c r="D1538" s="11" t="s">
        <v>16</v>
      </c>
      <c r="E1538" s="11" t="s">
        <v>17</v>
      </c>
      <c r="F1538" s="12" t="n">
        <v>9.4201</v>
      </c>
      <c r="G1538" s="13" t="n">
        <v>42</v>
      </c>
      <c r="H1538" s="13" t="n">
        <v>42</v>
      </c>
      <c r="I1538" s="13" t="n">
        <v>0</v>
      </c>
      <c r="J1538" s="11" t="n">
        <v>2023</v>
      </c>
      <c r="K1538" s="11" t="s">
        <v>19</v>
      </c>
      <c r="L1538" s="11" t="s">
        <v>1504</v>
      </c>
    </row>
    <row r="1539" customFormat="false" ht="22.35" hidden="false" customHeight="false" outlineLevel="0" collapsed="false">
      <c r="A1539" s="11" t="s">
        <v>1646</v>
      </c>
      <c r="B1539" s="11" t="s">
        <v>1647</v>
      </c>
      <c r="C1539" s="11" t="s">
        <v>15</v>
      </c>
      <c r="D1539" s="11" t="s">
        <v>16</v>
      </c>
      <c r="E1539" s="11" t="s">
        <v>17</v>
      </c>
      <c r="F1539" s="12" t="n">
        <v>8.614</v>
      </c>
      <c r="G1539" s="13" t="n">
        <v>48.1</v>
      </c>
      <c r="H1539" s="13" t="n">
        <v>48.1</v>
      </c>
      <c r="I1539" s="13" t="n">
        <v>0</v>
      </c>
      <c r="J1539" s="11" t="n">
        <v>2023</v>
      </c>
      <c r="K1539" s="11" t="s">
        <v>19</v>
      </c>
      <c r="L1539" s="11" t="s">
        <v>1504</v>
      </c>
    </row>
    <row r="1540" customFormat="false" ht="22.35" hidden="false" customHeight="false" outlineLevel="0" collapsed="false">
      <c r="A1540" s="11" t="s">
        <v>1648</v>
      </c>
      <c r="B1540" s="11" t="s">
        <v>1531</v>
      </c>
      <c r="C1540" s="11" t="s">
        <v>15</v>
      </c>
      <c r="D1540" s="11" t="s">
        <v>16</v>
      </c>
      <c r="E1540" s="11" t="s">
        <v>44</v>
      </c>
      <c r="F1540" s="12" t="n">
        <v>5.89</v>
      </c>
      <c r="G1540" s="13" t="n">
        <v>48.3</v>
      </c>
      <c r="H1540" s="13" t="n">
        <v>48.3</v>
      </c>
      <c r="I1540" s="13" t="n">
        <v>0</v>
      </c>
      <c r="J1540" s="11" t="n">
        <v>2023</v>
      </c>
      <c r="K1540" s="11" t="s">
        <v>19</v>
      </c>
      <c r="L1540" s="11" t="s">
        <v>1504</v>
      </c>
    </row>
    <row r="1541" customFormat="false" ht="22.35" hidden="false" customHeight="false" outlineLevel="0" collapsed="false">
      <c r="A1541" s="11" t="s">
        <v>1649</v>
      </c>
      <c r="B1541" s="11" t="s">
        <v>1531</v>
      </c>
      <c r="C1541" s="11" t="s">
        <v>15</v>
      </c>
      <c r="D1541" s="11" t="s">
        <v>16</v>
      </c>
      <c r="E1541" s="11" t="s">
        <v>17</v>
      </c>
      <c r="F1541" s="12" t="n">
        <v>3.2</v>
      </c>
      <c r="G1541" s="13" t="n">
        <v>48.59</v>
      </c>
      <c r="H1541" s="13" t="n">
        <v>48.59</v>
      </c>
      <c r="I1541" s="13" t="n">
        <v>0</v>
      </c>
      <c r="J1541" s="11" t="n">
        <v>2022</v>
      </c>
      <c r="K1541" s="11" t="s">
        <v>19</v>
      </c>
      <c r="L1541" s="11" t="s">
        <v>1495</v>
      </c>
    </row>
    <row r="1542" customFormat="false" ht="22.35" hidden="false" customHeight="false" outlineLevel="0" collapsed="false">
      <c r="A1542" s="11" t="s">
        <v>1650</v>
      </c>
      <c r="B1542" s="11" t="s">
        <v>1651</v>
      </c>
      <c r="C1542" s="11" t="s">
        <v>15</v>
      </c>
      <c r="D1542" s="11" t="s">
        <v>16</v>
      </c>
      <c r="E1542" s="11" t="s">
        <v>44</v>
      </c>
      <c r="F1542" s="12" t="n">
        <v>12.61</v>
      </c>
      <c r="G1542" s="13" t="n">
        <v>54</v>
      </c>
      <c r="H1542" s="13" t="n">
        <v>54</v>
      </c>
      <c r="I1542" s="13" t="n">
        <v>0</v>
      </c>
      <c r="J1542" s="11" t="n">
        <v>2022</v>
      </c>
      <c r="K1542" s="11" t="s">
        <v>19</v>
      </c>
      <c r="L1542" s="11" t="s">
        <v>1495</v>
      </c>
    </row>
    <row r="1543" customFormat="false" ht="22.35" hidden="false" customHeight="false" outlineLevel="0" collapsed="false">
      <c r="A1543" s="11" t="s">
        <v>1652</v>
      </c>
      <c r="B1543" s="11" t="s">
        <v>1653</v>
      </c>
      <c r="C1543" s="11" t="s">
        <v>929</v>
      </c>
      <c r="D1543" s="11" t="s">
        <v>930</v>
      </c>
      <c r="E1543" s="11" t="s">
        <v>44</v>
      </c>
      <c r="F1543" s="12" t="n">
        <v>48.9</v>
      </c>
      <c r="G1543" s="13" t="n">
        <v>54</v>
      </c>
      <c r="H1543" s="13" t="n">
        <v>54</v>
      </c>
      <c r="I1543" s="13" t="n">
        <v>0</v>
      </c>
      <c r="J1543" s="11" t="n">
        <v>2022</v>
      </c>
      <c r="K1543" s="11" t="s">
        <v>19</v>
      </c>
      <c r="L1543" s="11" t="s">
        <v>1495</v>
      </c>
    </row>
    <row r="1544" customFormat="false" ht="22.35" hidden="false" customHeight="false" outlineLevel="0" collapsed="false">
      <c r="A1544" s="11" t="s">
        <v>1654</v>
      </c>
      <c r="B1544" s="11" t="s">
        <v>1655</v>
      </c>
      <c r="C1544" s="11" t="s">
        <v>15</v>
      </c>
      <c r="D1544" s="11" t="s">
        <v>16</v>
      </c>
      <c r="E1544" s="11" t="s">
        <v>17</v>
      </c>
      <c r="F1544" s="12" t="n">
        <v>7.75</v>
      </c>
      <c r="G1544" s="13" t="n">
        <v>55</v>
      </c>
      <c r="H1544" s="13" t="n">
        <v>55</v>
      </c>
      <c r="I1544" s="13" t="n">
        <v>0</v>
      </c>
      <c r="J1544" s="11" t="n">
        <v>2022</v>
      </c>
      <c r="K1544" s="11" t="s">
        <v>19</v>
      </c>
      <c r="L1544" s="11" t="s">
        <v>1495</v>
      </c>
    </row>
    <row r="1545" customFormat="false" ht="22.35" hidden="false" customHeight="false" outlineLevel="0" collapsed="false">
      <c r="A1545" s="11" t="s">
        <v>1656</v>
      </c>
      <c r="B1545" s="11" t="s">
        <v>1657</v>
      </c>
      <c r="C1545" s="11" t="s">
        <v>929</v>
      </c>
      <c r="D1545" s="11" t="s">
        <v>930</v>
      </c>
      <c r="E1545" s="11" t="s">
        <v>44</v>
      </c>
      <c r="F1545" s="12" t="n">
        <v>3.77</v>
      </c>
      <c r="G1545" s="13" t="n">
        <v>56</v>
      </c>
      <c r="H1545" s="13" t="n">
        <v>56</v>
      </c>
      <c r="I1545" s="13" t="n">
        <v>0</v>
      </c>
      <c r="J1545" s="11" t="n">
        <v>2021</v>
      </c>
      <c r="K1545" s="11" t="s">
        <v>19</v>
      </c>
      <c r="L1545" s="11" t="s">
        <v>1513</v>
      </c>
    </row>
    <row r="1546" customFormat="false" ht="22.35" hidden="false" customHeight="false" outlineLevel="0" collapsed="false">
      <c r="A1546" s="11" t="s">
        <v>1658</v>
      </c>
      <c r="B1546" s="11" t="s">
        <v>1659</v>
      </c>
      <c r="C1546" s="11" t="s">
        <v>929</v>
      </c>
      <c r="D1546" s="11" t="s">
        <v>930</v>
      </c>
      <c r="E1546" s="11" t="s">
        <v>44</v>
      </c>
      <c r="F1546" s="12" t="n">
        <v>0.2</v>
      </c>
      <c r="G1546" s="13" t="n">
        <v>56</v>
      </c>
      <c r="H1546" s="13" t="n">
        <v>56</v>
      </c>
      <c r="I1546" s="13" t="n">
        <v>0</v>
      </c>
      <c r="J1546" s="11" t="n">
        <v>2021</v>
      </c>
      <c r="K1546" s="11" t="s">
        <v>19</v>
      </c>
      <c r="L1546" s="11" t="s">
        <v>1513</v>
      </c>
    </row>
    <row r="1547" customFormat="false" ht="22.35" hidden="false" customHeight="false" outlineLevel="0" collapsed="false">
      <c r="A1547" s="11" t="s">
        <v>1660</v>
      </c>
      <c r="B1547" s="11" t="s">
        <v>1661</v>
      </c>
      <c r="C1547" s="11" t="s">
        <v>15</v>
      </c>
      <c r="D1547" s="11" t="s">
        <v>16</v>
      </c>
      <c r="E1547" s="11" t="s">
        <v>17</v>
      </c>
      <c r="F1547" s="12" t="n">
        <v>5.61</v>
      </c>
      <c r="G1547" s="13" t="n">
        <v>56.25</v>
      </c>
      <c r="H1547" s="13" t="n">
        <v>56.25</v>
      </c>
      <c r="I1547" s="13" t="n">
        <v>0</v>
      </c>
      <c r="J1547" s="11" t="n">
        <v>2022</v>
      </c>
      <c r="K1547" s="11" t="s">
        <v>19</v>
      </c>
      <c r="L1547" s="11" t="s">
        <v>1495</v>
      </c>
    </row>
    <row r="1548" customFormat="false" ht="22.35" hidden="false" customHeight="false" outlineLevel="0" collapsed="false">
      <c r="A1548" s="11" t="s">
        <v>1662</v>
      </c>
      <c r="B1548" s="11" t="s">
        <v>1663</v>
      </c>
      <c r="C1548" s="11" t="s">
        <v>15</v>
      </c>
      <c r="D1548" s="11" t="s">
        <v>16</v>
      </c>
      <c r="E1548" s="11" t="s">
        <v>17</v>
      </c>
      <c r="F1548" s="12" t="n">
        <v>7</v>
      </c>
      <c r="G1548" s="13" t="n">
        <v>63.49</v>
      </c>
      <c r="H1548" s="13" t="n">
        <v>63.49</v>
      </c>
      <c r="I1548" s="13" t="n">
        <v>0</v>
      </c>
      <c r="J1548" s="11" t="n">
        <v>2022</v>
      </c>
      <c r="K1548" s="11" t="s">
        <v>19</v>
      </c>
      <c r="L1548" s="11" t="s">
        <v>1495</v>
      </c>
    </row>
    <row r="1549" customFormat="false" ht="22.35" hidden="false" customHeight="false" outlineLevel="0" collapsed="false">
      <c r="A1549" s="11" t="s">
        <v>1664</v>
      </c>
      <c r="B1549" s="11" t="s">
        <v>1542</v>
      </c>
      <c r="C1549" s="11" t="s">
        <v>15</v>
      </c>
      <c r="D1549" s="11" t="s">
        <v>16</v>
      </c>
      <c r="E1549" s="11" t="s">
        <v>44</v>
      </c>
      <c r="F1549" s="12" t="n">
        <v>8.34</v>
      </c>
      <c r="G1549" s="13" t="n">
        <v>64.0436</v>
      </c>
      <c r="H1549" s="13" t="n">
        <v>64.0436</v>
      </c>
      <c r="I1549" s="13" t="n">
        <v>0</v>
      </c>
      <c r="J1549" s="11" t="n">
        <v>2023</v>
      </c>
      <c r="K1549" s="11" t="s">
        <v>19</v>
      </c>
      <c r="L1549" s="11" t="s">
        <v>1504</v>
      </c>
    </row>
    <row r="1550" customFormat="false" ht="22.35" hidden="false" customHeight="false" outlineLevel="0" collapsed="false">
      <c r="A1550" s="11" t="s">
        <v>1665</v>
      </c>
      <c r="B1550" s="11" t="s">
        <v>1531</v>
      </c>
      <c r="C1550" s="11" t="s">
        <v>15</v>
      </c>
      <c r="D1550" s="11" t="s">
        <v>16</v>
      </c>
      <c r="E1550" s="11" t="s">
        <v>17</v>
      </c>
      <c r="F1550" s="12" t="n">
        <v>5.01</v>
      </c>
      <c r="G1550" s="13" t="n">
        <v>65.67</v>
      </c>
      <c r="H1550" s="13" t="n">
        <v>65.67</v>
      </c>
      <c r="I1550" s="13" t="n">
        <v>0</v>
      </c>
      <c r="J1550" s="11" t="n">
        <v>2021</v>
      </c>
      <c r="K1550" s="11" t="s">
        <v>19</v>
      </c>
      <c r="L1550" s="11" t="s">
        <v>1513</v>
      </c>
    </row>
    <row r="1551" customFormat="false" ht="15" hidden="false" customHeight="false" outlineLevel="0" collapsed="false">
      <c r="A1551" s="4" t="s">
        <v>1666</v>
      </c>
      <c r="B1551" s="4" t="s">
        <v>1554</v>
      </c>
      <c r="C1551" s="4" t="s">
        <v>15</v>
      </c>
      <c r="D1551" s="4" t="s">
        <v>16</v>
      </c>
      <c r="E1551" s="4" t="s">
        <v>44</v>
      </c>
      <c r="F1551" s="5" t="n">
        <v>23.6208</v>
      </c>
      <c r="G1551" s="6" t="n">
        <v>67.29</v>
      </c>
      <c r="H1551" s="6" t="n">
        <v>0</v>
      </c>
      <c r="I1551" s="6" t="n">
        <v>0</v>
      </c>
      <c r="J1551" s="4" t="n">
        <v>2026</v>
      </c>
      <c r="K1551" s="4" t="s">
        <v>19</v>
      </c>
      <c r="L1551" s="4" t="s">
        <v>1492</v>
      </c>
    </row>
    <row r="1552" customFormat="false" ht="22.35" hidden="false" customHeight="false" outlineLevel="0" collapsed="false">
      <c r="A1552" s="11" t="s">
        <v>1667</v>
      </c>
      <c r="B1552" s="11" t="s">
        <v>1624</v>
      </c>
      <c r="C1552" s="11" t="s">
        <v>15</v>
      </c>
      <c r="D1552" s="11" t="s">
        <v>16</v>
      </c>
      <c r="E1552" s="11" t="s">
        <v>44</v>
      </c>
      <c r="F1552" s="12" t="n">
        <v>4.88</v>
      </c>
      <c r="G1552" s="13" t="n">
        <v>69.3964</v>
      </c>
      <c r="H1552" s="13" t="n">
        <v>69.3964</v>
      </c>
      <c r="I1552" s="13" t="n">
        <v>0</v>
      </c>
      <c r="J1552" s="11" t="n">
        <v>2023</v>
      </c>
      <c r="K1552" s="11" t="s">
        <v>19</v>
      </c>
      <c r="L1552" s="11" t="s">
        <v>1504</v>
      </c>
    </row>
    <row r="1553" customFormat="false" ht="22.35" hidden="false" customHeight="false" outlineLevel="0" collapsed="false">
      <c r="A1553" s="11" t="s">
        <v>1668</v>
      </c>
      <c r="B1553" s="11" t="s">
        <v>1624</v>
      </c>
      <c r="C1553" s="11" t="s">
        <v>15</v>
      </c>
      <c r="D1553" s="11" t="s">
        <v>16</v>
      </c>
      <c r="E1553" s="11" t="s">
        <v>44</v>
      </c>
      <c r="F1553" s="12" t="n">
        <v>4.51</v>
      </c>
      <c r="G1553" s="13" t="n">
        <v>69.4314</v>
      </c>
      <c r="H1553" s="13" t="n">
        <v>69.4314</v>
      </c>
      <c r="I1553" s="13" t="n">
        <v>0</v>
      </c>
      <c r="J1553" s="11" t="n">
        <v>2023</v>
      </c>
      <c r="K1553" s="11" t="s">
        <v>19</v>
      </c>
      <c r="L1553" s="11" t="s">
        <v>1504</v>
      </c>
    </row>
    <row r="1554" customFormat="false" ht="22.35" hidden="false" customHeight="false" outlineLevel="0" collapsed="false">
      <c r="A1554" s="11" t="s">
        <v>1669</v>
      </c>
      <c r="B1554" s="11" t="s">
        <v>1670</v>
      </c>
      <c r="C1554" s="11" t="s">
        <v>15</v>
      </c>
      <c r="D1554" s="11" t="s">
        <v>16</v>
      </c>
      <c r="E1554" s="11" t="s">
        <v>17</v>
      </c>
      <c r="F1554" s="12" t="n">
        <v>2.52</v>
      </c>
      <c r="G1554" s="13" t="n">
        <v>69.48</v>
      </c>
      <c r="H1554" s="13" t="n">
        <v>69.48</v>
      </c>
      <c r="I1554" s="13" t="n">
        <v>0</v>
      </c>
      <c r="J1554" s="11" t="n">
        <v>2021</v>
      </c>
      <c r="K1554" s="11" t="s">
        <v>19</v>
      </c>
      <c r="L1554" s="11" t="s">
        <v>1513</v>
      </c>
    </row>
    <row r="1555" customFormat="false" ht="15" hidden="false" customHeight="false" outlineLevel="0" collapsed="false">
      <c r="A1555" s="4" t="s">
        <v>1671</v>
      </c>
      <c r="B1555" s="4" t="s">
        <v>1672</v>
      </c>
      <c r="C1555" s="4" t="s">
        <v>15</v>
      </c>
      <c r="D1555" s="4" t="s">
        <v>16</v>
      </c>
      <c r="E1555" s="4" t="s">
        <v>44</v>
      </c>
      <c r="F1555" s="5" t="n">
        <v>2.15</v>
      </c>
      <c r="G1555" s="6" t="n">
        <v>72.8</v>
      </c>
      <c r="H1555" s="6" t="n">
        <v>0</v>
      </c>
      <c r="I1555" s="6" t="n">
        <v>0</v>
      </c>
      <c r="J1555" s="4" t="n">
        <v>2026</v>
      </c>
      <c r="K1555" s="4" t="s">
        <v>19</v>
      </c>
      <c r="L1555" s="4" t="s">
        <v>1492</v>
      </c>
    </row>
    <row r="1556" customFormat="false" ht="15" hidden="false" customHeight="false" outlineLevel="0" collapsed="false">
      <c r="A1556" s="7" t="s">
        <v>1673</v>
      </c>
      <c r="B1556" s="7" t="s">
        <v>1674</v>
      </c>
      <c r="C1556" s="7" t="s">
        <v>15</v>
      </c>
      <c r="D1556" s="7" t="s">
        <v>16</v>
      </c>
      <c r="E1556" s="7" t="s">
        <v>44</v>
      </c>
      <c r="F1556" s="8" t="n">
        <v>37.16</v>
      </c>
      <c r="G1556" s="9" t="n">
        <v>74.47</v>
      </c>
      <c r="H1556" s="9" t="n">
        <v>0</v>
      </c>
      <c r="I1556" s="9" t="n">
        <v>0</v>
      </c>
      <c r="J1556" s="7" t="n">
        <v>2026</v>
      </c>
      <c r="K1556" s="7" t="s">
        <v>19</v>
      </c>
      <c r="L1556" s="7" t="s">
        <v>1492</v>
      </c>
    </row>
    <row r="1557" customFormat="false" ht="22.35" hidden="false" customHeight="false" outlineLevel="0" collapsed="false">
      <c r="A1557" s="11" t="s">
        <v>1675</v>
      </c>
      <c r="B1557" s="11" t="s">
        <v>1531</v>
      </c>
      <c r="C1557" s="11" t="s">
        <v>15</v>
      </c>
      <c r="D1557" s="11" t="s">
        <v>16</v>
      </c>
      <c r="E1557" s="11" t="s">
        <v>17</v>
      </c>
      <c r="F1557" s="12" t="n">
        <v>2.39</v>
      </c>
      <c r="G1557" s="13" t="n">
        <v>78.05</v>
      </c>
      <c r="H1557" s="13" t="n">
        <v>78.05</v>
      </c>
      <c r="I1557" s="13" t="n">
        <v>0</v>
      </c>
      <c r="J1557" s="11" t="n">
        <v>2021</v>
      </c>
      <c r="K1557" s="11" t="s">
        <v>19</v>
      </c>
      <c r="L1557" s="11" t="s">
        <v>1513</v>
      </c>
    </row>
    <row r="1558" customFormat="false" ht="22.35" hidden="false" customHeight="false" outlineLevel="0" collapsed="false">
      <c r="A1558" s="11" t="s">
        <v>1676</v>
      </c>
      <c r="B1558" s="11" t="s">
        <v>1677</v>
      </c>
      <c r="C1558" s="11" t="s">
        <v>15</v>
      </c>
      <c r="D1558" s="11" t="s">
        <v>16</v>
      </c>
      <c r="E1558" s="11" t="s">
        <v>17</v>
      </c>
      <c r="F1558" s="12" t="n">
        <v>14.9</v>
      </c>
      <c r="G1558" s="13" t="n">
        <v>80.3</v>
      </c>
      <c r="H1558" s="13" t="n">
        <v>80.3</v>
      </c>
      <c r="I1558" s="13" t="n">
        <v>0</v>
      </c>
      <c r="J1558" s="11" t="n">
        <v>2021</v>
      </c>
      <c r="K1558" s="11" t="s">
        <v>19</v>
      </c>
      <c r="L1558" s="11" t="s">
        <v>1513</v>
      </c>
    </row>
    <row r="1559" customFormat="false" ht="15" hidden="false" customHeight="false" outlineLevel="0" collapsed="false">
      <c r="A1559" s="4" t="s">
        <v>1678</v>
      </c>
      <c r="B1559" s="4" t="s">
        <v>1679</v>
      </c>
      <c r="C1559" s="4" t="s">
        <v>15</v>
      </c>
      <c r="D1559" s="4" t="s">
        <v>16</v>
      </c>
      <c r="E1559" s="4" t="s">
        <v>44</v>
      </c>
      <c r="F1559" s="5" t="n">
        <v>6.37</v>
      </c>
      <c r="G1559" s="6" t="n">
        <v>80.41</v>
      </c>
      <c r="H1559" s="6" t="n">
        <v>0</v>
      </c>
      <c r="I1559" s="6" t="n">
        <v>0</v>
      </c>
      <c r="J1559" s="4" t="n">
        <v>2026</v>
      </c>
      <c r="K1559" s="4" t="s">
        <v>19</v>
      </c>
      <c r="L1559" s="4" t="s">
        <v>1492</v>
      </c>
    </row>
    <row r="1560" customFormat="false" ht="22.35" hidden="false" customHeight="false" outlineLevel="0" collapsed="false">
      <c r="A1560" s="11" t="s">
        <v>1680</v>
      </c>
      <c r="B1560" s="11" t="s">
        <v>1681</v>
      </c>
      <c r="C1560" s="11" t="s">
        <v>15</v>
      </c>
      <c r="D1560" s="11" t="s">
        <v>16</v>
      </c>
      <c r="E1560" s="11" t="s">
        <v>17</v>
      </c>
      <c r="F1560" s="12" t="n">
        <v>1.85</v>
      </c>
      <c r="G1560" s="13" t="n">
        <v>81.91</v>
      </c>
      <c r="H1560" s="13" t="n">
        <v>81.91</v>
      </c>
      <c r="I1560" s="13" t="n">
        <v>0</v>
      </c>
      <c r="J1560" s="11" t="n">
        <v>2021</v>
      </c>
      <c r="K1560" s="11" t="s">
        <v>19</v>
      </c>
      <c r="L1560" s="11" t="s">
        <v>1513</v>
      </c>
    </row>
    <row r="1561" customFormat="false" ht="22.35" hidden="false" customHeight="false" outlineLevel="0" collapsed="false">
      <c r="A1561" s="11" t="s">
        <v>1682</v>
      </c>
      <c r="B1561" s="11" t="s">
        <v>1683</v>
      </c>
      <c r="C1561" s="11" t="s">
        <v>15</v>
      </c>
      <c r="D1561" s="11" t="s">
        <v>16</v>
      </c>
      <c r="E1561" s="11" t="s">
        <v>17</v>
      </c>
      <c r="F1561" s="12" t="n">
        <v>8.52</v>
      </c>
      <c r="G1561" s="13" t="n">
        <v>85.99</v>
      </c>
      <c r="H1561" s="13" t="n">
        <v>85.99</v>
      </c>
      <c r="I1561" s="13" t="n">
        <v>0</v>
      </c>
      <c r="J1561" s="11" t="n">
        <v>2021</v>
      </c>
      <c r="K1561" s="11" t="s">
        <v>19</v>
      </c>
      <c r="L1561" s="11" t="s">
        <v>1513</v>
      </c>
    </row>
    <row r="1562" customFormat="false" ht="15" hidden="false" customHeight="false" outlineLevel="0" collapsed="false">
      <c r="A1562" s="7" t="s">
        <v>1684</v>
      </c>
      <c r="B1562" s="7" t="s">
        <v>1685</v>
      </c>
      <c r="C1562" s="7" t="s">
        <v>15</v>
      </c>
      <c r="D1562" s="7" t="s">
        <v>16</v>
      </c>
      <c r="E1562" s="7" t="s">
        <v>44</v>
      </c>
      <c r="F1562" s="8" t="n">
        <v>9.3</v>
      </c>
      <c r="G1562" s="9" t="n">
        <v>86.03</v>
      </c>
      <c r="H1562" s="9" t="n">
        <v>0</v>
      </c>
      <c r="I1562" s="9" t="n">
        <v>0</v>
      </c>
      <c r="J1562" s="7" t="n">
        <v>2026</v>
      </c>
      <c r="K1562" s="7" t="s">
        <v>19</v>
      </c>
      <c r="L1562" s="7" t="s">
        <v>1492</v>
      </c>
    </row>
    <row r="1563" customFormat="false" ht="15" hidden="false" customHeight="false" outlineLevel="0" collapsed="false">
      <c r="A1563" s="4" t="s">
        <v>1686</v>
      </c>
      <c r="B1563" s="4" t="s">
        <v>1687</v>
      </c>
      <c r="C1563" s="4" t="s">
        <v>15</v>
      </c>
      <c r="D1563" s="4" t="s">
        <v>16</v>
      </c>
      <c r="E1563" s="4" t="s">
        <v>44</v>
      </c>
      <c r="F1563" s="5" t="n">
        <v>4.71</v>
      </c>
      <c r="G1563" s="6" t="n">
        <v>87.85</v>
      </c>
      <c r="H1563" s="6" t="n">
        <v>0</v>
      </c>
      <c r="I1563" s="6" t="n">
        <v>0</v>
      </c>
      <c r="J1563" s="4" t="n">
        <v>2026</v>
      </c>
      <c r="K1563" s="4" t="s">
        <v>19</v>
      </c>
      <c r="L1563" s="4" t="s">
        <v>1492</v>
      </c>
    </row>
    <row r="1564" customFormat="false" ht="22.35" hidden="false" customHeight="false" outlineLevel="0" collapsed="false">
      <c r="A1564" s="11" t="s">
        <v>1688</v>
      </c>
      <c r="B1564" s="11" t="s">
        <v>1670</v>
      </c>
      <c r="C1564" s="11" t="s">
        <v>15</v>
      </c>
      <c r="D1564" s="11" t="s">
        <v>16</v>
      </c>
      <c r="E1564" s="11" t="s">
        <v>17</v>
      </c>
      <c r="F1564" s="12" t="n">
        <v>21.273</v>
      </c>
      <c r="G1564" s="13" t="n">
        <v>89.4944</v>
      </c>
      <c r="H1564" s="13" t="n">
        <v>89.4944</v>
      </c>
      <c r="I1564" s="13" t="n">
        <v>0</v>
      </c>
      <c r="J1564" s="11" t="n">
        <v>2022</v>
      </c>
      <c r="K1564" s="11" t="s">
        <v>19</v>
      </c>
      <c r="L1564" s="11" t="s">
        <v>1495</v>
      </c>
    </row>
    <row r="1565" customFormat="false" ht="22.35" hidden="false" customHeight="false" outlineLevel="0" collapsed="false">
      <c r="A1565" s="11" t="s">
        <v>1689</v>
      </c>
      <c r="B1565" s="11" t="s">
        <v>1690</v>
      </c>
      <c r="C1565" s="11" t="s">
        <v>15</v>
      </c>
      <c r="D1565" s="11" t="s">
        <v>16</v>
      </c>
      <c r="E1565" s="11" t="s">
        <v>17</v>
      </c>
      <c r="F1565" s="12" t="n">
        <v>14.11</v>
      </c>
      <c r="G1565" s="13" t="n">
        <v>109.93</v>
      </c>
      <c r="H1565" s="13" t="n">
        <v>109.93</v>
      </c>
      <c r="I1565" s="13" t="n">
        <v>0</v>
      </c>
      <c r="J1565" s="11" t="n">
        <v>2023</v>
      </c>
      <c r="K1565" s="11" t="s">
        <v>19</v>
      </c>
      <c r="L1565" s="11" t="s">
        <v>1504</v>
      </c>
    </row>
    <row r="1566" customFormat="false" ht="15" hidden="false" customHeight="false" outlineLevel="0" collapsed="false">
      <c r="A1566" s="7" t="s">
        <v>1691</v>
      </c>
      <c r="B1566" s="7" t="s">
        <v>1692</v>
      </c>
      <c r="C1566" s="7" t="s">
        <v>15</v>
      </c>
      <c r="D1566" s="7" t="s">
        <v>16</v>
      </c>
      <c r="E1566" s="7" t="s">
        <v>44</v>
      </c>
      <c r="F1566" s="8" t="n">
        <v>1.02</v>
      </c>
      <c r="G1566" s="9" t="n">
        <v>114.09</v>
      </c>
      <c r="H1566" s="9" t="n">
        <v>0</v>
      </c>
      <c r="I1566" s="9" t="n">
        <v>0</v>
      </c>
      <c r="J1566" s="7" t="n">
        <v>2026</v>
      </c>
      <c r="K1566" s="7" t="s">
        <v>19</v>
      </c>
      <c r="L1566" s="7" t="s">
        <v>1492</v>
      </c>
    </row>
    <row r="1567" customFormat="false" ht="22.35" hidden="false" customHeight="false" outlineLevel="0" collapsed="false">
      <c r="A1567" s="11" t="s">
        <v>1693</v>
      </c>
      <c r="B1567" s="11" t="s">
        <v>1694</v>
      </c>
      <c r="C1567" s="11" t="s">
        <v>15</v>
      </c>
      <c r="D1567" s="11" t="s">
        <v>16</v>
      </c>
      <c r="E1567" s="11" t="s">
        <v>17</v>
      </c>
      <c r="F1567" s="12" t="n">
        <v>3.01</v>
      </c>
      <c r="G1567" s="13" t="n">
        <v>115.16</v>
      </c>
      <c r="H1567" s="13" t="n">
        <v>115.16</v>
      </c>
      <c r="I1567" s="13" t="n">
        <v>0</v>
      </c>
      <c r="J1567" s="11" t="n">
        <v>2022</v>
      </c>
      <c r="K1567" s="11" t="s">
        <v>19</v>
      </c>
      <c r="L1567" s="11" t="s">
        <v>1495</v>
      </c>
    </row>
    <row r="1568" customFormat="false" ht="22.35" hidden="false" customHeight="false" outlineLevel="0" collapsed="false">
      <c r="A1568" s="11" t="s">
        <v>1695</v>
      </c>
      <c r="B1568" s="11" t="s">
        <v>1696</v>
      </c>
      <c r="C1568" s="11" t="s">
        <v>15</v>
      </c>
      <c r="D1568" s="11" t="s">
        <v>16</v>
      </c>
      <c r="E1568" s="11" t="s">
        <v>17</v>
      </c>
      <c r="F1568" s="12" t="n">
        <v>2.97</v>
      </c>
      <c r="G1568" s="13" t="n">
        <v>115.9</v>
      </c>
      <c r="H1568" s="13" t="n">
        <v>115.9</v>
      </c>
      <c r="I1568" s="13" t="n">
        <v>0</v>
      </c>
      <c r="J1568" s="11" t="n">
        <v>2023</v>
      </c>
      <c r="K1568" s="11" t="s">
        <v>19</v>
      </c>
      <c r="L1568" s="11" t="s">
        <v>1504</v>
      </c>
    </row>
    <row r="1569" customFormat="false" ht="22.35" hidden="false" customHeight="false" outlineLevel="0" collapsed="false">
      <c r="A1569" s="11" t="s">
        <v>1697</v>
      </c>
      <c r="B1569" s="11" t="s">
        <v>1542</v>
      </c>
      <c r="C1569" s="11" t="s">
        <v>15</v>
      </c>
      <c r="D1569" s="11" t="s">
        <v>16</v>
      </c>
      <c r="E1569" s="11" t="s">
        <v>17</v>
      </c>
      <c r="F1569" s="12" t="n">
        <v>7.279</v>
      </c>
      <c r="G1569" s="13" t="n">
        <v>121.7548</v>
      </c>
      <c r="H1569" s="13" t="n">
        <v>121.7548</v>
      </c>
      <c r="I1569" s="13" t="n">
        <v>0</v>
      </c>
      <c r="J1569" s="11" t="n">
        <v>2023</v>
      </c>
      <c r="K1569" s="11" t="s">
        <v>19</v>
      </c>
      <c r="L1569" s="11" t="s">
        <v>1504</v>
      </c>
    </row>
    <row r="1570" customFormat="false" ht="15" hidden="false" customHeight="false" outlineLevel="0" collapsed="false">
      <c r="A1570" s="7" t="s">
        <v>1698</v>
      </c>
      <c r="B1570" s="7" t="s">
        <v>1699</v>
      </c>
      <c r="C1570" s="7" t="s">
        <v>929</v>
      </c>
      <c r="D1570" s="7" t="s">
        <v>930</v>
      </c>
      <c r="E1570" s="7" t="s">
        <v>44</v>
      </c>
      <c r="F1570" s="8" t="n">
        <v>4.968</v>
      </c>
      <c r="G1570" s="9" t="n">
        <v>122</v>
      </c>
      <c r="H1570" s="9" t="n">
        <v>0</v>
      </c>
      <c r="I1570" s="9" t="n">
        <v>0</v>
      </c>
      <c r="J1570" s="7" t="n">
        <v>2026</v>
      </c>
      <c r="K1570" s="7" t="s">
        <v>19</v>
      </c>
      <c r="L1570" s="7" t="s">
        <v>1492</v>
      </c>
    </row>
    <row r="1571" customFormat="false" ht="22.35" hidden="false" customHeight="false" outlineLevel="0" collapsed="false">
      <c r="A1571" s="11" t="s">
        <v>1700</v>
      </c>
      <c r="B1571" s="11" t="s">
        <v>1701</v>
      </c>
      <c r="C1571" s="11" t="s">
        <v>15</v>
      </c>
      <c r="D1571" s="11" t="s">
        <v>16</v>
      </c>
      <c r="E1571" s="11" t="s">
        <v>17</v>
      </c>
      <c r="F1571" s="12" t="n">
        <v>4.166</v>
      </c>
      <c r="G1571" s="13" t="n">
        <v>126.77</v>
      </c>
      <c r="H1571" s="13" t="n">
        <v>126.77</v>
      </c>
      <c r="I1571" s="13" t="n">
        <v>0</v>
      </c>
      <c r="J1571" s="11" t="n">
        <v>2022</v>
      </c>
      <c r="K1571" s="11" t="s">
        <v>19</v>
      </c>
      <c r="L1571" s="11" t="s">
        <v>1495</v>
      </c>
    </row>
    <row r="1572" customFormat="false" ht="22.35" hidden="false" customHeight="false" outlineLevel="0" collapsed="false">
      <c r="A1572" s="11" t="s">
        <v>1702</v>
      </c>
      <c r="B1572" s="11" t="s">
        <v>1703</v>
      </c>
      <c r="C1572" s="11" t="s">
        <v>15</v>
      </c>
      <c r="D1572" s="11" t="s">
        <v>16</v>
      </c>
      <c r="E1572" s="11" t="s">
        <v>44</v>
      </c>
      <c r="F1572" s="12" t="n">
        <v>10.8</v>
      </c>
      <c r="G1572" s="13" t="n">
        <v>128.91</v>
      </c>
      <c r="H1572" s="13" t="n">
        <v>128.91</v>
      </c>
      <c r="I1572" s="13" t="n">
        <v>0</v>
      </c>
      <c r="J1572" s="11" t="n">
        <v>2023</v>
      </c>
      <c r="K1572" s="11" t="s">
        <v>19</v>
      </c>
      <c r="L1572" s="11" t="s">
        <v>1504</v>
      </c>
    </row>
    <row r="1573" customFormat="false" ht="15" hidden="false" customHeight="false" outlineLevel="0" collapsed="false">
      <c r="A1573" s="4" t="s">
        <v>1704</v>
      </c>
      <c r="B1573" s="4" t="s">
        <v>1705</v>
      </c>
      <c r="C1573" s="4" t="s">
        <v>15</v>
      </c>
      <c r="D1573" s="4" t="s">
        <v>16</v>
      </c>
      <c r="E1573" s="4" t="s">
        <v>44</v>
      </c>
      <c r="F1573" s="5" t="n">
        <v>12.1618</v>
      </c>
      <c r="G1573" s="6" t="n">
        <v>140.1</v>
      </c>
      <c r="H1573" s="6" t="n">
        <v>0</v>
      </c>
      <c r="I1573" s="6" t="n">
        <v>0</v>
      </c>
      <c r="J1573" s="4" t="n">
        <v>2026</v>
      </c>
      <c r="K1573" s="4" t="s">
        <v>19</v>
      </c>
      <c r="L1573" s="4" t="s">
        <v>1492</v>
      </c>
    </row>
    <row r="1574" customFormat="false" ht="22.35" hidden="false" customHeight="false" outlineLevel="0" collapsed="false">
      <c r="A1574" s="11" t="s">
        <v>1706</v>
      </c>
      <c r="B1574" s="11" t="s">
        <v>1707</v>
      </c>
      <c r="C1574" s="11" t="s">
        <v>15</v>
      </c>
      <c r="D1574" s="11" t="s">
        <v>16</v>
      </c>
      <c r="E1574" s="11" t="s">
        <v>596</v>
      </c>
      <c r="F1574" s="12" t="n">
        <v>5.29</v>
      </c>
      <c r="G1574" s="13" t="n">
        <v>144.93</v>
      </c>
      <c r="H1574" s="13" t="n">
        <v>144.93</v>
      </c>
      <c r="I1574" s="13" t="n">
        <v>0</v>
      </c>
      <c r="J1574" s="11" t="n">
        <v>2022</v>
      </c>
      <c r="K1574" s="11" t="s">
        <v>19</v>
      </c>
      <c r="L1574" s="11" t="s">
        <v>1495</v>
      </c>
    </row>
    <row r="1575" customFormat="false" ht="22.35" hidden="false" customHeight="false" outlineLevel="0" collapsed="false">
      <c r="A1575" s="11" t="s">
        <v>1708</v>
      </c>
      <c r="B1575" s="11" t="s">
        <v>1709</v>
      </c>
      <c r="C1575" s="11" t="s">
        <v>15</v>
      </c>
      <c r="D1575" s="11" t="s">
        <v>16</v>
      </c>
      <c r="E1575" s="11" t="s">
        <v>17</v>
      </c>
      <c r="F1575" s="12" t="n">
        <v>0.22</v>
      </c>
      <c r="G1575" s="13" t="n">
        <v>150.59</v>
      </c>
      <c r="H1575" s="13" t="n">
        <v>150.59</v>
      </c>
      <c r="I1575" s="13" t="n">
        <v>0</v>
      </c>
      <c r="J1575" s="11" t="n">
        <v>2023</v>
      </c>
      <c r="K1575" s="11" t="s">
        <v>19</v>
      </c>
      <c r="L1575" s="11" t="s">
        <v>1504</v>
      </c>
    </row>
    <row r="1576" customFormat="false" ht="15" hidden="false" customHeight="false" outlineLevel="0" collapsed="false">
      <c r="A1576" s="7" t="s">
        <v>1710</v>
      </c>
      <c r="B1576" s="7" t="s">
        <v>1711</v>
      </c>
      <c r="C1576" s="7" t="s">
        <v>929</v>
      </c>
      <c r="D1576" s="7" t="s">
        <v>930</v>
      </c>
      <c r="E1576" s="7" t="s">
        <v>44</v>
      </c>
      <c r="F1576" s="8" t="n">
        <v>2.17</v>
      </c>
      <c r="G1576" s="9" t="n">
        <v>154</v>
      </c>
      <c r="H1576" s="9" t="n">
        <v>0</v>
      </c>
      <c r="I1576" s="9" t="n">
        <v>0</v>
      </c>
      <c r="J1576" s="7" t="n">
        <v>2026</v>
      </c>
      <c r="K1576" s="7" t="s">
        <v>19</v>
      </c>
      <c r="L1576" s="7" t="s">
        <v>1492</v>
      </c>
    </row>
    <row r="1577" customFormat="false" ht="22.35" hidden="false" customHeight="false" outlineLevel="0" collapsed="false">
      <c r="A1577" s="11" t="s">
        <v>1712</v>
      </c>
      <c r="B1577" s="11" t="s">
        <v>1661</v>
      </c>
      <c r="C1577" s="11" t="s">
        <v>15</v>
      </c>
      <c r="D1577" s="11" t="s">
        <v>16</v>
      </c>
      <c r="E1577" s="11" t="s">
        <v>17</v>
      </c>
      <c r="F1577" s="12" t="n">
        <v>4.91</v>
      </c>
      <c r="G1577" s="13" t="n">
        <v>168.75</v>
      </c>
      <c r="H1577" s="13" t="n">
        <v>168.75</v>
      </c>
      <c r="I1577" s="13" t="n">
        <v>0</v>
      </c>
      <c r="J1577" s="11" t="n">
        <v>2022</v>
      </c>
      <c r="K1577" s="11" t="s">
        <v>19</v>
      </c>
      <c r="L1577" s="11" t="s">
        <v>1495</v>
      </c>
    </row>
    <row r="1578" customFormat="false" ht="22.35" hidden="false" customHeight="false" outlineLevel="0" collapsed="false">
      <c r="A1578" s="11" t="s">
        <v>1713</v>
      </c>
      <c r="B1578" s="11" t="s">
        <v>1714</v>
      </c>
      <c r="C1578" s="11" t="s">
        <v>15</v>
      </c>
      <c r="D1578" s="11" t="s">
        <v>16</v>
      </c>
      <c r="E1578" s="11" t="s">
        <v>44</v>
      </c>
      <c r="F1578" s="12" t="n">
        <v>1.97</v>
      </c>
      <c r="G1578" s="13" t="n">
        <v>177.0971</v>
      </c>
      <c r="H1578" s="13" t="n">
        <v>177.0971</v>
      </c>
      <c r="I1578" s="13" t="n">
        <v>0</v>
      </c>
      <c r="J1578" s="11" t="n">
        <v>2023</v>
      </c>
      <c r="K1578" s="11" t="s">
        <v>19</v>
      </c>
      <c r="L1578" s="11" t="s">
        <v>1504</v>
      </c>
    </row>
    <row r="1579" customFormat="false" ht="22.35" hidden="false" customHeight="false" outlineLevel="0" collapsed="false">
      <c r="A1579" s="11" t="s">
        <v>1715</v>
      </c>
      <c r="B1579" s="11" t="s">
        <v>1716</v>
      </c>
      <c r="C1579" s="11" t="s">
        <v>15</v>
      </c>
      <c r="D1579" s="11" t="s">
        <v>16</v>
      </c>
      <c r="E1579" s="11" t="s">
        <v>17</v>
      </c>
      <c r="F1579" s="12" t="n">
        <v>6.27</v>
      </c>
      <c r="G1579" s="13" t="n">
        <v>193.86</v>
      </c>
      <c r="H1579" s="13" t="n">
        <v>193.86</v>
      </c>
      <c r="I1579" s="13" t="n">
        <v>0</v>
      </c>
      <c r="J1579" s="11" t="n">
        <v>2023</v>
      </c>
      <c r="K1579" s="11" t="s">
        <v>19</v>
      </c>
      <c r="L1579" s="11" t="s">
        <v>1504</v>
      </c>
    </row>
    <row r="1580" customFormat="false" ht="22.35" hidden="false" customHeight="false" outlineLevel="0" collapsed="false">
      <c r="A1580" s="11" t="s">
        <v>1717</v>
      </c>
      <c r="B1580" s="11" t="s">
        <v>1718</v>
      </c>
      <c r="C1580" s="11" t="s">
        <v>15</v>
      </c>
      <c r="D1580" s="11" t="s">
        <v>16</v>
      </c>
      <c r="E1580" s="11" t="s">
        <v>17</v>
      </c>
      <c r="F1580" s="12" t="n">
        <v>3.44</v>
      </c>
      <c r="G1580" s="13" t="n">
        <v>208.05</v>
      </c>
      <c r="H1580" s="13" t="n">
        <v>208.05</v>
      </c>
      <c r="I1580" s="13" t="n">
        <v>0</v>
      </c>
      <c r="J1580" s="11" t="n">
        <v>2023</v>
      </c>
      <c r="K1580" s="11" t="s">
        <v>19</v>
      </c>
      <c r="L1580" s="11" t="s">
        <v>1504</v>
      </c>
    </row>
    <row r="1581" customFormat="false" ht="15" hidden="false" customHeight="false" outlineLevel="0" collapsed="false">
      <c r="A1581" s="4" t="s">
        <v>1719</v>
      </c>
      <c r="B1581" s="4" t="s">
        <v>1720</v>
      </c>
      <c r="C1581" s="4" t="s">
        <v>929</v>
      </c>
      <c r="D1581" s="4" t="s">
        <v>930</v>
      </c>
      <c r="E1581" s="4" t="s">
        <v>44</v>
      </c>
      <c r="F1581" s="5" t="n">
        <v>0.409</v>
      </c>
      <c r="G1581" s="6" t="n">
        <v>215</v>
      </c>
      <c r="H1581" s="6" t="n">
        <v>0</v>
      </c>
      <c r="I1581" s="6" t="n">
        <v>0</v>
      </c>
      <c r="J1581" s="4" t="n">
        <v>2026</v>
      </c>
      <c r="K1581" s="4" t="s">
        <v>19</v>
      </c>
      <c r="L1581" s="4" t="s">
        <v>1492</v>
      </c>
    </row>
    <row r="1582" customFormat="false" ht="15" hidden="false" customHeight="false" outlineLevel="0" collapsed="false">
      <c r="A1582" s="7" t="s">
        <v>1721</v>
      </c>
      <c r="B1582" s="7" t="s">
        <v>1722</v>
      </c>
      <c r="C1582" s="7" t="s">
        <v>15</v>
      </c>
      <c r="D1582" s="7" t="s">
        <v>16</v>
      </c>
      <c r="E1582" s="7" t="s">
        <v>44</v>
      </c>
      <c r="F1582" s="8" t="n">
        <v>1.67</v>
      </c>
      <c r="G1582" s="9" t="n">
        <v>220</v>
      </c>
      <c r="H1582" s="9" t="n">
        <v>0</v>
      </c>
      <c r="I1582" s="9" t="n">
        <v>0</v>
      </c>
      <c r="J1582" s="7" t="n">
        <v>2026</v>
      </c>
      <c r="K1582" s="7" t="s">
        <v>19</v>
      </c>
      <c r="L1582" s="7" t="s">
        <v>1492</v>
      </c>
    </row>
    <row r="1583" customFormat="false" ht="15" hidden="false" customHeight="false" outlineLevel="0" collapsed="false">
      <c r="A1583" s="4" t="s">
        <v>1723</v>
      </c>
      <c r="B1583" s="4" t="s">
        <v>1724</v>
      </c>
      <c r="C1583" s="4" t="s">
        <v>929</v>
      </c>
      <c r="D1583" s="4" t="s">
        <v>930</v>
      </c>
      <c r="E1583" s="4" t="s">
        <v>44</v>
      </c>
      <c r="F1583" s="5" t="n">
        <v>1.26</v>
      </c>
      <c r="G1583" s="6" t="n">
        <v>227</v>
      </c>
      <c r="H1583" s="6" t="n">
        <v>0</v>
      </c>
      <c r="I1583" s="6" t="n">
        <v>0</v>
      </c>
      <c r="J1583" s="4" t="n">
        <v>2026</v>
      </c>
      <c r="K1583" s="4" t="s">
        <v>19</v>
      </c>
      <c r="L1583" s="4" t="s">
        <v>1492</v>
      </c>
    </row>
    <row r="1584" customFormat="false" ht="22.35" hidden="false" customHeight="false" outlineLevel="0" collapsed="false">
      <c r="A1584" s="11" t="s">
        <v>1725</v>
      </c>
      <c r="B1584" s="11" t="s">
        <v>1726</v>
      </c>
      <c r="C1584" s="11" t="s">
        <v>15</v>
      </c>
      <c r="D1584" s="11" t="s">
        <v>16</v>
      </c>
      <c r="E1584" s="11" t="s">
        <v>44</v>
      </c>
      <c r="F1584" s="12" t="n">
        <v>2.7</v>
      </c>
      <c r="G1584" s="13" t="n">
        <v>229.26</v>
      </c>
      <c r="H1584" s="13" t="n">
        <v>229.26</v>
      </c>
      <c r="I1584" s="13" t="n">
        <v>0</v>
      </c>
      <c r="J1584" s="11" t="n">
        <v>2022</v>
      </c>
      <c r="K1584" s="11" t="s">
        <v>19</v>
      </c>
      <c r="L1584" s="11" t="s">
        <v>1495</v>
      </c>
    </row>
    <row r="1585" customFormat="false" ht="22.35" hidden="false" customHeight="false" outlineLevel="0" collapsed="false">
      <c r="A1585" s="11" t="s">
        <v>1727</v>
      </c>
      <c r="B1585" s="11" t="s">
        <v>1728</v>
      </c>
      <c r="C1585" s="11" t="s">
        <v>15</v>
      </c>
      <c r="D1585" s="11" t="s">
        <v>16</v>
      </c>
      <c r="E1585" s="11" t="s">
        <v>44</v>
      </c>
      <c r="F1585" s="12" t="n">
        <v>3.05</v>
      </c>
      <c r="G1585" s="13" t="n">
        <v>237.1135</v>
      </c>
      <c r="H1585" s="13" t="n">
        <v>237.1135</v>
      </c>
      <c r="I1585" s="13" t="n">
        <v>0</v>
      </c>
      <c r="J1585" s="11" t="n">
        <v>2023</v>
      </c>
      <c r="K1585" s="11" t="s">
        <v>19</v>
      </c>
      <c r="L1585" s="11" t="s">
        <v>1504</v>
      </c>
    </row>
    <row r="1586" customFormat="false" ht="22.35" hidden="false" customHeight="false" outlineLevel="0" collapsed="false">
      <c r="A1586" s="11" t="s">
        <v>1729</v>
      </c>
      <c r="B1586" s="11" t="s">
        <v>1730</v>
      </c>
      <c r="C1586" s="11" t="s">
        <v>15</v>
      </c>
      <c r="D1586" s="11" t="s">
        <v>16</v>
      </c>
      <c r="E1586" s="11" t="s">
        <v>17</v>
      </c>
      <c r="F1586" s="12" t="n">
        <v>3.24</v>
      </c>
      <c r="G1586" s="13" t="n">
        <v>250</v>
      </c>
      <c r="H1586" s="13" t="n">
        <v>250</v>
      </c>
      <c r="I1586" s="13" t="n">
        <v>0</v>
      </c>
      <c r="J1586" s="11" t="n">
        <v>2021</v>
      </c>
      <c r="K1586" s="11" t="s">
        <v>19</v>
      </c>
      <c r="L1586" s="11" t="s">
        <v>1513</v>
      </c>
    </row>
    <row r="1587" customFormat="false" ht="22.35" hidden="false" customHeight="false" outlineLevel="0" collapsed="false">
      <c r="A1587" s="11" t="s">
        <v>1731</v>
      </c>
      <c r="B1587" s="11" t="s">
        <v>1732</v>
      </c>
      <c r="C1587" s="11" t="s">
        <v>15</v>
      </c>
      <c r="D1587" s="11" t="s">
        <v>16</v>
      </c>
      <c r="E1587" s="11" t="s">
        <v>17</v>
      </c>
      <c r="F1587" s="12" t="n">
        <v>0.39</v>
      </c>
      <c r="G1587" s="13" t="n">
        <v>252.74</v>
      </c>
      <c r="H1587" s="13" t="n">
        <v>252.74</v>
      </c>
      <c r="I1587" s="13" t="n">
        <v>0</v>
      </c>
      <c r="J1587" s="11" t="n">
        <v>2021</v>
      </c>
      <c r="K1587" s="11" t="s">
        <v>19</v>
      </c>
      <c r="L1587" s="11" t="s">
        <v>1513</v>
      </c>
    </row>
    <row r="1588" customFormat="false" ht="15" hidden="false" customHeight="false" outlineLevel="0" collapsed="false">
      <c r="A1588" s="7" t="s">
        <v>1733</v>
      </c>
      <c r="B1588" s="7" t="s">
        <v>1734</v>
      </c>
      <c r="C1588" s="7" t="s">
        <v>929</v>
      </c>
      <c r="D1588" s="7" t="s">
        <v>930</v>
      </c>
      <c r="E1588" s="7" t="s">
        <v>44</v>
      </c>
      <c r="F1588" s="8" t="n">
        <v>0.34</v>
      </c>
      <c r="G1588" s="9" t="n">
        <v>273</v>
      </c>
      <c r="H1588" s="9" t="n">
        <v>0</v>
      </c>
      <c r="I1588" s="9" t="n">
        <v>0</v>
      </c>
      <c r="J1588" s="7" t="n">
        <v>2026</v>
      </c>
      <c r="K1588" s="7" t="s">
        <v>19</v>
      </c>
      <c r="L1588" s="7" t="s">
        <v>1492</v>
      </c>
    </row>
    <row r="1589" customFormat="false" ht="22.35" hidden="false" customHeight="false" outlineLevel="0" collapsed="false">
      <c r="A1589" s="11" t="s">
        <v>1735</v>
      </c>
      <c r="B1589" s="11" t="s">
        <v>1736</v>
      </c>
      <c r="C1589" s="11" t="s">
        <v>929</v>
      </c>
      <c r="D1589" s="11" t="s">
        <v>930</v>
      </c>
      <c r="E1589" s="11" t="s">
        <v>44</v>
      </c>
      <c r="F1589" s="12" t="n">
        <v>0.4696</v>
      </c>
      <c r="G1589" s="13" t="n">
        <v>280</v>
      </c>
      <c r="H1589" s="13" t="n">
        <v>280</v>
      </c>
      <c r="I1589" s="13" t="n">
        <v>0</v>
      </c>
      <c r="J1589" s="11" t="n">
        <v>2022</v>
      </c>
      <c r="K1589" s="11" t="s">
        <v>19</v>
      </c>
      <c r="L1589" s="11" t="s">
        <v>1495</v>
      </c>
    </row>
    <row r="1590" customFormat="false" ht="22.35" hidden="false" customHeight="false" outlineLevel="0" collapsed="false">
      <c r="A1590" s="11" t="s">
        <v>1737</v>
      </c>
      <c r="B1590" s="11" t="s">
        <v>1738</v>
      </c>
      <c r="C1590" s="11" t="s">
        <v>929</v>
      </c>
      <c r="D1590" s="11" t="s">
        <v>930</v>
      </c>
      <c r="E1590" s="11" t="s">
        <v>44</v>
      </c>
      <c r="F1590" s="12" t="n">
        <v>0.1262</v>
      </c>
      <c r="G1590" s="13" t="n">
        <v>280</v>
      </c>
      <c r="H1590" s="13" t="n">
        <v>280</v>
      </c>
      <c r="I1590" s="13" t="n">
        <v>0</v>
      </c>
      <c r="J1590" s="11" t="n">
        <v>2022</v>
      </c>
      <c r="K1590" s="11" t="s">
        <v>19</v>
      </c>
      <c r="L1590" s="11" t="s">
        <v>1495</v>
      </c>
    </row>
    <row r="1591" customFormat="false" ht="15" hidden="false" customHeight="false" outlineLevel="0" collapsed="false">
      <c r="A1591" s="4" t="s">
        <v>1739</v>
      </c>
      <c r="B1591" s="4" t="s">
        <v>1740</v>
      </c>
      <c r="C1591" s="4" t="s">
        <v>15</v>
      </c>
      <c r="D1591" s="4" t="s">
        <v>16</v>
      </c>
      <c r="E1591" s="4" t="s">
        <v>44</v>
      </c>
      <c r="F1591" s="5" t="n">
        <v>2.5375</v>
      </c>
      <c r="G1591" s="6" t="n">
        <v>284.47</v>
      </c>
      <c r="H1591" s="6" t="n">
        <v>0</v>
      </c>
      <c r="I1591" s="6" t="n">
        <v>0</v>
      </c>
      <c r="J1591" s="4" t="n">
        <v>2026</v>
      </c>
      <c r="K1591" s="4" t="s">
        <v>19</v>
      </c>
      <c r="L1591" s="4" t="s">
        <v>1492</v>
      </c>
    </row>
    <row r="1592" customFormat="false" ht="22.35" hidden="false" customHeight="false" outlineLevel="0" collapsed="false">
      <c r="A1592" s="11" t="s">
        <v>1741</v>
      </c>
      <c r="B1592" s="11" t="s">
        <v>1742</v>
      </c>
      <c r="C1592" s="11" t="s">
        <v>929</v>
      </c>
      <c r="D1592" s="11" t="s">
        <v>930</v>
      </c>
      <c r="E1592" s="11" t="s">
        <v>44</v>
      </c>
      <c r="F1592" s="12" t="n">
        <v>0.126</v>
      </c>
      <c r="G1592" s="13" t="n">
        <v>288</v>
      </c>
      <c r="H1592" s="13" t="n">
        <v>288</v>
      </c>
      <c r="I1592" s="13" t="n">
        <v>0</v>
      </c>
      <c r="J1592" s="11" t="n">
        <v>2022</v>
      </c>
      <c r="K1592" s="11" t="s">
        <v>19</v>
      </c>
      <c r="L1592" s="11" t="s">
        <v>1495</v>
      </c>
    </row>
    <row r="1593" customFormat="false" ht="22.35" hidden="false" customHeight="false" outlineLevel="0" collapsed="false">
      <c r="A1593" s="11" t="s">
        <v>1743</v>
      </c>
      <c r="B1593" s="11" t="s">
        <v>1744</v>
      </c>
      <c r="C1593" s="11" t="s">
        <v>15</v>
      </c>
      <c r="D1593" s="11" t="s">
        <v>16</v>
      </c>
      <c r="E1593" s="11" t="s">
        <v>17</v>
      </c>
      <c r="F1593" s="12" t="n">
        <v>1.56</v>
      </c>
      <c r="G1593" s="13" t="n">
        <v>293.32</v>
      </c>
      <c r="H1593" s="13" t="n">
        <v>293.32</v>
      </c>
      <c r="I1593" s="13" t="n">
        <v>0</v>
      </c>
      <c r="J1593" s="11" t="n">
        <v>2022</v>
      </c>
      <c r="K1593" s="11" t="s">
        <v>19</v>
      </c>
      <c r="L1593" s="11" t="s">
        <v>1495</v>
      </c>
    </row>
    <row r="1594" customFormat="false" ht="22.35" hidden="false" customHeight="false" outlineLevel="0" collapsed="false">
      <c r="A1594" s="11" t="s">
        <v>1745</v>
      </c>
      <c r="B1594" s="11" t="s">
        <v>1531</v>
      </c>
      <c r="C1594" s="11" t="s">
        <v>15</v>
      </c>
      <c r="D1594" s="11" t="s">
        <v>16</v>
      </c>
      <c r="E1594" s="11" t="s">
        <v>17</v>
      </c>
      <c r="F1594" s="12" t="n">
        <v>3.31</v>
      </c>
      <c r="G1594" s="13" t="n">
        <v>298.554</v>
      </c>
      <c r="H1594" s="13" t="n">
        <v>298.554</v>
      </c>
      <c r="I1594" s="13" t="n">
        <v>0</v>
      </c>
      <c r="J1594" s="11" t="n">
        <v>2023</v>
      </c>
      <c r="K1594" s="11" t="s">
        <v>19</v>
      </c>
      <c r="L1594" s="11" t="s">
        <v>1504</v>
      </c>
    </row>
    <row r="1595" customFormat="false" ht="22.35" hidden="false" customHeight="false" outlineLevel="0" collapsed="false">
      <c r="A1595" s="11" t="s">
        <v>1746</v>
      </c>
      <c r="B1595" s="11" t="s">
        <v>1747</v>
      </c>
      <c r="C1595" s="11" t="s">
        <v>15</v>
      </c>
      <c r="D1595" s="11" t="s">
        <v>16</v>
      </c>
      <c r="E1595" s="11" t="s">
        <v>17</v>
      </c>
      <c r="F1595" s="12" t="n">
        <v>1.1188</v>
      </c>
      <c r="G1595" s="13" t="n">
        <v>300</v>
      </c>
      <c r="H1595" s="13" t="n">
        <v>300</v>
      </c>
      <c r="I1595" s="13" t="n">
        <v>0</v>
      </c>
      <c r="J1595" s="11" t="n">
        <v>2022</v>
      </c>
      <c r="K1595" s="11" t="s">
        <v>19</v>
      </c>
      <c r="L1595" s="11" t="s">
        <v>1495</v>
      </c>
    </row>
    <row r="1596" customFormat="false" ht="22.35" hidden="false" customHeight="false" outlineLevel="0" collapsed="false">
      <c r="A1596" s="11" t="s">
        <v>1748</v>
      </c>
      <c r="B1596" s="11" t="s">
        <v>1749</v>
      </c>
      <c r="C1596" s="11" t="s">
        <v>15</v>
      </c>
      <c r="D1596" s="11" t="s">
        <v>16</v>
      </c>
      <c r="E1596" s="11" t="s">
        <v>17</v>
      </c>
      <c r="F1596" s="12" t="n">
        <v>3.01</v>
      </c>
      <c r="G1596" s="13" t="n">
        <v>300.94</v>
      </c>
      <c r="H1596" s="13" t="n">
        <v>300.94</v>
      </c>
      <c r="I1596" s="13" t="n">
        <v>0</v>
      </c>
      <c r="J1596" s="11" t="n">
        <v>2022</v>
      </c>
      <c r="K1596" s="11" t="s">
        <v>19</v>
      </c>
      <c r="L1596" s="11" t="s">
        <v>1495</v>
      </c>
    </row>
    <row r="1597" customFormat="false" ht="22.35" hidden="false" customHeight="false" outlineLevel="0" collapsed="false">
      <c r="A1597" s="11" t="s">
        <v>1750</v>
      </c>
      <c r="B1597" s="11" t="s">
        <v>1751</v>
      </c>
      <c r="C1597" s="11" t="s">
        <v>15</v>
      </c>
      <c r="D1597" s="11" t="s">
        <v>16</v>
      </c>
      <c r="E1597" s="11" t="s">
        <v>17</v>
      </c>
      <c r="F1597" s="12" t="n">
        <v>0.498</v>
      </c>
      <c r="G1597" s="13" t="n">
        <v>304.62</v>
      </c>
      <c r="H1597" s="13" t="n">
        <v>304.62</v>
      </c>
      <c r="I1597" s="13" t="n">
        <v>0</v>
      </c>
      <c r="J1597" s="11" t="n">
        <v>2022</v>
      </c>
      <c r="K1597" s="11" t="s">
        <v>19</v>
      </c>
      <c r="L1597" s="11" t="s">
        <v>1495</v>
      </c>
    </row>
    <row r="1598" customFormat="false" ht="22.35" hidden="false" customHeight="false" outlineLevel="0" collapsed="false">
      <c r="A1598" s="11" t="s">
        <v>1752</v>
      </c>
      <c r="B1598" s="11" t="s">
        <v>1753</v>
      </c>
      <c r="C1598" s="11" t="s">
        <v>15</v>
      </c>
      <c r="D1598" s="11" t="s">
        <v>16</v>
      </c>
      <c r="E1598" s="11" t="s">
        <v>44</v>
      </c>
      <c r="F1598" s="12" t="n">
        <v>3.35</v>
      </c>
      <c r="G1598" s="13" t="n">
        <v>308.86</v>
      </c>
      <c r="H1598" s="13" t="n">
        <v>308.86</v>
      </c>
      <c r="I1598" s="13" t="n">
        <v>0</v>
      </c>
      <c r="J1598" s="11" t="n">
        <v>2022</v>
      </c>
      <c r="K1598" s="11" t="s">
        <v>19</v>
      </c>
      <c r="L1598" s="11" t="s">
        <v>1495</v>
      </c>
    </row>
    <row r="1599" customFormat="false" ht="22.35" hidden="false" customHeight="false" outlineLevel="0" collapsed="false">
      <c r="A1599" s="11" t="s">
        <v>1754</v>
      </c>
      <c r="B1599" s="11" t="s">
        <v>1755</v>
      </c>
      <c r="C1599" s="11" t="s">
        <v>15</v>
      </c>
      <c r="D1599" s="11" t="s">
        <v>16</v>
      </c>
      <c r="E1599" s="11" t="s">
        <v>17</v>
      </c>
      <c r="F1599" s="12" t="n">
        <v>2.8</v>
      </c>
      <c r="G1599" s="13" t="n">
        <v>317.67</v>
      </c>
      <c r="H1599" s="13" t="n">
        <v>317.67</v>
      </c>
      <c r="I1599" s="13" t="n">
        <v>0</v>
      </c>
      <c r="J1599" s="11" t="n">
        <v>2021</v>
      </c>
      <c r="K1599" s="11" t="s">
        <v>19</v>
      </c>
      <c r="L1599" s="11" t="s">
        <v>1513</v>
      </c>
    </row>
    <row r="1600" customFormat="false" ht="15" hidden="false" customHeight="false" outlineLevel="0" collapsed="false">
      <c r="A1600" s="7" t="s">
        <v>1756</v>
      </c>
      <c r="B1600" s="7" t="s">
        <v>1757</v>
      </c>
      <c r="C1600" s="7" t="s">
        <v>15</v>
      </c>
      <c r="D1600" s="7" t="s">
        <v>16</v>
      </c>
      <c r="E1600" s="7" t="s">
        <v>44</v>
      </c>
      <c r="F1600" s="8" t="n">
        <v>7.3</v>
      </c>
      <c r="G1600" s="9" t="n">
        <v>320.02</v>
      </c>
      <c r="H1600" s="9" t="n">
        <v>0</v>
      </c>
      <c r="I1600" s="9" t="n">
        <v>0</v>
      </c>
      <c r="J1600" s="7" t="n">
        <v>2026</v>
      </c>
      <c r="K1600" s="7" t="s">
        <v>19</v>
      </c>
      <c r="L1600" s="7" t="s">
        <v>1492</v>
      </c>
    </row>
    <row r="1601" customFormat="false" ht="22.35" hidden="false" customHeight="false" outlineLevel="0" collapsed="false">
      <c r="A1601" s="11" t="s">
        <v>1758</v>
      </c>
      <c r="B1601" s="11" t="s">
        <v>1759</v>
      </c>
      <c r="C1601" s="11" t="s">
        <v>929</v>
      </c>
      <c r="D1601" s="11" t="s">
        <v>930</v>
      </c>
      <c r="E1601" s="11" t="s">
        <v>44</v>
      </c>
      <c r="F1601" s="12" t="n">
        <v>2.67</v>
      </c>
      <c r="G1601" s="13" t="n">
        <v>336</v>
      </c>
      <c r="H1601" s="13" t="n">
        <v>336</v>
      </c>
      <c r="I1601" s="13" t="n">
        <v>0</v>
      </c>
      <c r="J1601" s="11" t="n">
        <v>2021</v>
      </c>
      <c r="K1601" s="11" t="s">
        <v>19</v>
      </c>
      <c r="L1601" s="11" t="s">
        <v>1513</v>
      </c>
    </row>
    <row r="1602" customFormat="false" ht="15" hidden="false" customHeight="false" outlineLevel="0" collapsed="false">
      <c r="A1602" s="7" t="s">
        <v>1760</v>
      </c>
      <c r="B1602" s="7" t="s">
        <v>1761</v>
      </c>
      <c r="C1602" s="7" t="s">
        <v>15</v>
      </c>
      <c r="D1602" s="7" t="s">
        <v>16</v>
      </c>
      <c r="E1602" s="7" t="s">
        <v>44</v>
      </c>
      <c r="F1602" s="8" t="n">
        <v>2.5275</v>
      </c>
      <c r="G1602" s="9" t="n">
        <v>338.25</v>
      </c>
      <c r="H1602" s="9" t="n">
        <v>0</v>
      </c>
      <c r="I1602" s="9" t="n">
        <v>0</v>
      </c>
      <c r="J1602" s="7" t="n">
        <v>2026</v>
      </c>
      <c r="K1602" s="7" t="s">
        <v>19</v>
      </c>
      <c r="L1602" s="7" t="s">
        <v>1492</v>
      </c>
    </row>
    <row r="1603" customFormat="false" ht="22.35" hidden="false" customHeight="false" outlineLevel="0" collapsed="false">
      <c r="A1603" s="11" t="s">
        <v>1762</v>
      </c>
      <c r="B1603" s="11" t="s">
        <v>1763</v>
      </c>
      <c r="C1603" s="11" t="s">
        <v>15</v>
      </c>
      <c r="D1603" s="11" t="s">
        <v>16</v>
      </c>
      <c r="E1603" s="11" t="s">
        <v>17</v>
      </c>
      <c r="F1603" s="12" t="n">
        <v>2.03</v>
      </c>
      <c r="G1603" s="13" t="n">
        <v>349.71</v>
      </c>
      <c r="H1603" s="13" t="n">
        <v>349.71</v>
      </c>
      <c r="I1603" s="13" t="n">
        <v>0</v>
      </c>
      <c r="J1603" s="11" t="n">
        <v>2022</v>
      </c>
      <c r="K1603" s="11" t="s">
        <v>19</v>
      </c>
      <c r="L1603" s="11" t="s">
        <v>1495</v>
      </c>
    </row>
    <row r="1604" customFormat="false" ht="22.35" hidden="false" customHeight="false" outlineLevel="0" collapsed="false">
      <c r="A1604" s="11" t="s">
        <v>1764</v>
      </c>
      <c r="B1604" s="11" t="s">
        <v>1765</v>
      </c>
      <c r="C1604" s="11" t="s">
        <v>15</v>
      </c>
      <c r="D1604" s="11" t="s">
        <v>16</v>
      </c>
      <c r="E1604" s="11" t="s">
        <v>44</v>
      </c>
      <c r="F1604" s="12" t="n">
        <v>4.0278</v>
      </c>
      <c r="G1604" s="13" t="n">
        <v>351.5245</v>
      </c>
      <c r="H1604" s="13" t="n">
        <v>351.5245</v>
      </c>
      <c r="I1604" s="13" t="n">
        <v>0</v>
      </c>
      <c r="J1604" s="11" t="n">
        <v>2023</v>
      </c>
      <c r="K1604" s="11" t="s">
        <v>19</v>
      </c>
      <c r="L1604" s="11" t="s">
        <v>1504</v>
      </c>
    </row>
    <row r="1605" customFormat="false" ht="22.35" hidden="false" customHeight="false" outlineLevel="0" collapsed="false">
      <c r="A1605" s="11" t="s">
        <v>1766</v>
      </c>
      <c r="B1605" s="11" t="s">
        <v>1767</v>
      </c>
      <c r="C1605" s="11" t="s">
        <v>15</v>
      </c>
      <c r="D1605" s="11" t="s">
        <v>16</v>
      </c>
      <c r="E1605" s="11" t="s">
        <v>17</v>
      </c>
      <c r="F1605" s="12" t="n">
        <v>3.29</v>
      </c>
      <c r="G1605" s="13" t="n">
        <v>388.75</v>
      </c>
      <c r="H1605" s="13" t="n">
        <v>388.75</v>
      </c>
      <c r="I1605" s="13" t="n">
        <v>0</v>
      </c>
      <c r="J1605" s="11" t="n">
        <v>2022</v>
      </c>
      <c r="K1605" s="11" t="s">
        <v>19</v>
      </c>
      <c r="L1605" s="11" t="s">
        <v>1495</v>
      </c>
    </row>
    <row r="1606" customFormat="false" ht="22.35" hidden="false" customHeight="false" outlineLevel="0" collapsed="false">
      <c r="A1606" s="11" t="s">
        <v>1768</v>
      </c>
      <c r="B1606" s="11" t="s">
        <v>1769</v>
      </c>
      <c r="C1606" s="11" t="s">
        <v>15</v>
      </c>
      <c r="D1606" s="11" t="s">
        <v>16</v>
      </c>
      <c r="E1606" s="11" t="s">
        <v>27</v>
      </c>
      <c r="F1606" s="12" t="n">
        <v>0.19</v>
      </c>
      <c r="G1606" s="13" t="n">
        <v>400</v>
      </c>
      <c r="H1606" s="13" t="n">
        <v>400</v>
      </c>
      <c r="I1606" s="13" t="n">
        <v>0</v>
      </c>
      <c r="J1606" s="11" t="n">
        <v>2021</v>
      </c>
      <c r="K1606" s="11" t="s">
        <v>19</v>
      </c>
      <c r="L1606" s="11" t="s">
        <v>1513</v>
      </c>
    </row>
    <row r="1607" customFormat="false" ht="15" hidden="false" customHeight="false" outlineLevel="0" collapsed="false">
      <c r="A1607" s="4" t="s">
        <v>1770</v>
      </c>
      <c r="B1607" s="4" t="s">
        <v>1771</v>
      </c>
      <c r="C1607" s="4" t="s">
        <v>15</v>
      </c>
      <c r="D1607" s="4" t="s">
        <v>16</v>
      </c>
      <c r="E1607" s="4" t="s">
        <v>44</v>
      </c>
      <c r="F1607" s="5" t="n">
        <v>5.73</v>
      </c>
      <c r="G1607" s="6" t="n">
        <v>436.79</v>
      </c>
      <c r="H1607" s="6" t="n">
        <v>0</v>
      </c>
      <c r="I1607" s="6" t="n">
        <v>0</v>
      </c>
      <c r="J1607" s="4" t="n">
        <v>2026</v>
      </c>
      <c r="K1607" s="4" t="s">
        <v>19</v>
      </c>
      <c r="L1607" s="4" t="s">
        <v>1492</v>
      </c>
    </row>
    <row r="1608" customFormat="false" ht="22.35" hidden="false" customHeight="false" outlineLevel="0" collapsed="false">
      <c r="A1608" s="11" t="s">
        <v>1772</v>
      </c>
      <c r="B1608" s="11" t="s">
        <v>1773</v>
      </c>
      <c r="C1608" s="11" t="s">
        <v>929</v>
      </c>
      <c r="D1608" s="11" t="s">
        <v>930</v>
      </c>
      <c r="E1608" s="11" t="s">
        <v>44</v>
      </c>
      <c r="F1608" s="12" t="n">
        <v>2.96</v>
      </c>
      <c r="G1608" s="13" t="n">
        <v>441</v>
      </c>
      <c r="H1608" s="13" t="n">
        <v>5</v>
      </c>
      <c r="I1608" s="13" t="n">
        <v>0</v>
      </c>
      <c r="J1608" s="11" t="n">
        <v>2026</v>
      </c>
      <c r="K1608" s="10" t="s">
        <v>1284</v>
      </c>
      <c r="L1608" s="11" t="s">
        <v>1538</v>
      </c>
    </row>
    <row r="1609" customFormat="false" ht="15" hidden="false" customHeight="false" outlineLevel="0" collapsed="false">
      <c r="A1609" s="4" t="s">
        <v>1774</v>
      </c>
      <c r="B1609" s="4" t="s">
        <v>1775</v>
      </c>
      <c r="C1609" s="4" t="s">
        <v>15</v>
      </c>
      <c r="D1609" s="4" t="s">
        <v>16</v>
      </c>
      <c r="E1609" s="4" t="s">
        <v>44</v>
      </c>
      <c r="F1609" s="5" t="n">
        <v>0.78</v>
      </c>
      <c r="G1609" s="6" t="n">
        <v>445.13</v>
      </c>
      <c r="H1609" s="6" t="n">
        <v>0</v>
      </c>
      <c r="I1609" s="6" t="n">
        <v>0</v>
      </c>
      <c r="J1609" s="4" t="n">
        <v>2026</v>
      </c>
      <c r="K1609" s="4" t="s">
        <v>19</v>
      </c>
      <c r="L1609" s="4" t="s">
        <v>1492</v>
      </c>
    </row>
    <row r="1610" customFormat="false" ht="22.35" hidden="false" customHeight="false" outlineLevel="0" collapsed="false">
      <c r="A1610" s="11" t="s">
        <v>1776</v>
      </c>
      <c r="B1610" s="11" t="s">
        <v>1777</v>
      </c>
      <c r="C1610" s="11" t="s">
        <v>15</v>
      </c>
      <c r="D1610" s="11" t="s">
        <v>16</v>
      </c>
      <c r="E1610" s="11" t="s">
        <v>17</v>
      </c>
      <c r="F1610" s="12" t="n">
        <v>4.04</v>
      </c>
      <c r="G1610" s="13" t="n">
        <v>480.38</v>
      </c>
      <c r="H1610" s="13" t="n">
        <v>480.38</v>
      </c>
      <c r="I1610" s="13" t="n">
        <v>0</v>
      </c>
      <c r="J1610" s="11" t="n">
        <v>2021</v>
      </c>
      <c r="K1610" s="11" t="s">
        <v>19</v>
      </c>
      <c r="L1610" s="11" t="s">
        <v>1513</v>
      </c>
    </row>
    <row r="1611" customFormat="false" ht="15" hidden="false" customHeight="false" outlineLevel="0" collapsed="false">
      <c r="A1611" s="4" t="s">
        <v>1778</v>
      </c>
      <c r="B1611" s="4" t="s">
        <v>1779</v>
      </c>
      <c r="C1611" s="4" t="s">
        <v>15</v>
      </c>
      <c r="D1611" s="4" t="s">
        <v>16</v>
      </c>
      <c r="E1611" s="4" t="s">
        <v>44</v>
      </c>
      <c r="F1611" s="5" t="n">
        <v>0.591</v>
      </c>
      <c r="G1611" s="6" t="n">
        <v>495.51</v>
      </c>
      <c r="H1611" s="6" t="n">
        <v>0</v>
      </c>
      <c r="I1611" s="6" t="n">
        <v>0</v>
      </c>
      <c r="J1611" s="4" t="n">
        <v>2026</v>
      </c>
      <c r="K1611" s="4" t="s">
        <v>19</v>
      </c>
      <c r="L1611" s="4" t="s">
        <v>1492</v>
      </c>
    </row>
    <row r="1612" customFormat="false" ht="22.35" hidden="false" customHeight="false" outlineLevel="0" collapsed="false">
      <c r="A1612" s="11" t="s">
        <v>1780</v>
      </c>
      <c r="B1612" s="11" t="s">
        <v>1781</v>
      </c>
      <c r="C1612" s="11" t="s">
        <v>15</v>
      </c>
      <c r="D1612" s="11" t="s">
        <v>16</v>
      </c>
      <c r="E1612" s="11" t="s">
        <v>17</v>
      </c>
      <c r="F1612" s="12" t="n">
        <v>3.73</v>
      </c>
      <c r="G1612" s="13" t="n">
        <v>504.87</v>
      </c>
      <c r="H1612" s="13" t="n">
        <v>504.87</v>
      </c>
      <c r="I1612" s="13" t="n">
        <v>0</v>
      </c>
      <c r="J1612" s="11" t="n">
        <v>2021</v>
      </c>
      <c r="K1612" s="11" t="s">
        <v>19</v>
      </c>
      <c r="L1612" s="11" t="s">
        <v>1513</v>
      </c>
    </row>
    <row r="1613" customFormat="false" ht="22.35" hidden="false" customHeight="false" outlineLevel="0" collapsed="false">
      <c r="A1613" s="11" t="s">
        <v>1782</v>
      </c>
      <c r="B1613" s="11" t="s">
        <v>1783</v>
      </c>
      <c r="C1613" s="11" t="s">
        <v>15</v>
      </c>
      <c r="D1613" s="11" t="s">
        <v>16</v>
      </c>
      <c r="E1613" s="11" t="s">
        <v>17</v>
      </c>
      <c r="F1613" s="12" t="n">
        <v>2.43</v>
      </c>
      <c r="G1613" s="13" t="n">
        <v>507.09</v>
      </c>
      <c r="H1613" s="13" t="n">
        <v>507.09</v>
      </c>
      <c r="I1613" s="13" t="n">
        <v>0</v>
      </c>
      <c r="J1613" s="11" t="n">
        <v>2022</v>
      </c>
      <c r="K1613" s="11" t="s">
        <v>19</v>
      </c>
      <c r="L1613" s="11" t="s">
        <v>1495</v>
      </c>
    </row>
    <row r="1614" customFormat="false" ht="22.35" hidden="false" customHeight="false" outlineLevel="0" collapsed="false">
      <c r="A1614" s="11" t="s">
        <v>1784</v>
      </c>
      <c r="B1614" s="11" t="s">
        <v>1785</v>
      </c>
      <c r="C1614" s="11" t="s">
        <v>15</v>
      </c>
      <c r="D1614" s="11" t="s">
        <v>16</v>
      </c>
      <c r="E1614" s="11" t="s">
        <v>44</v>
      </c>
      <c r="F1614" s="12" t="n">
        <v>7.87</v>
      </c>
      <c r="G1614" s="13" t="n">
        <v>577.46</v>
      </c>
      <c r="H1614" s="13" t="n">
        <v>577.46</v>
      </c>
      <c r="I1614" s="13" t="n">
        <v>0</v>
      </c>
      <c r="J1614" s="11" t="n">
        <v>2021</v>
      </c>
      <c r="K1614" s="11" t="s">
        <v>19</v>
      </c>
      <c r="L1614" s="11" t="s">
        <v>1513</v>
      </c>
    </row>
    <row r="1615" customFormat="false" ht="15" hidden="false" customHeight="false" outlineLevel="0" collapsed="false">
      <c r="A1615" s="4" t="s">
        <v>1786</v>
      </c>
      <c r="B1615" s="4" t="s">
        <v>1787</v>
      </c>
      <c r="C1615" s="4" t="s">
        <v>15</v>
      </c>
      <c r="D1615" s="4" t="s">
        <v>16</v>
      </c>
      <c r="E1615" s="4" t="s">
        <v>44</v>
      </c>
      <c r="F1615" s="5" t="n">
        <v>9.7</v>
      </c>
      <c r="G1615" s="6" t="n">
        <v>582.84</v>
      </c>
      <c r="H1615" s="6" t="n">
        <v>0</v>
      </c>
      <c r="I1615" s="6" t="n">
        <v>0</v>
      </c>
      <c r="J1615" s="4" t="n">
        <v>2026</v>
      </c>
      <c r="K1615" s="4" t="s">
        <v>19</v>
      </c>
      <c r="L1615" s="4" t="s">
        <v>1492</v>
      </c>
    </row>
    <row r="1616" customFormat="false" ht="15" hidden="false" customHeight="false" outlineLevel="0" collapsed="false">
      <c r="A1616" s="7" t="s">
        <v>1788</v>
      </c>
      <c r="B1616" s="7" t="s">
        <v>1789</v>
      </c>
      <c r="C1616" s="7" t="s">
        <v>15</v>
      </c>
      <c r="D1616" s="7" t="s">
        <v>16</v>
      </c>
      <c r="E1616" s="7" t="s">
        <v>44</v>
      </c>
      <c r="F1616" s="8" t="n">
        <v>1.68</v>
      </c>
      <c r="G1616" s="9" t="n">
        <v>600</v>
      </c>
      <c r="H1616" s="9" t="n">
        <v>0</v>
      </c>
      <c r="I1616" s="9" t="n">
        <v>0</v>
      </c>
      <c r="J1616" s="7" t="n">
        <v>2026</v>
      </c>
      <c r="K1616" s="7" t="s">
        <v>19</v>
      </c>
      <c r="L1616" s="7" t="s">
        <v>1492</v>
      </c>
    </row>
    <row r="1617" customFormat="false" ht="15" hidden="false" customHeight="false" outlineLevel="0" collapsed="false">
      <c r="A1617" s="4" t="s">
        <v>1790</v>
      </c>
      <c r="B1617" s="4" t="s">
        <v>1791</v>
      </c>
      <c r="C1617" s="4" t="s">
        <v>929</v>
      </c>
      <c r="D1617" s="4" t="s">
        <v>930</v>
      </c>
      <c r="E1617" s="4" t="s">
        <v>44</v>
      </c>
      <c r="F1617" s="5" t="n">
        <v>0.39</v>
      </c>
      <c r="G1617" s="6" t="n">
        <v>619</v>
      </c>
      <c r="H1617" s="6" t="n">
        <v>0</v>
      </c>
      <c r="I1617" s="6" t="n">
        <v>0</v>
      </c>
      <c r="J1617" s="4" t="n">
        <v>2026</v>
      </c>
      <c r="K1617" s="4" t="s">
        <v>19</v>
      </c>
      <c r="L1617" s="4" t="s">
        <v>1492</v>
      </c>
    </row>
    <row r="1618" customFormat="false" ht="22.35" hidden="false" customHeight="false" outlineLevel="0" collapsed="false">
      <c r="A1618" s="11" t="s">
        <v>1792</v>
      </c>
      <c r="B1618" s="11" t="s">
        <v>1718</v>
      </c>
      <c r="C1618" s="11" t="s">
        <v>15</v>
      </c>
      <c r="D1618" s="11" t="s">
        <v>16</v>
      </c>
      <c r="E1618" s="11" t="s">
        <v>17</v>
      </c>
      <c r="F1618" s="12" t="n">
        <v>4.029</v>
      </c>
      <c r="G1618" s="13" t="n">
        <v>622.63</v>
      </c>
      <c r="H1618" s="13" t="n">
        <v>622.63</v>
      </c>
      <c r="I1618" s="13" t="n">
        <v>0</v>
      </c>
      <c r="J1618" s="11" t="n">
        <v>2023</v>
      </c>
      <c r="K1618" s="11" t="s">
        <v>19</v>
      </c>
      <c r="L1618" s="11" t="s">
        <v>1504</v>
      </c>
    </row>
    <row r="1619" customFormat="false" ht="22.35" hidden="false" customHeight="false" outlineLevel="0" collapsed="false">
      <c r="A1619" s="11" t="s">
        <v>1793</v>
      </c>
      <c r="B1619" s="11" t="s">
        <v>1615</v>
      </c>
      <c r="C1619" s="11" t="s">
        <v>15</v>
      </c>
      <c r="D1619" s="11" t="s">
        <v>16</v>
      </c>
      <c r="E1619" s="11" t="s">
        <v>44</v>
      </c>
      <c r="F1619" s="12" t="n">
        <v>10.8</v>
      </c>
      <c r="G1619" s="13" t="n">
        <v>640</v>
      </c>
      <c r="H1619" s="13" t="n">
        <v>630</v>
      </c>
      <c r="I1619" s="13" t="n">
        <v>0</v>
      </c>
      <c r="J1619" s="11" t="n">
        <v>2026</v>
      </c>
      <c r="K1619" s="11" t="s">
        <v>19</v>
      </c>
      <c r="L1619" s="11" t="s">
        <v>1538</v>
      </c>
    </row>
    <row r="1620" customFormat="false" ht="22.35" hidden="false" customHeight="false" outlineLevel="0" collapsed="false">
      <c r="A1620" s="11" t="s">
        <v>1794</v>
      </c>
      <c r="B1620" s="11" t="s">
        <v>1795</v>
      </c>
      <c r="C1620" s="11" t="s">
        <v>15</v>
      </c>
      <c r="D1620" s="11" t="s">
        <v>16</v>
      </c>
      <c r="E1620" s="11" t="s">
        <v>44</v>
      </c>
      <c r="F1620" s="12" t="n">
        <v>12.583</v>
      </c>
      <c r="G1620" s="13" t="n">
        <v>651.0094</v>
      </c>
      <c r="H1620" s="13" t="n">
        <v>651.0094</v>
      </c>
      <c r="I1620" s="13" t="n">
        <v>0</v>
      </c>
      <c r="J1620" s="11" t="n">
        <v>2022</v>
      </c>
      <c r="K1620" s="11" t="s">
        <v>19</v>
      </c>
      <c r="L1620" s="11" t="s">
        <v>1495</v>
      </c>
    </row>
    <row r="1621" customFormat="false" ht="22.35" hidden="false" customHeight="false" outlineLevel="0" collapsed="false">
      <c r="A1621" s="11" t="s">
        <v>1796</v>
      </c>
      <c r="B1621" s="11" t="s">
        <v>1797</v>
      </c>
      <c r="C1621" s="11" t="s">
        <v>15</v>
      </c>
      <c r="D1621" s="11" t="s">
        <v>16</v>
      </c>
      <c r="E1621" s="11" t="s">
        <v>44</v>
      </c>
      <c r="F1621" s="12" t="n">
        <v>4.1198</v>
      </c>
      <c r="G1621" s="13" t="n">
        <v>663.2727</v>
      </c>
      <c r="H1621" s="13" t="n">
        <v>663.2727</v>
      </c>
      <c r="I1621" s="13" t="n">
        <v>0</v>
      </c>
      <c r="J1621" s="11" t="n">
        <v>2023</v>
      </c>
      <c r="K1621" s="11" t="s">
        <v>19</v>
      </c>
      <c r="L1621" s="11" t="s">
        <v>1504</v>
      </c>
    </row>
    <row r="1622" customFormat="false" ht="22.35" hidden="false" customHeight="false" outlineLevel="0" collapsed="false">
      <c r="A1622" s="11" t="s">
        <v>1798</v>
      </c>
      <c r="B1622" s="11" t="s">
        <v>1799</v>
      </c>
      <c r="C1622" s="11" t="s">
        <v>15</v>
      </c>
      <c r="D1622" s="11" t="s">
        <v>16</v>
      </c>
      <c r="E1622" s="11" t="s">
        <v>17</v>
      </c>
      <c r="F1622" s="12" t="n">
        <v>2.06</v>
      </c>
      <c r="G1622" s="13" t="n">
        <v>739.56</v>
      </c>
      <c r="H1622" s="13" t="n">
        <v>739.56</v>
      </c>
      <c r="I1622" s="13" t="n">
        <v>0</v>
      </c>
      <c r="J1622" s="11" t="n">
        <v>2021</v>
      </c>
      <c r="K1622" s="11" t="s">
        <v>19</v>
      </c>
      <c r="L1622" s="11" t="s">
        <v>1513</v>
      </c>
    </row>
    <row r="1623" customFormat="false" ht="22.35" hidden="false" customHeight="false" outlineLevel="0" collapsed="false">
      <c r="A1623" s="11" t="s">
        <v>1800</v>
      </c>
      <c r="B1623" s="11" t="s">
        <v>1531</v>
      </c>
      <c r="C1623" s="11" t="s">
        <v>15</v>
      </c>
      <c r="D1623" s="11" t="s">
        <v>16</v>
      </c>
      <c r="E1623" s="11" t="s">
        <v>17</v>
      </c>
      <c r="F1623" s="12" t="n">
        <v>4.9</v>
      </c>
      <c r="G1623" s="13" t="n">
        <v>779</v>
      </c>
      <c r="H1623" s="13" t="n">
        <v>779</v>
      </c>
      <c r="I1623" s="13" t="n">
        <v>0</v>
      </c>
      <c r="J1623" s="11" t="n">
        <v>2021</v>
      </c>
      <c r="K1623" s="11" t="s">
        <v>19</v>
      </c>
      <c r="L1623" s="11" t="s">
        <v>1513</v>
      </c>
    </row>
    <row r="1624" customFormat="false" ht="22.35" hidden="false" customHeight="false" outlineLevel="0" collapsed="false">
      <c r="A1624" s="11" t="s">
        <v>1801</v>
      </c>
      <c r="B1624" s="11" t="s">
        <v>1802</v>
      </c>
      <c r="C1624" s="11" t="s">
        <v>15</v>
      </c>
      <c r="D1624" s="11" t="s">
        <v>16</v>
      </c>
      <c r="E1624" s="11" t="s">
        <v>17</v>
      </c>
      <c r="F1624" s="12" t="n">
        <v>0.6</v>
      </c>
      <c r="G1624" s="13" t="n">
        <v>785.93</v>
      </c>
      <c r="H1624" s="13" t="n">
        <v>785.93</v>
      </c>
      <c r="I1624" s="13" t="n">
        <v>0</v>
      </c>
      <c r="J1624" s="11" t="n">
        <v>2021</v>
      </c>
      <c r="K1624" s="11" t="s">
        <v>19</v>
      </c>
      <c r="L1624" s="11" t="s">
        <v>1513</v>
      </c>
    </row>
    <row r="1625" customFormat="false" ht="15" hidden="false" customHeight="false" outlineLevel="0" collapsed="false">
      <c r="A1625" s="4" t="s">
        <v>1803</v>
      </c>
      <c r="B1625" s="4" t="s">
        <v>1674</v>
      </c>
      <c r="C1625" s="4" t="s">
        <v>15</v>
      </c>
      <c r="D1625" s="4" t="s">
        <v>16</v>
      </c>
      <c r="E1625" s="4" t="s">
        <v>44</v>
      </c>
      <c r="F1625" s="5" t="n">
        <v>29.5546</v>
      </c>
      <c r="G1625" s="6" t="n">
        <v>917.75</v>
      </c>
      <c r="H1625" s="6" t="n">
        <v>0</v>
      </c>
      <c r="I1625" s="6" t="n">
        <v>0</v>
      </c>
      <c r="J1625" s="4" t="n">
        <v>2026</v>
      </c>
      <c r="K1625" s="4" t="s">
        <v>19</v>
      </c>
      <c r="L1625" s="4" t="s">
        <v>1492</v>
      </c>
    </row>
    <row r="1626" customFormat="false" ht="15" hidden="false" customHeight="false" outlineLevel="0" collapsed="false">
      <c r="A1626" s="7" t="s">
        <v>1804</v>
      </c>
      <c r="B1626" s="7" t="s">
        <v>1805</v>
      </c>
      <c r="C1626" s="7" t="s">
        <v>929</v>
      </c>
      <c r="D1626" s="7" t="s">
        <v>930</v>
      </c>
      <c r="E1626" s="7" t="s">
        <v>44</v>
      </c>
      <c r="F1626" s="8" t="n">
        <v>0.86</v>
      </c>
      <c r="G1626" s="9" t="n">
        <v>923</v>
      </c>
      <c r="H1626" s="9" t="n">
        <v>0</v>
      </c>
      <c r="I1626" s="9" t="n">
        <v>0</v>
      </c>
      <c r="J1626" s="7" t="n">
        <v>2026</v>
      </c>
      <c r="K1626" s="7" t="s">
        <v>19</v>
      </c>
      <c r="L1626" s="7" t="s">
        <v>1492</v>
      </c>
    </row>
    <row r="1627" customFormat="false" ht="22.35" hidden="false" customHeight="false" outlineLevel="0" collapsed="false">
      <c r="A1627" s="11" t="s">
        <v>1806</v>
      </c>
      <c r="B1627" s="11" t="s">
        <v>1807</v>
      </c>
      <c r="C1627" s="11" t="s">
        <v>15</v>
      </c>
      <c r="D1627" s="11" t="s">
        <v>16</v>
      </c>
      <c r="E1627" s="11" t="s">
        <v>17</v>
      </c>
      <c r="F1627" s="12" t="n">
        <v>2.28</v>
      </c>
      <c r="G1627" s="13" t="n">
        <v>934.96</v>
      </c>
      <c r="H1627" s="13" t="n">
        <v>934.96</v>
      </c>
      <c r="I1627" s="13" t="n">
        <v>0</v>
      </c>
      <c r="J1627" s="11" t="n">
        <v>2021</v>
      </c>
      <c r="K1627" s="11" t="s">
        <v>19</v>
      </c>
      <c r="L1627" s="11" t="s">
        <v>1513</v>
      </c>
    </row>
    <row r="1628" customFormat="false" ht="22.35" hidden="false" customHeight="false" outlineLevel="0" collapsed="false">
      <c r="A1628" s="11" t="s">
        <v>1808</v>
      </c>
      <c r="B1628" s="11" t="s">
        <v>1809</v>
      </c>
      <c r="C1628" s="11" t="s">
        <v>15</v>
      </c>
      <c r="D1628" s="11" t="s">
        <v>16</v>
      </c>
      <c r="E1628" s="11" t="s">
        <v>44</v>
      </c>
      <c r="F1628" s="12" t="n">
        <v>0.129</v>
      </c>
      <c r="G1628" s="13" t="n">
        <v>950</v>
      </c>
      <c r="H1628" s="13" t="n">
        <v>950</v>
      </c>
      <c r="I1628" s="13" t="n">
        <v>0</v>
      </c>
      <c r="J1628" s="11" t="n">
        <v>2022</v>
      </c>
      <c r="K1628" s="11" t="s">
        <v>19</v>
      </c>
      <c r="L1628" s="11" t="s">
        <v>1495</v>
      </c>
    </row>
    <row r="1629" customFormat="false" ht="22.35" hidden="false" customHeight="false" outlineLevel="0" collapsed="false">
      <c r="A1629" s="11" t="s">
        <v>1810</v>
      </c>
      <c r="B1629" s="11" t="s">
        <v>1811</v>
      </c>
      <c r="C1629" s="11" t="s">
        <v>929</v>
      </c>
      <c r="D1629" s="11" t="s">
        <v>930</v>
      </c>
      <c r="E1629" s="11" t="s">
        <v>44</v>
      </c>
      <c r="F1629" s="12" t="n">
        <v>1.12</v>
      </c>
      <c r="G1629" s="13" t="n">
        <v>957</v>
      </c>
      <c r="H1629" s="13" t="n">
        <v>957</v>
      </c>
      <c r="I1629" s="13" t="n">
        <v>0</v>
      </c>
      <c r="J1629" s="11" t="n">
        <v>2022</v>
      </c>
      <c r="K1629" s="11" t="s">
        <v>19</v>
      </c>
      <c r="L1629" s="11" t="s">
        <v>1495</v>
      </c>
    </row>
    <row r="1630" customFormat="false" ht="22.35" hidden="false" customHeight="false" outlineLevel="0" collapsed="false">
      <c r="A1630" s="11" t="s">
        <v>1812</v>
      </c>
      <c r="B1630" s="11" t="s">
        <v>1813</v>
      </c>
      <c r="C1630" s="11" t="s">
        <v>929</v>
      </c>
      <c r="D1630" s="11" t="s">
        <v>930</v>
      </c>
      <c r="E1630" s="11" t="s">
        <v>44</v>
      </c>
      <c r="F1630" s="12" t="n">
        <v>0.29</v>
      </c>
      <c r="G1630" s="13" t="n">
        <v>957</v>
      </c>
      <c r="H1630" s="13" t="n">
        <v>957</v>
      </c>
      <c r="I1630" s="13" t="n">
        <v>0</v>
      </c>
      <c r="J1630" s="11" t="n">
        <v>2022</v>
      </c>
      <c r="K1630" s="11" t="s">
        <v>19</v>
      </c>
      <c r="L1630" s="11" t="s">
        <v>1495</v>
      </c>
    </row>
    <row r="1631" customFormat="false" ht="22.35" hidden="false" customHeight="false" outlineLevel="0" collapsed="false">
      <c r="A1631" s="11" t="s">
        <v>1814</v>
      </c>
      <c r="B1631" s="11" t="s">
        <v>1815</v>
      </c>
      <c r="C1631" s="11" t="s">
        <v>15</v>
      </c>
      <c r="D1631" s="11" t="s">
        <v>16</v>
      </c>
      <c r="E1631" s="11" t="s">
        <v>44</v>
      </c>
      <c r="F1631" s="12" t="n">
        <v>5.692</v>
      </c>
      <c r="G1631" s="13" t="n">
        <v>978.8</v>
      </c>
      <c r="H1631" s="13" t="n">
        <v>978.8</v>
      </c>
      <c r="I1631" s="13" t="n">
        <v>0</v>
      </c>
      <c r="J1631" s="11" t="n">
        <v>2022</v>
      </c>
      <c r="K1631" s="11" t="s">
        <v>19</v>
      </c>
      <c r="L1631" s="11" t="s">
        <v>1495</v>
      </c>
    </row>
    <row r="1632" customFormat="false" ht="22.35" hidden="false" customHeight="false" outlineLevel="0" collapsed="false">
      <c r="A1632" s="11" t="s">
        <v>1816</v>
      </c>
      <c r="B1632" s="11" t="s">
        <v>1615</v>
      </c>
      <c r="C1632" s="11" t="s">
        <v>15</v>
      </c>
      <c r="D1632" s="11" t="s">
        <v>16</v>
      </c>
      <c r="E1632" s="11" t="s">
        <v>17</v>
      </c>
      <c r="F1632" s="12" t="n">
        <v>2.64</v>
      </c>
      <c r="G1632" s="13" t="n">
        <v>1002.14</v>
      </c>
      <c r="H1632" s="13" t="n">
        <v>1002.14</v>
      </c>
      <c r="I1632" s="13" t="n">
        <v>0</v>
      </c>
      <c r="J1632" s="11" t="n">
        <v>2023</v>
      </c>
      <c r="K1632" s="11" t="s">
        <v>19</v>
      </c>
      <c r="L1632" s="11" t="s">
        <v>1504</v>
      </c>
    </row>
    <row r="1633" customFormat="false" ht="22.35" hidden="false" customHeight="false" outlineLevel="0" collapsed="false">
      <c r="A1633" s="11" t="s">
        <v>1817</v>
      </c>
      <c r="B1633" s="11" t="s">
        <v>1744</v>
      </c>
      <c r="C1633" s="11" t="s">
        <v>15</v>
      </c>
      <c r="D1633" s="11" t="s">
        <v>16</v>
      </c>
      <c r="E1633" s="11" t="s">
        <v>17</v>
      </c>
      <c r="F1633" s="12" t="n">
        <v>3.645</v>
      </c>
      <c r="G1633" s="13" t="n">
        <v>1016.65</v>
      </c>
      <c r="H1633" s="13" t="n">
        <v>1016.65</v>
      </c>
      <c r="I1633" s="13" t="n">
        <v>0</v>
      </c>
      <c r="J1633" s="11" t="n">
        <v>2023</v>
      </c>
      <c r="K1633" s="11" t="s">
        <v>19</v>
      </c>
      <c r="L1633" s="11" t="s">
        <v>1504</v>
      </c>
    </row>
    <row r="1634" customFormat="false" ht="22.35" hidden="false" customHeight="false" outlineLevel="0" collapsed="false">
      <c r="A1634" s="11" t="s">
        <v>1818</v>
      </c>
      <c r="B1634" s="11" t="s">
        <v>1615</v>
      </c>
      <c r="C1634" s="11" t="s">
        <v>15</v>
      </c>
      <c r="D1634" s="11" t="s">
        <v>16</v>
      </c>
      <c r="E1634" s="11" t="s">
        <v>44</v>
      </c>
      <c r="F1634" s="12" t="n">
        <v>4.25</v>
      </c>
      <c r="G1634" s="13" t="n">
        <v>1041</v>
      </c>
      <c r="H1634" s="13" t="n">
        <v>1041</v>
      </c>
      <c r="I1634" s="13" t="n">
        <v>0</v>
      </c>
      <c r="J1634" s="11" t="n">
        <v>2021</v>
      </c>
      <c r="K1634" s="11" t="s">
        <v>19</v>
      </c>
      <c r="L1634" s="11" t="s">
        <v>1513</v>
      </c>
    </row>
    <row r="1635" customFormat="false" ht="22.35" hidden="false" customHeight="false" outlineLevel="0" collapsed="false">
      <c r="A1635" s="11" t="s">
        <v>1819</v>
      </c>
      <c r="B1635" s="11" t="s">
        <v>1820</v>
      </c>
      <c r="C1635" s="11" t="s">
        <v>15</v>
      </c>
      <c r="D1635" s="11" t="s">
        <v>16</v>
      </c>
      <c r="E1635" s="11" t="s">
        <v>17</v>
      </c>
      <c r="F1635" s="12" t="n">
        <v>3.19</v>
      </c>
      <c r="G1635" s="13" t="n">
        <v>1050.6099</v>
      </c>
      <c r="H1635" s="13" t="n">
        <v>1050.6099</v>
      </c>
      <c r="I1635" s="13" t="n">
        <v>0</v>
      </c>
      <c r="J1635" s="11" t="n">
        <v>2022</v>
      </c>
      <c r="K1635" s="11" t="s">
        <v>19</v>
      </c>
      <c r="L1635" s="11" t="s">
        <v>1495</v>
      </c>
    </row>
    <row r="1636" customFormat="false" ht="22.35" hidden="false" customHeight="false" outlineLevel="0" collapsed="false">
      <c r="A1636" s="11" t="s">
        <v>1821</v>
      </c>
      <c r="B1636" s="11" t="s">
        <v>1765</v>
      </c>
      <c r="C1636" s="11" t="s">
        <v>15</v>
      </c>
      <c r="D1636" s="11" t="s">
        <v>16</v>
      </c>
      <c r="E1636" s="11" t="s">
        <v>17</v>
      </c>
      <c r="F1636" s="12" t="n">
        <v>4.031</v>
      </c>
      <c r="G1636" s="13" t="n">
        <v>1057.92</v>
      </c>
      <c r="H1636" s="13" t="n">
        <v>1057.92</v>
      </c>
      <c r="I1636" s="13" t="n">
        <v>0</v>
      </c>
      <c r="J1636" s="11" t="n">
        <v>2021</v>
      </c>
      <c r="K1636" s="11" t="s">
        <v>19</v>
      </c>
      <c r="L1636" s="11" t="s">
        <v>1513</v>
      </c>
    </row>
    <row r="1637" customFormat="false" ht="22.35" hidden="false" customHeight="false" outlineLevel="0" collapsed="false">
      <c r="A1637" s="11" t="s">
        <v>1822</v>
      </c>
      <c r="B1637" s="11" t="s">
        <v>1523</v>
      </c>
      <c r="C1637" s="11" t="s">
        <v>15</v>
      </c>
      <c r="D1637" s="11" t="s">
        <v>16</v>
      </c>
      <c r="E1637" s="11" t="s">
        <v>17</v>
      </c>
      <c r="F1637" s="12" t="n">
        <v>3.14</v>
      </c>
      <c r="G1637" s="13" t="n">
        <v>1086.71</v>
      </c>
      <c r="H1637" s="13" t="n">
        <v>1086.71</v>
      </c>
      <c r="I1637" s="13" t="n">
        <v>0</v>
      </c>
      <c r="J1637" s="11" t="n">
        <v>2022</v>
      </c>
      <c r="K1637" s="11" t="s">
        <v>19</v>
      </c>
      <c r="L1637" s="11" t="s">
        <v>1495</v>
      </c>
    </row>
    <row r="1638" customFormat="false" ht="22.35" hidden="false" customHeight="false" outlineLevel="0" collapsed="false">
      <c r="A1638" s="11" t="s">
        <v>1823</v>
      </c>
      <c r="B1638" s="11" t="s">
        <v>1824</v>
      </c>
      <c r="C1638" s="11" t="s">
        <v>15</v>
      </c>
      <c r="D1638" s="11" t="s">
        <v>16</v>
      </c>
      <c r="E1638" s="11" t="s">
        <v>17</v>
      </c>
      <c r="F1638" s="12" t="n">
        <v>4.74</v>
      </c>
      <c r="G1638" s="13" t="n">
        <v>1100</v>
      </c>
      <c r="H1638" s="13" t="n">
        <v>1100</v>
      </c>
      <c r="I1638" s="13" t="n">
        <v>0</v>
      </c>
      <c r="J1638" s="11" t="n">
        <v>2023</v>
      </c>
      <c r="K1638" s="11" t="s">
        <v>19</v>
      </c>
      <c r="L1638" s="11" t="s">
        <v>1504</v>
      </c>
    </row>
    <row r="1639" customFormat="false" ht="22.35" hidden="false" customHeight="false" outlineLevel="0" collapsed="false">
      <c r="A1639" s="11" t="s">
        <v>1825</v>
      </c>
      <c r="B1639" s="11" t="s">
        <v>1826</v>
      </c>
      <c r="C1639" s="11" t="s">
        <v>15</v>
      </c>
      <c r="D1639" s="11" t="s">
        <v>16</v>
      </c>
      <c r="E1639" s="11" t="s">
        <v>17</v>
      </c>
      <c r="F1639" s="12" t="n">
        <v>2.695</v>
      </c>
      <c r="G1639" s="13" t="n">
        <v>1117.6</v>
      </c>
      <c r="H1639" s="13" t="n">
        <v>1117.6</v>
      </c>
      <c r="I1639" s="13" t="n">
        <v>0</v>
      </c>
      <c r="J1639" s="11" t="n">
        <v>2022</v>
      </c>
      <c r="K1639" s="11" t="s">
        <v>19</v>
      </c>
      <c r="L1639" s="11" t="s">
        <v>1495</v>
      </c>
    </row>
    <row r="1640" customFormat="false" ht="22.35" hidden="false" customHeight="false" outlineLevel="0" collapsed="false">
      <c r="A1640" s="11" t="s">
        <v>1827</v>
      </c>
      <c r="B1640" s="11" t="s">
        <v>1828</v>
      </c>
      <c r="C1640" s="11" t="s">
        <v>929</v>
      </c>
      <c r="D1640" s="11" t="s">
        <v>930</v>
      </c>
      <c r="E1640" s="11" t="s">
        <v>44</v>
      </c>
      <c r="F1640" s="12" t="n">
        <v>0.863</v>
      </c>
      <c r="G1640" s="13" t="n">
        <v>1125</v>
      </c>
      <c r="H1640" s="13" t="n">
        <v>1125</v>
      </c>
      <c r="I1640" s="13" t="n">
        <v>0</v>
      </c>
      <c r="J1640" s="11" t="n">
        <v>2021</v>
      </c>
      <c r="K1640" s="11" t="s">
        <v>19</v>
      </c>
      <c r="L1640" s="11" t="s">
        <v>1513</v>
      </c>
    </row>
    <row r="1641" customFormat="false" ht="22.35" hidden="false" customHeight="false" outlineLevel="0" collapsed="false">
      <c r="A1641" s="11" t="s">
        <v>1829</v>
      </c>
      <c r="B1641" s="11" t="s">
        <v>1830</v>
      </c>
      <c r="C1641" s="11" t="s">
        <v>15</v>
      </c>
      <c r="D1641" s="11" t="s">
        <v>16</v>
      </c>
      <c r="E1641" s="11" t="s">
        <v>44</v>
      </c>
      <c r="F1641" s="12" t="n">
        <v>8.99</v>
      </c>
      <c r="G1641" s="13" t="n">
        <v>1147.72</v>
      </c>
      <c r="H1641" s="13" t="n">
        <v>1065.22</v>
      </c>
      <c r="I1641" s="13" t="n">
        <v>0</v>
      </c>
      <c r="J1641" s="11" t="n">
        <v>2026</v>
      </c>
      <c r="K1641" s="11" t="s">
        <v>19</v>
      </c>
      <c r="L1641" s="11" t="s">
        <v>1538</v>
      </c>
    </row>
    <row r="1642" customFormat="false" ht="22.35" hidden="false" customHeight="false" outlineLevel="0" collapsed="false">
      <c r="A1642" s="11" t="s">
        <v>1831</v>
      </c>
      <c r="B1642" s="11" t="s">
        <v>1558</v>
      </c>
      <c r="C1642" s="11" t="s">
        <v>15</v>
      </c>
      <c r="D1642" s="11" t="s">
        <v>16</v>
      </c>
      <c r="E1642" s="11" t="s">
        <v>17</v>
      </c>
      <c r="F1642" s="12" t="n">
        <v>1.33</v>
      </c>
      <c r="G1642" s="13" t="n">
        <v>1233.35</v>
      </c>
      <c r="H1642" s="13" t="n">
        <v>1233.35</v>
      </c>
      <c r="I1642" s="13" t="n">
        <v>0</v>
      </c>
      <c r="J1642" s="11" t="n">
        <v>2021</v>
      </c>
      <c r="K1642" s="11" t="s">
        <v>19</v>
      </c>
      <c r="L1642" s="11" t="s">
        <v>1513</v>
      </c>
    </row>
    <row r="1643" customFormat="false" ht="15" hidden="false" customHeight="false" outlineLevel="0" collapsed="false">
      <c r="A1643" s="4" t="s">
        <v>1832</v>
      </c>
      <c r="B1643" s="4" t="s">
        <v>1833</v>
      </c>
      <c r="C1643" s="4" t="s">
        <v>15</v>
      </c>
      <c r="D1643" s="4" t="s">
        <v>16</v>
      </c>
      <c r="E1643" s="4" t="s">
        <v>44</v>
      </c>
      <c r="F1643" s="5" t="n">
        <v>1.15</v>
      </c>
      <c r="G1643" s="6" t="n">
        <v>1295.5</v>
      </c>
      <c r="H1643" s="6" t="n">
        <v>0</v>
      </c>
      <c r="I1643" s="6" t="n">
        <v>0</v>
      </c>
      <c r="J1643" s="4" t="n">
        <v>2026</v>
      </c>
      <c r="K1643" s="4" t="s">
        <v>19</v>
      </c>
      <c r="L1643" s="4" t="s">
        <v>1492</v>
      </c>
    </row>
    <row r="1644" customFormat="false" ht="15" hidden="false" customHeight="false" outlineLevel="0" collapsed="false">
      <c r="A1644" s="7" t="s">
        <v>1834</v>
      </c>
      <c r="B1644" s="7" t="s">
        <v>1835</v>
      </c>
      <c r="C1644" s="7" t="s">
        <v>929</v>
      </c>
      <c r="D1644" s="7" t="s">
        <v>930</v>
      </c>
      <c r="E1644" s="7" t="s">
        <v>44</v>
      </c>
      <c r="F1644" s="8" t="n">
        <v>1.575</v>
      </c>
      <c r="G1644" s="9" t="n">
        <v>1305</v>
      </c>
      <c r="H1644" s="9" t="n">
        <v>0</v>
      </c>
      <c r="I1644" s="9" t="n">
        <v>0</v>
      </c>
      <c r="J1644" s="7" t="n">
        <v>2026</v>
      </c>
      <c r="K1644" s="7" t="s">
        <v>19</v>
      </c>
      <c r="L1644" s="7" t="s">
        <v>1492</v>
      </c>
    </row>
    <row r="1645" customFormat="false" ht="15" hidden="false" customHeight="false" outlineLevel="0" collapsed="false">
      <c r="A1645" s="4" t="s">
        <v>1836</v>
      </c>
      <c r="B1645" s="4" t="s">
        <v>1740</v>
      </c>
      <c r="C1645" s="4" t="s">
        <v>15</v>
      </c>
      <c r="D1645" s="4" t="s">
        <v>16</v>
      </c>
      <c r="E1645" s="4" t="s">
        <v>44</v>
      </c>
      <c r="F1645" s="5" t="n">
        <v>3.27</v>
      </c>
      <c r="G1645" s="6" t="n">
        <v>1306</v>
      </c>
      <c r="H1645" s="6" t="n">
        <v>0</v>
      </c>
      <c r="I1645" s="6" t="n">
        <v>0</v>
      </c>
      <c r="J1645" s="4" t="n">
        <v>2026</v>
      </c>
      <c r="K1645" s="4" t="s">
        <v>19</v>
      </c>
      <c r="L1645" s="4" t="s">
        <v>1492</v>
      </c>
    </row>
    <row r="1646" customFormat="false" ht="22.35" hidden="false" customHeight="false" outlineLevel="0" collapsed="false">
      <c r="A1646" s="11" t="s">
        <v>1837</v>
      </c>
      <c r="B1646" s="11" t="s">
        <v>1838</v>
      </c>
      <c r="C1646" s="11" t="s">
        <v>15</v>
      </c>
      <c r="D1646" s="11" t="s">
        <v>16</v>
      </c>
      <c r="E1646" s="11" t="s">
        <v>17</v>
      </c>
      <c r="F1646" s="12" t="n">
        <v>3.01</v>
      </c>
      <c r="G1646" s="13" t="n">
        <v>1350.66</v>
      </c>
      <c r="H1646" s="13" t="n">
        <v>1350.66</v>
      </c>
      <c r="I1646" s="13" t="n">
        <v>0</v>
      </c>
      <c r="J1646" s="11" t="n">
        <v>2022</v>
      </c>
      <c r="K1646" s="11" t="s">
        <v>19</v>
      </c>
      <c r="L1646" s="11" t="s">
        <v>1495</v>
      </c>
    </row>
    <row r="1647" customFormat="false" ht="22.35" hidden="false" customHeight="false" outlineLevel="0" collapsed="false">
      <c r="A1647" s="11" t="s">
        <v>1839</v>
      </c>
      <c r="B1647" s="11" t="s">
        <v>1840</v>
      </c>
      <c r="C1647" s="11" t="s">
        <v>15</v>
      </c>
      <c r="D1647" s="11" t="s">
        <v>16</v>
      </c>
      <c r="E1647" s="11" t="s">
        <v>17</v>
      </c>
      <c r="F1647" s="12" t="n">
        <v>2.144</v>
      </c>
      <c r="G1647" s="13" t="n">
        <v>1529.25</v>
      </c>
      <c r="H1647" s="13" t="n">
        <v>1529.25</v>
      </c>
      <c r="I1647" s="13" t="n">
        <v>0</v>
      </c>
      <c r="J1647" s="11" t="n">
        <v>2022</v>
      </c>
      <c r="K1647" s="11" t="s">
        <v>19</v>
      </c>
      <c r="L1647" s="11" t="s">
        <v>1495</v>
      </c>
    </row>
    <row r="1648" customFormat="false" ht="22.35" hidden="false" customHeight="false" outlineLevel="0" collapsed="false">
      <c r="A1648" s="11" t="s">
        <v>1841</v>
      </c>
      <c r="B1648" s="11" t="s">
        <v>1842</v>
      </c>
      <c r="C1648" s="11" t="s">
        <v>15</v>
      </c>
      <c r="D1648" s="11" t="s">
        <v>16</v>
      </c>
      <c r="E1648" s="11" t="s">
        <v>17</v>
      </c>
      <c r="F1648" s="12" t="n">
        <v>2</v>
      </c>
      <c r="G1648" s="13" t="n">
        <v>1556</v>
      </c>
      <c r="H1648" s="13" t="n">
        <v>1556</v>
      </c>
      <c r="I1648" s="13" t="n">
        <v>0</v>
      </c>
      <c r="J1648" s="11" t="n">
        <v>2022</v>
      </c>
      <c r="K1648" s="11" t="s">
        <v>19</v>
      </c>
      <c r="L1648" s="11" t="s">
        <v>1495</v>
      </c>
    </row>
    <row r="1649" customFormat="false" ht="22.35" hidden="false" customHeight="false" outlineLevel="0" collapsed="false">
      <c r="A1649" s="11" t="s">
        <v>1843</v>
      </c>
      <c r="B1649" s="11" t="s">
        <v>1844</v>
      </c>
      <c r="C1649" s="11" t="s">
        <v>15</v>
      </c>
      <c r="D1649" s="11" t="s">
        <v>16</v>
      </c>
      <c r="E1649" s="11" t="s">
        <v>44</v>
      </c>
      <c r="F1649" s="12" t="n">
        <v>1.6</v>
      </c>
      <c r="G1649" s="13" t="n">
        <v>1625.5935</v>
      </c>
      <c r="H1649" s="13" t="n">
        <v>1625.5935</v>
      </c>
      <c r="I1649" s="13" t="n">
        <v>0</v>
      </c>
      <c r="J1649" s="11" t="n">
        <v>2023</v>
      </c>
      <c r="K1649" s="11" t="s">
        <v>19</v>
      </c>
      <c r="L1649" s="11" t="s">
        <v>1504</v>
      </c>
    </row>
    <row r="1650" customFormat="false" ht="22.35" hidden="false" customHeight="false" outlineLevel="0" collapsed="false">
      <c r="A1650" s="11" t="s">
        <v>1845</v>
      </c>
      <c r="B1650" s="11" t="s">
        <v>1846</v>
      </c>
      <c r="C1650" s="11" t="s">
        <v>15</v>
      </c>
      <c r="D1650" s="11" t="s">
        <v>16</v>
      </c>
      <c r="E1650" s="11" t="s">
        <v>17</v>
      </c>
      <c r="F1650" s="12" t="n">
        <v>3.1805</v>
      </c>
      <c r="G1650" s="13" t="n">
        <v>1641.114</v>
      </c>
      <c r="H1650" s="13" t="n">
        <v>1641.114</v>
      </c>
      <c r="I1650" s="13" t="n">
        <v>0</v>
      </c>
      <c r="J1650" s="11" t="n">
        <v>2023</v>
      </c>
      <c r="K1650" s="11" t="s">
        <v>19</v>
      </c>
      <c r="L1650" s="11" t="s">
        <v>1504</v>
      </c>
    </row>
    <row r="1651" customFormat="false" ht="22.35" hidden="false" customHeight="false" outlineLevel="0" collapsed="false">
      <c r="A1651" s="11" t="s">
        <v>1847</v>
      </c>
      <c r="B1651" s="11" t="s">
        <v>1848</v>
      </c>
      <c r="C1651" s="11" t="s">
        <v>15</v>
      </c>
      <c r="D1651" s="11" t="s">
        <v>16</v>
      </c>
      <c r="E1651" s="11" t="s">
        <v>17</v>
      </c>
      <c r="F1651" s="12" t="n">
        <v>2.382</v>
      </c>
      <c r="G1651" s="13" t="n">
        <v>1689</v>
      </c>
      <c r="H1651" s="13" t="n">
        <v>1689</v>
      </c>
      <c r="I1651" s="13" t="n">
        <v>0</v>
      </c>
      <c r="J1651" s="11" t="n">
        <v>2022</v>
      </c>
      <c r="K1651" s="11" t="s">
        <v>19</v>
      </c>
      <c r="L1651" s="11" t="s">
        <v>1495</v>
      </c>
    </row>
    <row r="1652" customFormat="false" ht="22.35" hidden="false" customHeight="false" outlineLevel="0" collapsed="false">
      <c r="A1652" s="11" t="s">
        <v>1849</v>
      </c>
      <c r="B1652" s="11" t="s">
        <v>1850</v>
      </c>
      <c r="C1652" s="11" t="s">
        <v>929</v>
      </c>
      <c r="D1652" s="11" t="s">
        <v>930</v>
      </c>
      <c r="E1652" s="11" t="s">
        <v>44</v>
      </c>
      <c r="F1652" s="12" t="n">
        <v>5.3</v>
      </c>
      <c r="G1652" s="13" t="n">
        <v>1690</v>
      </c>
      <c r="H1652" s="13" t="n">
        <v>1690</v>
      </c>
      <c r="I1652" s="13" t="n">
        <v>0</v>
      </c>
      <c r="J1652" s="11" t="n">
        <v>2023</v>
      </c>
      <c r="K1652" s="11" t="s">
        <v>19</v>
      </c>
      <c r="L1652" s="11" t="s">
        <v>1504</v>
      </c>
    </row>
    <row r="1653" customFormat="false" ht="22.35" hidden="false" customHeight="false" outlineLevel="0" collapsed="false">
      <c r="A1653" s="11" t="s">
        <v>1851</v>
      </c>
      <c r="B1653" s="11" t="s">
        <v>1852</v>
      </c>
      <c r="C1653" s="11" t="s">
        <v>929</v>
      </c>
      <c r="D1653" s="11" t="s">
        <v>930</v>
      </c>
      <c r="E1653" s="11" t="s">
        <v>44</v>
      </c>
      <c r="F1653" s="12" t="n">
        <v>4.28</v>
      </c>
      <c r="G1653" s="13" t="n">
        <v>1690</v>
      </c>
      <c r="H1653" s="13" t="n">
        <v>1690</v>
      </c>
      <c r="I1653" s="13" t="n">
        <v>0</v>
      </c>
      <c r="J1653" s="11" t="n">
        <v>2023</v>
      </c>
      <c r="K1653" s="11" t="s">
        <v>19</v>
      </c>
      <c r="L1653" s="11" t="s">
        <v>1504</v>
      </c>
    </row>
    <row r="1654" customFormat="false" ht="22.35" hidden="false" customHeight="false" outlineLevel="0" collapsed="false">
      <c r="A1654" s="11" t="s">
        <v>1853</v>
      </c>
      <c r="B1654" s="11" t="s">
        <v>1854</v>
      </c>
      <c r="C1654" s="11" t="s">
        <v>15</v>
      </c>
      <c r="D1654" s="11" t="s">
        <v>16</v>
      </c>
      <c r="E1654" s="11" t="s">
        <v>17</v>
      </c>
      <c r="F1654" s="12" t="n">
        <v>3.4</v>
      </c>
      <c r="G1654" s="13" t="n">
        <v>1702.84</v>
      </c>
      <c r="H1654" s="13" t="n">
        <v>1702.84</v>
      </c>
      <c r="I1654" s="13" t="n">
        <v>0</v>
      </c>
      <c r="J1654" s="11" t="n">
        <v>2022</v>
      </c>
      <c r="K1654" s="11" t="s">
        <v>19</v>
      </c>
      <c r="L1654" s="11" t="s">
        <v>1495</v>
      </c>
    </row>
    <row r="1655" customFormat="false" ht="22.35" hidden="false" customHeight="false" outlineLevel="0" collapsed="false">
      <c r="A1655" s="11" t="s">
        <v>1855</v>
      </c>
      <c r="B1655" s="11" t="s">
        <v>1856</v>
      </c>
      <c r="C1655" s="11" t="s">
        <v>929</v>
      </c>
      <c r="D1655" s="11" t="s">
        <v>930</v>
      </c>
      <c r="E1655" s="11" t="s">
        <v>44</v>
      </c>
      <c r="F1655" s="12" t="n">
        <v>95.6908</v>
      </c>
      <c r="G1655" s="13" t="n">
        <v>1714</v>
      </c>
      <c r="H1655" s="13" t="n">
        <v>1706</v>
      </c>
      <c r="I1655" s="13" t="n">
        <v>0</v>
      </c>
      <c r="J1655" s="11" t="n">
        <v>2026</v>
      </c>
      <c r="K1655" s="11" t="s">
        <v>19</v>
      </c>
      <c r="L1655" s="11" t="s">
        <v>1538</v>
      </c>
    </row>
    <row r="1656" customFormat="false" ht="22.35" hidden="false" customHeight="false" outlineLevel="0" collapsed="false">
      <c r="A1656" s="11" t="s">
        <v>1857</v>
      </c>
      <c r="B1656" s="11" t="s">
        <v>1858</v>
      </c>
      <c r="C1656" s="11" t="s">
        <v>15</v>
      </c>
      <c r="D1656" s="11" t="s">
        <v>16</v>
      </c>
      <c r="E1656" s="11" t="s">
        <v>17</v>
      </c>
      <c r="F1656" s="12" t="n">
        <v>17.09</v>
      </c>
      <c r="G1656" s="13" t="n">
        <v>1741.4792</v>
      </c>
      <c r="H1656" s="13" t="n">
        <v>1741.4792</v>
      </c>
      <c r="I1656" s="13" t="n">
        <v>0</v>
      </c>
      <c r="J1656" s="11" t="n">
        <v>2023</v>
      </c>
      <c r="K1656" s="11" t="s">
        <v>19</v>
      </c>
      <c r="L1656" s="11" t="s">
        <v>1504</v>
      </c>
    </row>
    <row r="1657" customFormat="false" ht="22.35" hidden="false" customHeight="false" outlineLevel="0" collapsed="false">
      <c r="A1657" s="11" t="s">
        <v>1859</v>
      </c>
      <c r="B1657" s="11" t="s">
        <v>1860</v>
      </c>
      <c r="C1657" s="11" t="s">
        <v>929</v>
      </c>
      <c r="D1657" s="11" t="s">
        <v>930</v>
      </c>
      <c r="E1657" s="11" t="s">
        <v>44</v>
      </c>
      <c r="F1657" s="12" t="n">
        <v>1.0521</v>
      </c>
      <c r="G1657" s="13" t="n">
        <v>1800</v>
      </c>
      <c r="H1657" s="13" t="n">
        <v>1800</v>
      </c>
      <c r="I1657" s="13" t="n">
        <v>0</v>
      </c>
      <c r="J1657" s="11" t="n">
        <v>2022</v>
      </c>
      <c r="K1657" s="11" t="s">
        <v>19</v>
      </c>
      <c r="L1657" s="11" t="s">
        <v>1495</v>
      </c>
    </row>
    <row r="1658" customFormat="false" ht="22.35" hidden="false" customHeight="false" outlineLevel="0" collapsed="false">
      <c r="A1658" s="11" t="s">
        <v>1861</v>
      </c>
      <c r="B1658" s="11" t="s">
        <v>1862</v>
      </c>
      <c r="C1658" s="11" t="s">
        <v>15</v>
      </c>
      <c r="D1658" s="11" t="s">
        <v>16</v>
      </c>
      <c r="E1658" s="11" t="s">
        <v>44</v>
      </c>
      <c r="F1658" s="12" t="n">
        <v>0.129</v>
      </c>
      <c r="G1658" s="13" t="n">
        <v>1804</v>
      </c>
      <c r="H1658" s="13" t="n">
        <v>1804</v>
      </c>
      <c r="I1658" s="13" t="n">
        <v>0</v>
      </c>
      <c r="J1658" s="11" t="n">
        <v>2021</v>
      </c>
      <c r="K1658" s="11" t="s">
        <v>19</v>
      </c>
      <c r="L1658" s="11" t="s">
        <v>1513</v>
      </c>
    </row>
    <row r="1659" customFormat="false" ht="22.35" hidden="false" customHeight="false" outlineLevel="0" collapsed="false">
      <c r="A1659" s="11" t="s">
        <v>1863</v>
      </c>
      <c r="B1659" s="11" t="s">
        <v>1864</v>
      </c>
      <c r="C1659" s="11" t="s">
        <v>15</v>
      </c>
      <c r="D1659" s="11" t="s">
        <v>16</v>
      </c>
      <c r="E1659" s="11" t="s">
        <v>17</v>
      </c>
      <c r="F1659" s="12" t="n">
        <v>1.36</v>
      </c>
      <c r="G1659" s="13" t="n">
        <v>1806.6</v>
      </c>
      <c r="H1659" s="13" t="n">
        <v>1806.6</v>
      </c>
      <c r="I1659" s="13" t="n">
        <v>0</v>
      </c>
      <c r="J1659" s="11" t="n">
        <v>2021</v>
      </c>
      <c r="K1659" s="11" t="s">
        <v>19</v>
      </c>
      <c r="L1659" s="11" t="s">
        <v>1513</v>
      </c>
    </row>
    <row r="1660" customFormat="false" ht="15" hidden="false" customHeight="false" outlineLevel="0" collapsed="false">
      <c r="A1660" s="7" t="s">
        <v>1865</v>
      </c>
      <c r="B1660" s="7" t="s">
        <v>1789</v>
      </c>
      <c r="C1660" s="7" t="s">
        <v>15</v>
      </c>
      <c r="D1660" s="7" t="s">
        <v>16</v>
      </c>
      <c r="E1660" s="7" t="s">
        <v>44</v>
      </c>
      <c r="F1660" s="8" t="n">
        <v>1.3271</v>
      </c>
      <c r="G1660" s="9" t="n">
        <v>1812.35</v>
      </c>
      <c r="H1660" s="9" t="n">
        <v>0</v>
      </c>
      <c r="I1660" s="9" t="n">
        <v>0</v>
      </c>
      <c r="J1660" s="7" t="n">
        <v>2026</v>
      </c>
      <c r="K1660" s="7" t="s">
        <v>19</v>
      </c>
      <c r="L1660" s="7" t="s">
        <v>1492</v>
      </c>
    </row>
    <row r="1661" customFormat="false" ht="22.35" hidden="false" customHeight="false" outlineLevel="0" collapsed="false">
      <c r="A1661" s="11" t="s">
        <v>1866</v>
      </c>
      <c r="B1661" s="11" t="s">
        <v>1867</v>
      </c>
      <c r="C1661" s="11" t="s">
        <v>15</v>
      </c>
      <c r="D1661" s="11" t="s">
        <v>16</v>
      </c>
      <c r="E1661" s="11" t="s">
        <v>17</v>
      </c>
      <c r="F1661" s="12" t="n">
        <v>0.76</v>
      </c>
      <c r="G1661" s="13" t="n">
        <v>1850</v>
      </c>
      <c r="H1661" s="13" t="n">
        <v>1850</v>
      </c>
      <c r="I1661" s="13" t="n">
        <v>0</v>
      </c>
      <c r="J1661" s="11" t="n">
        <v>2021</v>
      </c>
      <c r="K1661" s="11" t="s">
        <v>19</v>
      </c>
      <c r="L1661" s="11" t="s">
        <v>1513</v>
      </c>
    </row>
    <row r="1662" customFormat="false" ht="22.35" hidden="false" customHeight="false" outlineLevel="0" collapsed="false">
      <c r="A1662" s="11" t="s">
        <v>1868</v>
      </c>
      <c r="B1662" s="11" t="s">
        <v>1869</v>
      </c>
      <c r="C1662" s="11" t="s">
        <v>15</v>
      </c>
      <c r="D1662" s="11" t="s">
        <v>16</v>
      </c>
      <c r="E1662" s="11" t="s">
        <v>17</v>
      </c>
      <c r="F1662" s="12" t="n">
        <v>3.2</v>
      </c>
      <c r="G1662" s="13" t="n">
        <v>1898.05</v>
      </c>
      <c r="H1662" s="13" t="n">
        <v>1898.05</v>
      </c>
      <c r="I1662" s="13" t="n">
        <v>0</v>
      </c>
      <c r="J1662" s="11" t="n">
        <v>2021</v>
      </c>
      <c r="K1662" s="11" t="s">
        <v>19</v>
      </c>
      <c r="L1662" s="11" t="s">
        <v>1513</v>
      </c>
    </row>
    <row r="1663" customFormat="false" ht="22.35" hidden="false" customHeight="false" outlineLevel="0" collapsed="false">
      <c r="A1663" s="11" t="s">
        <v>1870</v>
      </c>
      <c r="B1663" s="11" t="s">
        <v>1871</v>
      </c>
      <c r="C1663" s="11" t="s">
        <v>15</v>
      </c>
      <c r="D1663" s="11" t="s">
        <v>16</v>
      </c>
      <c r="E1663" s="11" t="s">
        <v>44</v>
      </c>
      <c r="F1663" s="12" t="n">
        <v>8.65</v>
      </c>
      <c r="G1663" s="13" t="n">
        <v>1927.2982</v>
      </c>
      <c r="H1663" s="13" t="n">
        <v>1927.2982</v>
      </c>
      <c r="I1663" s="13" t="n">
        <v>0</v>
      </c>
      <c r="J1663" s="11" t="n">
        <v>2023</v>
      </c>
      <c r="K1663" s="11" t="s">
        <v>19</v>
      </c>
      <c r="L1663" s="11" t="s">
        <v>1504</v>
      </c>
    </row>
    <row r="1664" customFormat="false" ht="15" hidden="false" customHeight="false" outlineLevel="0" collapsed="false">
      <c r="A1664" s="7" t="s">
        <v>1872</v>
      </c>
      <c r="B1664" s="7" t="s">
        <v>1873</v>
      </c>
      <c r="C1664" s="7" t="s">
        <v>929</v>
      </c>
      <c r="D1664" s="7" t="s">
        <v>930</v>
      </c>
      <c r="E1664" s="7" t="s">
        <v>44</v>
      </c>
      <c r="F1664" s="8" t="n">
        <v>0.558</v>
      </c>
      <c r="G1664" s="9" t="n">
        <v>1933</v>
      </c>
      <c r="H1664" s="9" t="n">
        <v>0</v>
      </c>
      <c r="I1664" s="9" t="n">
        <v>0</v>
      </c>
      <c r="J1664" s="7" t="n">
        <v>2026</v>
      </c>
      <c r="K1664" s="10" t="s">
        <v>1284</v>
      </c>
      <c r="L1664" s="7" t="s">
        <v>1492</v>
      </c>
    </row>
    <row r="1665" customFormat="false" ht="22.35" hidden="false" customHeight="false" outlineLevel="0" collapsed="false">
      <c r="A1665" s="11" t="s">
        <v>1874</v>
      </c>
      <c r="B1665" s="11" t="s">
        <v>1875</v>
      </c>
      <c r="C1665" s="11" t="s">
        <v>929</v>
      </c>
      <c r="D1665" s="11" t="s">
        <v>930</v>
      </c>
      <c r="E1665" s="11" t="s">
        <v>44</v>
      </c>
      <c r="F1665" s="12" t="n">
        <v>0.126</v>
      </c>
      <c r="G1665" s="13" t="n">
        <v>1950</v>
      </c>
      <c r="H1665" s="13" t="n">
        <v>1950</v>
      </c>
      <c r="I1665" s="13" t="n">
        <v>0</v>
      </c>
      <c r="J1665" s="11" t="n">
        <v>2023</v>
      </c>
      <c r="K1665" s="11" t="s">
        <v>19</v>
      </c>
      <c r="L1665" s="11" t="s">
        <v>1504</v>
      </c>
    </row>
    <row r="1666" customFormat="false" ht="15" hidden="false" customHeight="false" outlineLevel="0" collapsed="false">
      <c r="A1666" s="7" t="s">
        <v>1876</v>
      </c>
      <c r="B1666" s="7" t="s">
        <v>1877</v>
      </c>
      <c r="C1666" s="7" t="s">
        <v>929</v>
      </c>
      <c r="D1666" s="7" t="s">
        <v>930</v>
      </c>
      <c r="E1666" s="7" t="s">
        <v>44</v>
      </c>
      <c r="F1666" s="8" t="n">
        <v>0.253</v>
      </c>
      <c r="G1666" s="9" t="n">
        <v>2000</v>
      </c>
      <c r="H1666" s="9" t="n">
        <v>0</v>
      </c>
      <c r="I1666" s="9" t="n">
        <v>0</v>
      </c>
      <c r="J1666" s="7" t="n">
        <v>2026</v>
      </c>
      <c r="K1666" s="7" t="s">
        <v>19</v>
      </c>
      <c r="L1666" s="7" t="s">
        <v>1492</v>
      </c>
    </row>
    <row r="1667" customFormat="false" ht="22.35" hidden="false" customHeight="false" outlineLevel="0" collapsed="false">
      <c r="A1667" s="11" t="s">
        <v>1878</v>
      </c>
      <c r="B1667" s="11" t="s">
        <v>1879</v>
      </c>
      <c r="C1667" s="11" t="s">
        <v>15</v>
      </c>
      <c r="D1667" s="11" t="s">
        <v>16</v>
      </c>
      <c r="E1667" s="11" t="s">
        <v>44</v>
      </c>
      <c r="F1667" s="12" t="n">
        <v>0.144</v>
      </c>
      <c r="G1667" s="13" t="n">
        <v>2000</v>
      </c>
      <c r="H1667" s="13" t="n">
        <v>2000</v>
      </c>
      <c r="I1667" s="13" t="n">
        <v>0</v>
      </c>
      <c r="J1667" s="11" t="n">
        <v>2021</v>
      </c>
      <c r="K1667" s="11" t="s">
        <v>19</v>
      </c>
      <c r="L1667" s="11" t="s">
        <v>1513</v>
      </c>
    </row>
    <row r="1668" customFormat="false" ht="22.35" hidden="false" customHeight="false" outlineLevel="0" collapsed="false">
      <c r="A1668" s="11" t="s">
        <v>1880</v>
      </c>
      <c r="B1668" s="11" t="s">
        <v>1881</v>
      </c>
      <c r="C1668" s="11" t="s">
        <v>929</v>
      </c>
      <c r="D1668" s="11" t="s">
        <v>930</v>
      </c>
      <c r="E1668" s="11" t="s">
        <v>1065</v>
      </c>
      <c r="F1668" s="12" t="n">
        <v>0.5</v>
      </c>
      <c r="G1668" s="13" t="n">
        <v>2000</v>
      </c>
      <c r="H1668" s="13" t="n">
        <v>2000</v>
      </c>
      <c r="I1668" s="13" t="n">
        <v>0</v>
      </c>
      <c r="J1668" s="11" t="n">
        <v>2021</v>
      </c>
      <c r="K1668" s="11" t="s">
        <v>19</v>
      </c>
      <c r="L1668" s="11" t="s">
        <v>1513</v>
      </c>
    </row>
    <row r="1669" customFormat="false" ht="22.35" hidden="false" customHeight="false" outlineLevel="0" collapsed="false">
      <c r="A1669" s="11" t="s">
        <v>1882</v>
      </c>
      <c r="B1669" s="11" t="s">
        <v>1883</v>
      </c>
      <c r="C1669" s="11" t="s">
        <v>929</v>
      </c>
      <c r="D1669" s="11" t="s">
        <v>930</v>
      </c>
      <c r="E1669" s="11" t="s">
        <v>44</v>
      </c>
      <c r="F1669" s="12" t="n">
        <v>0.5</v>
      </c>
      <c r="G1669" s="13" t="n">
        <v>2000</v>
      </c>
      <c r="H1669" s="13" t="n">
        <v>2000</v>
      </c>
      <c r="I1669" s="13" t="n">
        <v>0</v>
      </c>
      <c r="J1669" s="11" t="n">
        <v>2021</v>
      </c>
      <c r="K1669" s="11" t="s">
        <v>19</v>
      </c>
      <c r="L1669" s="11" t="s">
        <v>1513</v>
      </c>
    </row>
    <row r="1670" customFormat="false" ht="22.35" hidden="false" customHeight="false" outlineLevel="0" collapsed="false">
      <c r="A1670" s="11" t="s">
        <v>1884</v>
      </c>
      <c r="B1670" s="11" t="s">
        <v>1885</v>
      </c>
      <c r="C1670" s="11" t="s">
        <v>15</v>
      </c>
      <c r="D1670" s="11" t="s">
        <v>16</v>
      </c>
      <c r="E1670" s="11" t="s">
        <v>17</v>
      </c>
      <c r="F1670" s="12" t="n">
        <v>3.37</v>
      </c>
      <c r="G1670" s="13" t="n">
        <v>2028.37</v>
      </c>
      <c r="H1670" s="13" t="n">
        <v>2028.37</v>
      </c>
      <c r="I1670" s="13" t="n">
        <v>0</v>
      </c>
      <c r="J1670" s="11" t="n">
        <v>2022</v>
      </c>
      <c r="K1670" s="11" t="s">
        <v>19</v>
      </c>
      <c r="L1670" s="11" t="s">
        <v>1495</v>
      </c>
    </row>
    <row r="1671" customFormat="false" ht="22.35" hidden="false" customHeight="false" outlineLevel="0" collapsed="false">
      <c r="A1671" s="11" t="s">
        <v>1886</v>
      </c>
      <c r="B1671" s="11" t="s">
        <v>1887</v>
      </c>
      <c r="C1671" s="11" t="s">
        <v>15</v>
      </c>
      <c r="D1671" s="11" t="s">
        <v>16</v>
      </c>
      <c r="E1671" s="11" t="s">
        <v>17</v>
      </c>
      <c r="F1671" s="12" t="n">
        <v>1.74</v>
      </c>
      <c r="G1671" s="13" t="n">
        <v>2084.146</v>
      </c>
      <c r="H1671" s="13" t="n">
        <v>2084.146</v>
      </c>
      <c r="I1671" s="13" t="n">
        <v>0</v>
      </c>
      <c r="J1671" s="11" t="n">
        <v>2023</v>
      </c>
      <c r="K1671" s="11" t="s">
        <v>19</v>
      </c>
      <c r="L1671" s="11" t="s">
        <v>1504</v>
      </c>
    </row>
    <row r="1672" customFormat="false" ht="22.35" hidden="false" customHeight="false" outlineLevel="0" collapsed="false">
      <c r="A1672" s="11" t="s">
        <v>1888</v>
      </c>
      <c r="B1672" s="11" t="s">
        <v>1889</v>
      </c>
      <c r="C1672" s="11" t="s">
        <v>929</v>
      </c>
      <c r="D1672" s="11" t="s">
        <v>930</v>
      </c>
      <c r="E1672" s="11" t="s">
        <v>44</v>
      </c>
      <c r="F1672" s="12" t="n">
        <v>0.26</v>
      </c>
      <c r="G1672" s="13" t="n">
        <v>2127</v>
      </c>
      <c r="H1672" s="13" t="n">
        <v>2127</v>
      </c>
      <c r="I1672" s="13" t="n">
        <v>0</v>
      </c>
      <c r="J1672" s="11" t="n">
        <v>2022</v>
      </c>
      <c r="K1672" s="11" t="s">
        <v>19</v>
      </c>
      <c r="L1672" s="11" t="s">
        <v>1495</v>
      </c>
    </row>
    <row r="1673" customFormat="false" ht="22.35" hidden="false" customHeight="false" outlineLevel="0" collapsed="false">
      <c r="A1673" s="11" t="s">
        <v>1890</v>
      </c>
      <c r="B1673" s="11" t="s">
        <v>1891</v>
      </c>
      <c r="C1673" s="11" t="s">
        <v>929</v>
      </c>
      <c r="D1673" s="11" t="s">
        <v>930</v>
      </c>
      <c r="E1673" s="11" t="s">
        <v>44</v>
      </c>
      <c r="F1673" s="12" t="n">
        <v>0.11</v>
      </c>
      <c r="G1673" s="13" t="n">
        <v>2127</v>
      </c>
      <c r="H1673" s="13" t="n">
        <v>2127</v>
      </c>
      <c r="I1673" s="13" t="n">
        <v>0</v>
      </c>
      <c r="J1673" s="11" t="n">
        <v>2022</v>
      </c>
      <c r="K1673" s="11" t="s">
        <v>19</v>
      </c>
      <c r="L1673" s="11" t="s">
        <v>1495</v>
      </c>
    </row>
    <row r="1674" customFormat="false" ht="22.35" hidden="false" customHeight="false" outlineLevel="0" collapsed="false">
      <c r="A1674" s="11" t="s">
        <v>1892</v>
      </c>
      <c r="B1674" s="11" t="s">
        <v>1893</v>
      </c>
      <c r="C1674" s="11" t="s">
        <v>15</v>
      </c>
      <c r="D1674" s="11" t="s">
        <v>16</v>
      </c>
      <c r="E1674" s="11" t="s">
        <v>44</v>
      </c>
      <c r="F1674" s="12" t="n">
        <v>0.1554</v>
      </c>
      <c r="G1674" s="13" t="n">
        <v>2145</v>
      </c>
      <c r="H1674" s="13" t="n">
        <v>2145</v>
      </c>
      <c r="I1674" s="13" t="n">
        <v>0</v>
      </c>
      <c r="J1674" s="11" t="n">
        <v>2022</v>
      </c>
      <c r="K1674" s="11" t="s">
        <v>19</v>
      </c>
      <c r="L1674" s="11" t="s">
        <v>1495</v>
      </c>
    </row>
    <row r="1675" customFormat="false" ht="15" hidden="false" customHeight="false" outlineLevel="0" collapsed="false">
      <c r="A1675" s="4" t="s">
        <v>1894</v>
      </c>
      <c r="B1675" s="4" t="s">
        <v>1895</v>
      </c>
      <c r="C1675" s="4" t="s">
        <v>929</v>
      </c>
      <c r="D1675" s="4" t="s">
        <v>930</v>
      </c>
      <c r="E1675" s="4" t="s">
        <v>44</v>
      </c>
      <c r="F1675" s="5" t="n">
        <v>2.625</v>
      </c>
      <c r="G1675" s="6" t="n">
        <v>2208</v>
      </c>
      <c r="H1675" s="6" t="n">
        <v>0</v>
      </c>
      <c r="I1675" s="6" t="n">
        <v>0</v>
      </c>
      <c r="J1675" s="4" t="n">
        <v>2026</v>
      </c>
      <c r="K1675" s="10" t="s">
        <v>1284</v>
      </c>
      <c r="L1675" s="4" t="s">
        <v>1492</v>
      </c>
    </row>
    <row r="1676" customFormat="false" ht="22.35" hidden="false" customHeight="false" outlineLevel="0" collapsed="false">
      <c r="A1676" s="11" t="s">
        <v>1896</v>
      </c>
      <c r="B1676" s="11" t="s">
        <v>1897</v>
      </c>
      <c r="C1676" s="11" t="s">
        <v>15</v>
      </c>
      <c r="D1676" s="11" t="s">
        <v>16</v>
      </c>
      <c r="E1676" s="11" t="s">
        <v>17</v>
      </c>
      <c r="F1676" s="12" t="n">
        <v>5.4</v>
      </c>
      <c r="G1676" s="13" t="n">
        <v>2324.76</v>
      </c>
      <c r="H1676" s="13" t="n">
        <v>2324.76</v>
      </c>
      <c r="I1676" s="13" t="n">
        <v>0</v>
      </c>
      <c r="J1676" s="11" t="n">
        <v>2022</v>
      </c>
      <c r="K1676" s="11" t="s">
        <v>19</v>
      </c>
      <c r="L1676" s="11" t="s">
        <v>1495</v>
      </c>
    </row>
    <row r="1677" customFormat="false" ht="22.35" hidden="false" customHeight="false" outlineLevel="0" collapsed="false">
      <c r="A1677" s="11" t="s">
        <v>1898</v>
      </c>
      <c r="B1677" s="11" t="s">
        <v>1615</v>
      </c>
      <c r="C1677" s="11" t="s">
        <v>15</v>
      </c>
      <c r="D1677" s="11" t="s">
        <v>16</v>
      </c>
      <c r="E1677" s="11" t="s">
        <v>17</v>
      </c>
      <c r="F1677" s="12" t="n">
        <v>4.538</v>
      </c>
      <c r="G1677" s="13" t="n">
        <v>2772.69</v>
      </c>
      <c r="H1677" s="13" t="n">
        <v>2772.69</v>
      </c>
      <c r="I1677" s="13" t="n">
        <v>0</v>
      </c>
      <c r="J1677" s="11" t="n">
        <v>2023</v>
      </c>
      <c r="K1677" s="11" t="s">
        <v>19</v>
      </c>
      <c r="L1677" s="11" t="s">
        <v>1504</v>
      </c>
    </row>
    <row r="1678" customFormat="false" ht="22.35" hidden="false" customHeight="false" outlineLevel="0" collapsed="false">
      <c r="A1678" s="11" t="s">
        <v>1899</v>
      </c>
      <c r="B1678" s="11" t="s">
        <v>1900</v>
      </c>
      <c r="C1678" s="11" t="s">
        <v>15</v>
      </c>
      <c r="D1678" s="11" t="s">
        <v>16</v>
      </c>
      <c r="E1678" s="11" t="s">
        <v>17</v>
      </c>
      <c r="F1678" s="12" t="n">
        <v>4.2701</v>
      </c>
      <c r="G1678" s="13" t="n">
        <v>2791.97</v>
      </c>
      <c r="H1678" s="13" t="n">
        <v>2791.97</v>
      </c>
      <c r="I1678" s="13" t="n">
        <v>0</v>
      </c>
      <c r="J1678" s="11" t="n">
        <v>2022</v>
      </c>
      <c r="K1678" s="11" t="s">
        <v>19</v>
      </c>
      <c r="L1678" s="11" t="s">
        <v>1495</v>
      </c>
    </row>
    <row r="1679" customFormat="false" ht="22.35" hidden="false" customHeight="false" outlineLevel="0" collapsed="false">
      <c r="A1679" s="11" t="s">
        <v>1901</v>
      </c>
      <c r="B1679" s="11" t="s">
        <v>1902</v>
      </c>
      <c r="C1679" s="11" t="s">
        <v>15</v>
      </c>
      <c r="D1679" s="11" t="s">
        <v>16</v>
      </c>
      <c r="E1679" s="11" t="s">
        <v>17</v>
      </c>
      <c r="F1679" s="12" t="n">
        <v>6.9</v>
      </c>
      <c r="G1679" s="13" t="n">
        <v>2851.67</v>
      </c>
      <c r="H1679" s="13" t="n">
        <v>2851.67</v>
      </c>
      <c r="I1679" s="13" t="n">
        <v>0</v>
      </c>
      <c r="J1679" s="11" t="n">
        <v>2022</v>
      </c>
      <c r="K1679" s="11" t="s">
        <v>19</v>
      </c>
      <c r="L1679" s="11" t="s">
        <v>1495</v>
      </c>
    </row>
    <row r="1680" customFormat="false" ht="22.35" hidden="false" customHeight="false" outlineLevel="0" collapsed="false">
      <c r="A1680" s="11" t="s">
        <v>1903</v>
      </c>
      <c r="B1680" s="11" t="s">
        <v>1904</v>
      </c>
      <c r="C1680" s="11" t="s">
        <v>15</v>
      </c>
      <c r="D1680" s="11" t="s">
        <v>16</v>
      </c>
      <c r="E1680" s="11" t="s">
        <v>44</v>
      </c>
      <c r="F1680" s="12" t="n">
        <v>3.88</v>
      </c>
      <c r="G1680" s="13" t="n">
        <v>3081.54</v>
      </c>
      <c r="H1680" s="13" t="n">
        <v>3081.54</v>
      </c>
      <c r="I1680" s="13" t="n">
        <v>0</v>
      </c>
      <c r="J1680" s="11" t="n">
        <v>2023</v>
      </c>
      <c r="K1680" s="11" t="s">
        <v>19</v>
      </c>
      <c r="L1680" s="11" t="s">
        <v>1504</v>
      </c>
    </row>
    <row r="1681" customFormat="false" ht="22.35" hidden="false" customHeight="false" outlineLevel="0" collapsed="false">
      <c r="A1681" s="11" t="s">
        <v>1905</v>
      </c>
      <c r="B1681" s="11" t="s">
        <v>1906</v>
      </c>
      <c r="C1681" s="11" t="s">
        <v>15</v>
      </c>
      <c r="D1681" s="11" t="s">
        <v>16</v>
      </c>
      <c r="E1681" s="11" t="s">
        <v>44</v>
      </c>
      <c r="F1681" s="12" t="n">
        <v>3.267</v>
      </c>
      <c r="G1681" s="13" t="n">
        <v>3211.2588</v>
      </c>
      <c r="H1681" s="13" t="n">
        <v>3211.2588</v>
      </c>
      <c r="I1681" s="13" t="n">
        <v>0</v>
      </c>
      <c r="J1681" s="11" t="n">
        <v>2023</v>
      </c>
      <c r="K1681" s="11" t="s">
        <v>19</v>
      </c>
      <c r="L1681" s="11" t="s">
        <v>1504</v>
      </c>
    </row>
    <row r="1682" customFormat="false" ht="22.35" hidden="false" customHeight="false" outlineLevel="0" collapsed="false">
      <c r="A1682" s="11" t="s">
        <v>1907</v>
      </c>
      <c r="B1682" s="11" t="s">
        <v>1842</v>
      </c>
      <c r="C1682" s="11" t="s">
        <v>15</v>
      </c>
      <c r="D1682" s="11" t="s">
        <v>16</v>
      </c>
      <c r="E1682" s="11" t="s">
        <v>44</v>
      </c>
      <c r="F1682" s="12" t="n">
        <v>2.2052</v>
      </c>
      <c r="G1682" s="13" t="n">
        <v>3261.0628</v>
      </c>
      <c r="H1682" s="13" t="n">
        <v>3261.0628</v>
      </c>
      <c r="I1682" s="13" t="n">
        <v>0</v>
      </c>
      <c r="J1682" s="11" t="n">
        <v>2023</v>
      </c>
      <c r="K1682" s="11" t="s">
        <v>19</v>
      </c>
      <c r="L1682" s="11" t="s">
        <v>1504</v>
      </c>
    </row>
    <row r="1683" customFormat="false" ht="22.35" hidden="false" customHeight="false" outlineLevel="0" collapsed="false">
      <c r="A1683" s="11" t="s">
        <v>1908</v>
      </c>
      <c r="B1683" s="11" t="s">
        <v>1619</v>
      </c>
      <c r="C1683" s="11" t="s">
        <v>15</v>
      </c>
      <c r="D1683" s="11" t="s">
        <v>16</v>
      </c>
      <c r="E1683" s="11" t="s">
        <v>17</v>
      </c>
      <c r="F1683" s="12" t="n">
        <v>1.17</v>
      </c>
      <c r="G1683" s="13" t="n">
        <v>3409.02</v>
      </c>
      <c r="H1683" s="13" t="n">
        <v>3409.02</v>
      </c>
      <c r="I1683" s="13" t="n">
        <v>0</v>
      </c>
      <c r="J1683" s="11" t="n">
        <v>2021</v>
      </c>
      <c r="K1683" s="11" t="s">
        <v>19</v>
      </c>
      <c r="L1683" s="11" t="s">
        <v>1513</v>
      </c>
    </row>
    <row r="1684" customFormat="false" ht="22.35" hidden="false" customHeight="false" outlineLevel="0" collapsed="false">
      <c r="A1684" s="11" t="s">
        <v>1909</v>
      </c>
      <c r="B1684" s="11" t="s">
        <v>1615</v>
      </c>
      <c r="C1684" s="11" t="s">
        <v>15</v>
      </c>
      <c r="D1684" s="11" t="s">
        <v>16</v>
      </c>
      <c r="E1684" s="11" t="s">
        <v>44</v>
      </c>
      <c r="F1684" s="12" t="n">
        <v>3.98</v>
      </c>
      <c r="G1684" s="13" t="n">
        <v>3566.35</v>
      </c>
      <c r="H1684" s="13" t="n">
        <v>1488.32</v>
      </c>
      <c r="I1684" s="13" t="n">
        <v>0</v>
      </c>
      <c r="J1684" s="11" t="n">
        <v>2026</v>
      </c>
      <c r="K1684" s="11" t="s">
        <v>19</v>
      </c>
      <c r="L1684" s="11" t="s">
        <v>1538</v>
      </c>
    </row>
    <row r="1685" customFormat="false" ht="22.35" hidden="false" customHeight="false" outlineLevel="0" collapsed="false">
      <c r="A1685" s="11" t="s">
        <v>1910</v>
      </c>
      <c r="B1685" s="11" t="s">
        <v>1911</v>
      </c>
      <c r="C1685" s="11" t="s">
        <v>929</v>
      </c>
      <c r="D1685" s="11" t="s">
        <v>930</v>
      </c>
      <c r="E1685" s="11" t="s">
        <v>44</v>
      </c>
      <c r="F1685" s="12" t="n">
        <v>0.11</v>
      </c>
      <c r="G1685" s="13" t="n">
        <v>3579</v>
      </c>
      <c r="H1685" s="13" t="n">
        <v>3579</v>
      </c>
      <c r="I1685" s="13" t="n">
        <v>0</v>
      </c>
      <c r="J1685" s="11" t="n">
        <v>2022</v>
      </c>
      <c r="K1685" s="11" t="s">
        <v>19</v>
      </c>
      <c r="L1685" s="11" t="s">
        <v>1495</v>
      </c>
    </row>
    <row r="1686" customFormat="false" ht="22.35" hidden="false" customHeight="false" outlineLevel="0" collapsed="false">
      <c r="A1686" s="11" t="s">
        <v>1912</v>
      </c>
      <c r="B1686" s="11" t="s">
        <v>1913</v>
      </c>
      <c r="C1686" s="11" t="s">
        <v>15</v>
      </c>
      <c r="D1686" s="11" t="s">
        <v>16</v>
      </c>
      <c r="E1686" s="11" t="s">
        <v>44</v>
      </c>
      <c r="F1686" s="12" t="n">
        <v>0.53</v>
      </c>
      <c r="G1686" s="13" t="n">
        <v>3769.12</v>
      </c>
      <c r="H1686" s="13" t="n">
        <v>3769.12</v>
      </c>
      <c r="I1686" s="13" t="n">
        <v>0</v>
      </c>
      <c r="J1686" s="11" t="n">
        <v>2023</v>
      </c>
      <c r="K1686" s="11" t="s">
        <v>19</v>
      </c>
      <c r="L1686" s="11" t="s">
        <v>1504</v>
      </c>
    </row>
    <row r="1687" customFormat="false" ht="22.35" hidden="false" customHeight="false" outlineLevel="0" collapsed="false">
      <c r="A1687" s="11" t="s">
        <v>1914</v>
      </c>
      <c r="B1687" s="11" t="s">
        <v>1915</v>
      </c>
      <c r="C1687" s="11" t="s">
        <v>15</v>
      </c>
      <c r="D1687" s="11" t="s">
        <v>16</v>
      </c>
      <c r="E1687" s="11" t="s">
        <v>44</v>
      </c>
      <c r="F1687" s="12" t="n">
        <v>0.139</v>
      </c>
      <c r="G1687" s="13" t="n">
        <v>3954</v>
      </c>
      <c r="H1687" s="13" t="n">
        <v>3954</v>
      </c>
      <c r="I1687" s="13" t="n">
        <v>0</v>
      </c>
      <c r="J1687" s="11" t="n">
        <v>2021</v>
      </c>
      <c r="K1687" s="11" t="s">
        <v>19</v>
      </c>
      <c r="L1687" s="11" t="s">
        <v>1513</v>
      </c>
    </row>
    <row r="1688" customFormat="false" ht="22.35" hidden="false" customHeight="false" outlineLevel="0" collapsed="false">
      <c r="A1688" s="11" t="s">
        <v>1916</v>
      </c>
      <c r="B1688" s="11" t="s">
        <v>1917</v>
      </c>
      <c r="C1688" s="11" t="s">
        <v>15</v>
      </c>
      <c r="D1688" s="11" t="s">
        <v>16</v>
      </c>
      <c r="E1688" s="11" t="s">
        <v>17</v>
      </c>
      <c r="F1688" s="12" t="n">
        <v>12.93</v>
      </c>
      <c r="G1688" s="13" t="n">
        <v>4123.01</v>
      </c>
      <c r="H1688" s="13" t="n">
        <v>4123.01</v>
      </c>
      <c r="I1688" s="13" t="n">
        <v>0</v>
      </c>
      <c r="J1688" s="11" t="n">
        <v>2021</v>
      </c>
      <c r="K1688" s="11" t="s">
        <v>19</v>
      </c>
      <c r="L1688" s="11" t="s">
        <v>1513</v>
      </c>
    </row>
    <row r="1689" customFormat="false" ht="22.35" hidden="false" customHeight="false" outlineLevel="0" collapsed="false">
      <c r="A1689" s="11" t="s">
        <v>1918</v>
      </c>
      <c r="B1689" s="11" t="s">
        <v>1919</v>
      </c>
      <c r="C1689" s="11" t="s">
        <v>15</v>
      </c>
      <c r="D1689" s="11" t="s">
        <v>16</v>
      </c>
      <c r="E1689" s="11" t="s">
        <v>17</v>
      </c>
      <c r="F1689" s="12" t="n">
        <v>1.59</v>
      </c>
      <c r="G1689" s="13" t="n">
        <v>4458.81</v>
      </c>
      <c r="H1689" s="13" t="n">
        <v>4458.81</v>
      </c>
      <c r="I1689" s="13" t="n">
        <v>0</v>
      </c>
      <c r="J1689" s="11" t="n">
        <v>2023</v>
      </c>
      <c r="K1689" s="11" t="s">
        <v>19</v>
      </c>
      <c r="L1689" s="11" t="s">
        <v>1504</v>
      </c>
    </row>
    <row r="1690" customFormat="false" ht="22.35" hidden="false" customHeight="false" outlineLevel="0" collapsed="false">
      <c r="A1690" s="11" t="s">
        <v>1920</v>
      </c>
      <c r="B1690" s="11" t="s">
        <v>1661</v>
      </c>
      <c r="C1690" s="11" t="s">
        <v>15</v>
      </c>
      <c r="D1690" s="11" t="s">
        <v>16</v>
      </c>
      <c r="E1690" s="11" t="s">
        <v>17</v>
      </c>
      <c r="F1690" s="12" t="n">
        <v>2.31</v>
      </c>
      <c r="G1690" s="13" t="n">
        <v>4485.74</v>
      </c>
      <c r="H1690" s="13" t="n">
        <v>4485.74</v>
      </c>
      <c r="I1690" s="13" t="n">
        <v>0</v>
      </c>
      <c r="J1690" s="11" t="n">
        <v>2022</v>
      </c>
      <c r="K1690" s="11" t="s">
        <v>19</v>
      </c>
      <c r="L1690" s="11" t="s">
        <v>1495</v>
      </c>
    </row>
    <row r="1691" customFormat="false" ht="22.35" hidden="false" customHeight="false" outlineLevel="0" collapsed="false">
      <c r="A1691" s="11" t="s">
        <v>1921</v>
      </c>
      <c r="B1691" s="11" t="s">
        <v>1922</v>
      </c>
      <c r="C1691" s="11" t="s">
        <v>929</v>
      </c>
      <c r="D1691" s="11" t="s">
        <v>930</v>
      </c>
      <c r="E1691" s="11" t="s">
        <v>44</v>
      </c>
      <c r="F1691" s="12" t="n">
        <v>0.05</v>
      </c>
      <c r="G1691" s="13" t="n">
        <v>5924</v>
      </c>
      <c r="H1691" s="13" t="n">
        <v>5924</v>
      </c>
      <c r="I1691" s="13" t="n">
        <v>0</v>
      </c>
      <c r="J1691" s="11" t="n">
        <v>2021</v>
      </c>
      <c r="K1691" s="11" t="s">
        <v>19</v>
      </c>
      <c r="L1691" s="11" t="s">
        <v>1513</v>
      </c>
    </row>
    <row r="1692" customFormat="false" ht="22.35" hidden="false" customHeight="false" outlineLevel="0" collapsed="false">
      <c r="A1692" s="11" t="s">
        <v>1923</v>
      </c>
      <c r="B1692" s="11" t="s">
        <v>1924</v>
      </c>
      <c r="C1692" s="11" t="s">
        <v>929</v>
      </c>
      <c r="D1692" s="11" t="s">
        <v>930</v>
      </c>
      <c r="E1692" s="11" t="s">
        <v>44</v>
      </c>
      <c r="F1692" s="12" t="n">
        <v>0.22</v>
      </c>
      <c r="G1692" s="13" t="n">
        <v>5949</v>
      </c>
      <c r="H1692" s="13" t="n">
        <v>5949</v>
      </c>
      <c r="I1692" s="13" t="n">
        <v>0</v>
      </c>
      <c r="J1692" s="11" t="n">
        <v>2021</v>
      </c>
      <c r="K1692" s="11" t="s">
        <v>19</v>
      </c>
      <c r="L1692" s="11" t="s">
        <v>1513</v>
      </c>
    </row>
    <row r="1693" customFormat="false" ht="22.35" hidden="false" customHeight="false" outlineLevel="0" collapsed="false">
      <c r="A1693" s="11" t="s">
        <v>1925</v>
      </c>
      <c r="B1693" s="11" t="s">
        <v>1926</v>
      </c>
      <c r="C1693" s="11" t="s">
        <v>15</v>
      </c>
      <c r="D1693" s="11" t="s">
        <v>16</v>
      </c>
      <c r="E1693" s="11" t="s">
        <v>17</v>
      </c>
      <c r="F1693" s="12" t="n">
        <v>5.26</v>
      </c>
      <c r="G1693" s="13" t="n">
        <v>5950.4</v>
      </c>
      <c r="H1693" s="13" t="n">
        <v>5950.4</v>
      </c>
      <c r="I1693" s="13" t="n">
        <v>0</v>
      </c>
      <c r="J1693" s="11" t="n">
        <v>2022</v>
      </c>
      <c r="K1693" s="11" t="s">
        <v>19</v>
      </c>
      <c r="L1693" s="11" t="s">
        <v>1495</v>
      </c>
    </row>
    <row r="1694" customFormat="false" ht="22.35" hidden="false" customHeight="false" outlineLevel="0" collapsed="false">
      <c r="A1694" s="11" t="s">
        <v>1927</v>
      </c>
      <c r="B1694" s="11" t="s">
        <v>1928</v>
      </c>
      <c r="C1694" s="11" t="s">
        <v>929</v>
      </c>
      <c r="D1694" s="11" t="s">
        <v>930</v>
      </c>
      <c r="E1694" s="11" t="s">
        <v>44</v>
      </c>
      <c r="F1694" s="12" t="n">
        <v>0.96</v>
      </c>
      <c r="G1694" s="13" t="n">
        <v>5955</v>
      </c>
      <c r="H1694" s="13" t="n">
        <v>5955</v>
      </c>
      <c r="I1694" s="13" t="n">
        <v>0</v>
      </c>
      <c r="J1694" s="11" t="n">
        <v>2021</v>
      </c>
      <c r="K1694" s="11" t="s">
        <v>19</v>
      </c>
      <c r="L1694" s="11" t="s">
        <v>1513</v>
      </c>
    </row>
    <row r="1695" customFormat="false" ht="22.35" hidden="false" customHeight="false" outlineLevel="0" collapsed="false">
      <c r="A1695" s="11" t="s">
        <v>1929</v>
      </c>
      <c r="B1695" s="11" t="s">
        <v>1930</v>
      </c>
      <c r="C1695" s="11" t="s">
        <v>15</v>
      </c>
      <c r="D1695" s="11" t="s">
        <v>16</v>
      </c>
      <c r="E1695" s="11" t="s">
        <v>44</v>
      </c>
      <c r="F1695" s="12" t="n">
        <v>0.19</v>
      </c>
      <c r="G1695" s="13" t="n">
        <v>6012</v>
      </c>
      <c r="H1695" s="13" t="n">
        <v>6012</v>
      </c>
      <c r="I1695" s="13" t="n">
        <v>0</v>
      </c>
      <c r="J1695" s="11" t="n">
        <v>2021</v>
      </c>
      <c r="K1695" s="11" t="s">
        <v>19</v>
      </c>
      <c r="L1695" s="11" t="s">
        <v>1513</v>
      </c>
    </row>
    <row r="1696" customFormat="false" ht="22.35" hidden="false" customHeight="false" outlineLevel="0" collapsed="false">
      <c r="A1696" s="11" t="s">
        <v>1931</v>
      </c>
      <c r="B1696" s="11" t="s">
        <v>1932</v>
      </c>
      <c r="C1696" s="11" t="s">
        <v>15</v>
      </c>
      <c r="D1696" s="11" t="s">
        <v>16</v>
      </c>
      <c r="E1696" s="11" t="s">
        <v>44</v>
      </c>
      <c r="F1696" s="12" t="n">
        <v>0.139</v>
      </c>
      <c r="G1696" s="13" t="n">
        <v>6034</v>
      </c>
      <c r="H1696" s="13" t="n">
        <v>6034</v>
      </c>
      <c r="I1696" s="13" t="n">
        <v>0</v>
      </c>
      <c r="J1696" s="11" t="n">
        <v>2022</v>
      </c>
      <c r="K1696" s="11" t="s">
        <v>19</v>
      </c>
      <c r="L1696" s="11" t="s">
        <v>1495</v>
      </c>
    </row>
    <row r="1697" customFormat="false" ht="22.35" hidden="false" customHeight="false" outlineLevel="0" collapsed="false">
      <c r="A1697" s="11" t="s">
        <v>1933</v>
      </c>
      <c r="B1697" s="11" t="s">
        <v>1848</v>
      </c>
      <c r="C1697" s="11" t="s">
        <v>15</v>
      </c>
      <c r="D1697" s="11" t="s">
        <v>16</v>
      </c>
      <c r="E1697" s="11" t="s">
        <v>17</v>
      </c>
      <c r="F1697" s="12" t="n">
        <v>2.44</v>
      </c>
      <c r="G1697" s="13" t="n">
        <v>6496</v>
      </c>
      <c r="H1697" s="13" t="n">
        <v>6496</v>
      </c>
      <c r="I1697" s="13" t="n">
        <v>0</v>
      </c>
      <c r="J1697" s="11" t="n">
        <v>2022</v>
      </c>
      <c r="K1697" s="11" t="s">
        <v>19</v>
      </c>
      <c r="L1697" s="11" t="s">
        <v>1495</v>
      </c>
    </row>
    <row r="1698" customFormat="false" ht="22.35" hidden="false" customHeight="false" outlineLevel="0" collapsed="false">
      <c r="A1698" s="11" t="s">
        <v>1934</v>
      </c>
      <c r="B1698" s="11" t="s">
        <v>1935</v>
      </c>
      <c r="C1698" s="11" t="s">
        <v>15</v>
      </c>
      <c r="D1698" s="11" t="s">
        <v>16</v>
      </c>
      <c r="E1698" s="11" t="s">
        <v>17</v>
      </c>
      <c r="F1698" s="12" t="n">
        <v>3.437</v>
      </c>
      <c r="G1698" s="13" t="n">
        <v>7668.35</v>
      </c>
      <c r="H1698" s="13" t="n">
        <v>7668.35</v>
      </c>
      <c r="I1698" s="13" t="n">
        <v>0</v>
      </c>
      <c r="J1698" s="11" t="n">
        <v>2023</v>
      </c>
      <c r="K1698" s="11" t="s">
        <v>19</v>
      </c>
      <c r="L1698" s="11" t="s">
        <v>1504</v>
      </c>
    </row>
    <row r="1699" customFormat="false" ht="22.35" hidden="false" customHeight="false" outlineLevel="0" collapsed="false">
      <c r="A1699" s="11" t="s">
        <v>1936</v>
      </c>
      <c r="B1699" s="11" t="s">
        <v>1785</v>
      </c>
      <c r="C1699" s="11" t="s">
        <v>15</v>
      </c>
      <c r="D1699" s="11" t="s">
        <v>16</v>
      </c>
      <c r="E1699" s="11" t="s">
        <v>17</v>
      </c>
      <c r="F1699" s="12" t="n">
        <v>6.24</v>
      </c>
      <c r="G1699" s="13" t="n">
        <v>7980.9</v>
      </c>
      <c r="H1699" s="13" t="n">
        <v>7980.9</v>
      </c>
      <c r="I1699" s="13" t="n">
        <v>0</v>
      </c>
      <c r="J1699" s="11" t="n">
        <v>2021</v>
      </c>
      <c r="K1699" s="11" t="s">
        <v>19</v>
      </c>
      <c r="L1699" s="11" t="s">
        <v>1513</v>
      </c>
    </row>
    <row r="1700" customFormat="false" ht="22.35" hidden="false" customHeight="false" outlineLevel="0" collapsed="false">
      <c r="A1700" s="11" t="s">
        <v>1937</v>
      </c>
      <c r="B1700" s="11" t="s">
        <v>1938</v>
      </c>
      <c r="C1700" s="11" t="s">
        <v>15</v>
      </c>
      <c r="D1700" s="11" t="s">
        <v>16</v>
      </c>
      <c r="E1700" s="11" t="s">
        <v>488</v>
      </c>
      <c r="F1700" s="12" t="n">
        <v>4.02</v>
      </c>
      <c r="G1700" s="13" t="n">
        <v>8254.55</v>
      </c>
      <c r="H1700" s="13" t="n">
        <v>8254.55</v>
      </c>
      <c r="I1700" s="13" t="n">
        <v>0</v>
      </c>
      <c r="J1700" s="11" t="n">
        <v>2021</v>
      </c>
      <c r="K1700" s="11" t="s">
        <v>19</v>
      </c>
      <c r="L1700" s="11" t="s">
        <v>1513</v>
      </c>
    </row>
    <row r="1701" customFormat="false" ht="22.35" hidden="false" customHeight="false" outlineLevel="0" collapsed="false">
      <c r="A1701" s="11" t="s">
        <v>1939</v>
      </c>
      <c r="B1701" s="11" t="s">
        <v>1940</v>
      </c>
      <c r="C1701" s="11" t="s">
        <v>15</v>
      </c>
      <c r="D1701" s="11" t="s">
        <v>16</v>
      </c>
      <c r="E1701" s="11" t="s">
        <v>17</v>
      </c>
      <c r="F1701" s="12" t="n">
        <v>3.8</v>
      </c>
      <c r="G1701" s="13" t="n">
        <v>9359.71</v>
      </c>
      <c r="H1701" s="13" t="n">
        <v>9359.71</v>
      </c>
      <c r="I1701" s="13" t="n">
        <v>0</v>
      </c>
      <c r="J1701" s="11" t="n">
        <v>2021</v>
      </c>
      <c r="K1701" s="11" t="s">
        <v>19</v>
      </c>
      <c r="L1701" s="11" t="s">
        <v>1513</v>
      </c>
    </row>
    <row r="1702" customFormat="false" ht="22.35" hidden="false" customHeight="false" outlineLevel="0" collapsed="false">
      <c r="A1702" s="11" t="s">
        <v>1941</v>
      </c>
      <c r="B1702" s="11" t="s">
        <v>1942</v>
      </c>
      <c r="C1702" s="11" t="s">
        <v>15</v>
      </c>
      <c r="D1702" s="11" t="s">
        <v>16</v>
      </c>
      <c r="E1702" s="11" t="s">
        <v>17</v>
      </c>
      <c r="F1702" s="12" t="n">
        <v>2.32</v>
      </c>
      <c r="G1702" s="13" t="n">
        <v>11403.163</v>
      </c>
      <c r="H1702" s="13" t="n">
        <v>11403.163</v>
      </c>
      <c r="I1702" s="13" t="n">
        <v>0</v>
      </c>
      <c r="J1702" s="11" t="n">
        <v>2022</v>
      </c>
      <c r="K1702" s="11" t="s">
        <v>19</v>
      </c>
      <c r="L1702" s="11" t="s">
        <v>1495</v>
      </c>
    </row>
    <row r="1703" customFormat="false" ht="22.35" hidden="false" customHeight="false" outlineLevel="0" collapsed="false">
      <c r="A1703" s="11" t="s">
        <v>1943</v>
      </c>
      <c r="B1703" s="11" t="s">
        <v>1944</v>
      </c>
      <c r="C1703" s="11" t="s">
        <v>929</v>
      </c>
      <c r="D1703" s="11" t="s">
        <v>930</v>
      </c>
      <c r="E1703" s="11" t="s">
        <v>44</v>
      </c>
      <c r="F1703" s="12" t="n">
        <v>5.496</v>
      </c>
      <c r="G1703" s="13" t="n">
        <v>11860</v>
      </c>
      <c r="H1703" s="13" t="n">
        <v>11860</v>
      </c>
      <c r="I1703" s="13" t="n">
        <v>0</v>
      </c>
      <c r="J1703" s="11" t="n">
        <v>2023</v>
      </c>
      <c r="K1703" s="11" t="s">
        <v>19</v>
      </c>
      <c r="L1703" s="11" t="s">
        <v>1504</v>
      </c>
    </row>
    <row r="1704" customFormat="false" ht="22.35" hidden="false" customHeight="false" outlineLevel="0" collapsed="false">
      <c r="A1704" s="11" t="s">
        <v>1945</v>
      </c>
      <c r="B1704" s="11" t="s">
        <v>1531</v>
      </c>
      <c r="C1704" s="11" t="s">
        <v>15</v>
      </c>
      <c r="D1704" s="11" t="s">
        <v>16</v>
      </c>
      <c r="E1704" s="11" t="s">
        <v>17</v>
      </c>
      <c r="F1704" s="12" t="n">
        <v>2.17</v>
      </c>
      <c r="G1704" s="13" t="n">
        <v>11907.18</v>
      </c>
      <c r="H1704" s="13" t="n">
        <v>11907.18</v>
      </c>
      <c r="I1704" s="13" t="n">
        <v>0</v>
      </c>
      <c r="J1704" s="11" t="n">
        <v>2021</v>
      </c>
      <c r="K1704" s="11" t="s">
        <v>19</v>
      </c>
      <c r="L1704" s="11" t="s">
        <v>1513</v>
      </c>
    </row>
    <row r="1705" customFormat="false" ht="22.35" hidden="false" customHeight="false" outlineLevel="0" collapsed="false">
      <c r="A1705" s="11" t="s">
        <v>1946</v>
      </c>
      <c r="B1705" s="11" t="s">
        <v>1947</v>
      </c>
      <c r="C1705" s="11" t="s">
        <v>929</v>
      </c>
      <c r="D1705" s="11" t="s">
        <v>930</v>
      </c>
      <c r="E1705" s="11" t="s">
        <v>44</v>
      </c>
      <c r="F1705" s="12" t="n">
        <v>0.935</v>
      </c>
      <c r="G1705" s="13" t="n">
        <v>12721</v>
      </c>
      <c r="H1705" s="13" t="n">
        <v>12721</v>
      </c>
      <c r="I1705" s="13" t="n">
        <v>0</v>
      </c>
      <c r="J1705" s="11" t="n">
        <v>2022</v>
      </c>
      <c r="K1705" s="11" t="s">
        <v>19</v>
      </c>
      <c r="L1705" s="11" t="s">
        <v>1495</v>
      </c>
    </row>
    <row r="1706" customFormat="false" ht="22.35" hidden="false" customHeight="false" outlineLevel="0" collapsed="false">
      <c r="A1706" s="11" t="s">
        <v>1948</v>
      </c>
      <c r="B1706" s="11" t="s">
        <v>1949</v>
      </c>
      <c r="C1706" s="11" t="s">
        <v>15</v>
      </c>
      <c r="D1706" s="11" t="s">
        <v>16</v>
      </c>
      <c r="E1706" s="11" t="s">
        <v>44</v>
      </c>
      <c r="F1706" s="12" t="n">
        <v>0.139</v>
      </c>
      <c r="G1706" s="13" t="n">
        <v>13000</v>
      </c>
      <c r="H1706" s="13" t="n">
        <v>13000</v>
      </c>
      <c r="I1706" s="13" t="n">
        <v>0</v>
      </c>
      <c r="J1706" s="11" t="n">
        <v>2023</v>
      </c>
      <c r="K1706" s="11" t="s">
        <v>19</v>
      </c>
      <c r="L1706" s="11" t="s">
        <v>1504</v>
      </c>
    </row>
    <row r="1707" customFormat="false" ht="22.35" hidden="false" customHeight="false" outlineLevel="0" collapsed="false">
      <c r="A1707" s="11" t="s">
        <v>1950</v>
      </c>
      <c r="B1707" s="11" t="s">
        <v>1951</v>
      </c>
      <c r="C1707" s="11" t="s">
        <v>15</v>
      </c>
      <c r="D1707" s="11" t="s">
        <v>16</v>
      </c>
      <c r="E1707" s="11" t="s">
        <v>488</v>
      </c>
      <c r="F1707" s="12" t="n">
        <v>8.733</v>
      </c>
      <c r="G1707" s="13" t="n">
        <v>13205.4318</v>
      </c>
      <c r="H1707" s="13" t="n">
        <v>13205.4318</v>
      </c>
      <c r="I1707" s="13" t="n">
        <v>0</v>
      </c>
      <c r="J1707" s="11" t="n">
        <v>2022</v>
      </c>
      <c r="K1707" s="11" t="s">
        <v>19</v>
      </c>
      <c r="L1707" s="11" t="s">
        <v>1495</v>
      </c>
    </row>
    <row r="1708" customFormat="false" ht="22.35" hidden="false" customHeight="false" outlineLevel="0" collapsed="false">
      <c r="A1708" s="11" t="s">
        <v>1952</v>
      </c>
      <c r="B1708" s="11" t="s">
        <v>1953</v>
      </c>
      <c r="C1708" s="11" t="s">
        <v>15</v>
      </c>
      <c r="D1708" s="11" t="s">
        <v>16</v>
      </c>
      <c r="E1708" s="11" t="s">
        <v>17</v>
      </c>
      <c r="F1708" s="12" t="n">
        <v>2.5148</v>
      </c>
      <c r="G1708" s="13" t="n">
        <v>13722.14</v>
      </c>
      <c r="H1708" s="13" t="n">
        <v>13722.14</v>
      </c>
      <c r="I1708" s="13" t="n">
        <v>0</v>
      </c>
      <c r="J1708" s="11" t="n">
        <v>2022</v>
      </c>
      <c r="K1708" s="11" t="s">
        <v>19</v>
      </c>
      <c r="L1708" s="11" t="s">
        <v>1495</v>
      </c>
    </row>
    <row r="1709" customFormat="false" ht="22.35" hidden="false" customHeight="false" outlineLevel="0" collapsed="false">
      <c r="A1709" s="11" t="s">
        <v>1954</v>
      </c>
      <c r="B1709" s="11" t="s">
        <v>1955</v>
      </c>
      <c r="C1709" s="11" t="s">
        <v>15</v>
      </c>
      <c r="D1709" s="11" t="s">
        <v>16</v>
      </c>
      <c r="E1709" s="11" t="s">
        <v>17</v>
      </c>
      <c r="F1709" s="12" t="n">
        <v>2.09</v>
      </c>
      <c r="G1709" s="13" t="n">
        <v>14844.03</v>
      </c>
      <c r="H1709" s="13" t="n">
        <v>14844.03</v>
      </c>
      <c r="I1709" s="13" t="n">
        <v>0</v>
      </c>
      <c r="J1709" s="11" t="n">
        <v>2021</v>
      </c>
      <c r="K1709" s="11" t="s">
        <v>19</v>
      </c>
      <c r="L1709" s="11" t="s">
        <v>1513</v>
      </c>
    </row>
    <row r="1710" customFormat="false" ht="22.35" hidden="false" customHeight="false" outlineLevel="0" collapsed="false">
      <c r="A1710" s="11" t="s">
        <v>1956</v>
      </c>
      <c r="B1710" s="11" t="s">
        <v>1661</v>
      </c>
      <c r="C1710" s="11" t="s">
        <v>15</v>
      </c>
      <c r="D1710" s="11" t="s">
        <v>16</v>
      </c>
      <c r="E1710" s="11" t="s">
        <v>17</v>
      </c>
      <c r="F1710" s="12" t="n">
        <v>15.5525</v>
      </c>
      <c r="G1710" s="13" t="n">
        <v>15298.44</v>
      </c>
      <c r="H1710" s="13" t="n">
        <v>15298.44</v>
      </c>
      <c r="I1710" s="13" t="n">
        <v>0</v>
      </c>
      <c r="J1710" s="11" t="n">
        <v>2023</v>
      </c>
      <c r="K1710" s="11" t="s">
        <v>19</v>
      </c>
      <c r="L1710" s="11" t="s">
        <v>1504</v>
      </c>
    </row>
    <row r="1711" customFormat="false" ht="22.35" hidden="false" customHeight="false" outlineLevel="0" collapsed="false">
      <c r="A1711" s="11" t="s">
        <v>1957</v>
      </c>
      <c r="B1711" s="11" t="s">
        <v>1958</v>
      </c>
      <c r="C1711" s="11" t="s">
        <v>15</v>
      </c>
      <c r="D1711" s="11" t="s">
        <v>16</v>
      </c>
      <c r="E1711" s="11" t="s">
        <v>17</v>
      </c>
      <c r="F1711" s="12" t="n">
        <v>2.08</v>
      </c>
      <c r="G1711" s="13" t="n">
        <v>15969.22</v>
      </c>
      <c r="H1711" s="13" t="n">
        <v>15969.22</v>
      </c>
      <c r="I1711" s="13" t="n">
        <v>0</v>
      </c>
      <c r="J1711" s="11" t="n">
        <v>2022</v>
      </c>
      <c r="K1711" s="11" t="s">
        <v>19</v>
      </c>
      <c r="L1711" s="11" t="s">
        <v>1495</v>
      </c>
    </row>
    <row r="1712" customFormat="false" ht="22.35" hidden="false" customHeight="false" outlineLevel="0" collapsed="false">
      <c r="A1712" s="11" t="s">
        <v>1959</v>
      </c>
      <c r="B1712" s="11" t="s">
        <v>1869</v>
      </c>
      <c r="C1712" s="11" t="s">
        <v>15</v>
      </c>
      <c r="D1712" s="11" t="s">
        <v>16</v>
      </c>
      <c r="E1712" s="11" t="s">
        <v>17</v>
      </c>
      <c r="F1712" s="12" t="n">
        <v>2.44</v>
      </c>
      <c r="G1712" s="13" t="n">
        <v>18494.25</v>
      </c>
      <c r="H1712" s="13" t="n">
        <v>18494.25</v>
      </c>
      <c r="I1712" s="13" t="n">
        <v>0</v>
      </c>
      <c r="J1712" s="11" t="n">
        <v>2021</v>
      </c>
      <c r="K1712" s="11" t="s">
        <v>19</v>
      </c>
      <c r="L1712" s="11" t="s">
        <v>1513</v>
      </c>
    </row>
    <row r="1713" customFormat="false" ht="22.35" hidden="false" customHeight="false" outlineLevel="0" collapsed="false">
      <c r="A1713" s="11" t="s">
        <v>1960</v>
      </c>
      <c r="B1713" s="11" t="s">
        <v>1961</v>
      </c>
      <c r="C1713" s="11" t="s">
        <v>15</v>
      </c>
      <c r="D1713" s="11" t="s">
        <v>16</v>
      </c>
      <c r="E1713" s="11" t="s">
        <v>17</v>
      </c>
      <c r="F1713" s="12" t="n">
        <v>3.35</v>
      </c>
      <c r="G1713" s="13" t="n">
        <v>18738.1</v>
      </c>
      <c r="H1713" s="13" t="n">
        <v>18738.1</v>
      </c>
      <c r="I1713" s="13" t="n">
        <v>0</v>
      </c>
      <c r="J1713" s="11" t="n">
        <v>2021</v>
      </c>
      <c r="K1713" s="11" t="s">
        <v>19</v>
      </c>
      <c r="L1713" s="11" t="s">
        <v>1513</v>
      </c>
    </row>
    <row r="1714" customFormat="false" ht="22.35" hidden="false" customHeight="false" outlineLevel="0" collapsed="false">
      <c r="A1714" s="11" t="s">
        <v>1962</v>
      </c>
      <c r="B1714" s="11" t="s">
        <v>1963</v>
      </c>
      <c r="C1714" s="11" t="s">
        <v>929</v>
      </c>
      <c r="D1714" s="11" t="s">
        <v>930</v>
      </c>
      <c r="E1714" s="11" t="s">
        <v>44</v>
      </c>
      <c r="F1714" s="12" t="n">
        <v>6.849</v>
      </c>
      <c r="G1714" s="13" t="n">
        <v>18753</v>
      </c>
      <c r="H1714" s="13" t="n">
        <v>18753</v>
      </c>
      <c r="I1714" s="13" t="n">
        <v>0</v>
      </c>
      <c r="J1714" s="11" t="n">
        <v>2023</v>
      </c>
      <c r="K1714" s="11" t="s">
        <v>19</v>
      </c>
      <c r="L1714" s="11" t="s">
        <v>1504</v>
      </c>
    </row>
    <row r="1715" customFormat="false" ht="22.35" hidden="false" customHeight="false" outlineLevel="0" collapsed="false">
      <c r="A1715" s="11" t="s">
        <v>1964</v>
      </c>
      <c r="B1715" s="11" t="s">
        <v>1965</v>
      </c>
      <c r="C1715" s="11" t="s">
        <v>15</v>
      </c>
      <c r="D1715" s="11" t="s">
        <v>16</v>
      </c>
      <c r="E1715" s="11" t="s">
        <v>17</v>
      </c>
      <c r="F1715" s="12" t="n">
        <v>1.93</v>
      </c>
      <c r="G1715" s="13" t="n">
        <v>20386.21</v>
      </c>
      <c r="H1715" s="13" t="n">
        <v>20386.21</v>
      </c>
      <c r="I1715" s="13" t="n">
        <v>0</v>
      </c>
      <c r="J1715" s="11" t="n">
        <v>2021</v>
      </c>
      <c r="K1715" s="11" t="s">
        <v>19</v>
      </c>
      <c r="L1715" s="11" t="s">
        <v>1513</v>
      </c>
    </row>
    <row r="1716" customFormat="false" ht="15" hidden="false" customHeight="false" outlineLevel="0" collapsed="false">
      <c r="A1716" s="7" t="s">
        <v>1966</v>
      </c>
      <c r="B1716" s="7" t="s">
        <v>1967</v>
      </c>
      <c r="C1716" s="7" t="s">
        <v>929</v>
      </c>
      <c r="D1716" s="7" t="s">
        <v>930</v>
      </c>
      <c r="E1716" s="7" t="s">
        <v>44</v>
      </c>
      <c r="F1716" s="8" t="n">
        <v>2.625</v>
      </c>
      <c r="G1716" s="9" t="n">
        <v>22261</v>
      </c>
      <c r="H1716" s="9" t="n">
        <v>0</v>
      </c>
      <c r="I1716" s="9" t="n">
        <v>0</v>
      </c>
      <c r="J1716" s="7" t="n">
        <v>2026</v>
      </c>
      <c r="K1716" s="10" t="s">
        <v>1284</v>
      </c>
      <c r="L1716" s="7" t="s">
        <v>1492</v>
      </c>
    </row>
    <row r="1717" customFormat="false" ht="22.35" hidden="false" customHeight="false" outlineLevel="0" collapsed="false">
      <c r="A1717" s="11" t="s">
        <v>1968</v>
      </c>
      <c r="B1717" s="11" t="s">
        <v>1716</v>
      </c>
      <c r="C1717" s="11" t="s">
        <v>15</v>
      </c>
      <c r="D1717" s="11" t="s">
        <v>16</v>
      </c>
      <c r="E1717" s="11" t="s">
        <v>17</v>
      </c>
      <c r="F1717" s="12" t="n">
        <v>4.46</v>
      </c>
      <c r="G1717" s="13" t="n">
        <v>22945.3</v>
      </c>
      <c r="H1717" s="13" t="n">
        <v>22945.3</v>
      </c>
      <c r="I1717" s="13" t="n">
        <v>0</v>
      </c>
      <c r="J1717" s="11" t="n">
        <v>2021</v>
      </c>
      <c r="K1717" s="11" t="s">
        <v>19</v>
      </c>
      <c r="L1717" s="11" t="s">
        <v>1513</v>
      </c>
    </row>
    <row r="1718" customFormat="false" ht="22.35" hidden="false" customHeight="false" outlineLevel="0" collapsed="false">
      <c r="A1718" s="11" t="s">
        <v>1969</v>
      </c>
      <c r="B1718" s="11" t="s">
        <v>1617</v>
      </c>
      <c r="C1718" s="11" t="s">
        <v>15</v>
      </c>
      <c r="D1718" s="11" t="s">
        <v>16</v>
      </c>
      <c r="E1718" s="11" t="s">
        <v>17</v>
      </c>
      <c r="F1718" s="12" t="n">
        <v>4.8819</v>
      </c>
      <c r="G1718" s="13" t="n">
        <v>24921.3964</v>
      </c>
      <c r="H1718" s="13" t="n">
        <v>24921.3964</v>
      </c>
      <c r="I1718" s="13" t="n">
        <v>0</v>
      </c>
      <c r="J1718" s="11" t="n">
        <v>2023</v>
      </c>
      <c r="K1718" s="11" t="s">
        <v>19</v>
      </c>
      <c r="L1718" s="11" t="s">
        <v>1504</v>
      </c>
    </row>
    <row r="1719" customFormat="false" ht="22.35" hidden="false" customHeight="false" outlineLevel="0" collapsed="false">
      <c r="A1719" s="11" t="s">
        <v>1970</v>
      </c>
      <c r="B1719" s="11" t="s">
        <v>1971</v>
      </c>
      <c r="C1719" s="11" t="s">
        <v>929</v>
      </c>
      <c r="D1719" s="11" t="s">
        <v>930</v>
      </c>
      <c r="E1719" s="11" t="s">
        <v>44</v>
      </c>
      <c r="F1719" s="12" t="n">
        <v>0.477</v>
      </c>
      <c r="G1719" s="13" t="n">
        <v>25029</v>
      </c>
      <c r="H1719" s="13" t="n">
        <v>25029</v>
      </c>
      <c r="I1719" s="13" t="n">
        <v>0</v>
      </c>
      <c r="J1719" s="11" t="n">
        <v>2022</v>
      </c>
      <c r="K1719" s="11" t="s">
        <v>19</v>
      </c>
      <c r="L1719" s="11" t="s">
        <v>1495</v>
      </c>
    </row>
    <row r="1720" customFormat="false" ht="22.35" hidden="false" customHeight="false" outlineLevel="0" collapsed="false">
      <c r="A1720" s="11" t="s">
        <v>1972</v>
      </c>
      <c r="B1720" s="11" t="s">
        <v>1661</v>
      </c>
      <c r="C1720" s="11" t="s">
        <v>15</v>
      </c>
      <c r="D1720" s="11" t="s">
        <v>16</v>
      </c>
      <c r="E1720" s="11" t="s">
        <v>17</v>
      </c>
      <c r="F1720" s="12" t="n">
        <v>1.98</v>
      </c>
      <c r="G1720" s="13" t="n">
        <v>25117.61</v>
      </c>
      <c r="H1720" s="13" t="n">
        <v>25117.61</v>
      </c>
      <c r="I1720" s="13" t="n">
        <v>0</v>
      </c>
      <c r="J1720" s="11" t="n">
        <v>2022</v>
      </c>
      <c r="K1720" s="11" t="s">
        <v>19</v>
      </c>
      <c r="L1720" s="11" t="s">
        <v>1495</v>
      </c>
    </row>
    <row r="1721" customFormat="false" ht="22.35" hidden="false" customHeight="false" outlineLevel="0" collapsed="false">
      <c r="A1721" s="11" t="s">
        <v>1973</v>
      </c>
      <c r="B1721" s="11" t="s">
        <v>1974</v>
      </c>
      <c r="C1721" s="11" t="s">
        <v>929</v>
      </c>
      <c r="D1721" s="11" t="s">
        <v>930</v>
      </c>
      <c r="E1721" s="11" t="s">
        <v>44</v>
      </c>
      <c r="F1721" s="12" t="n">
        <v>0.635</v>
      </c>
      <c r="G1721" s="13" t="n">
        <v>26020</v>
      </c>
      <c r="H1721" s="13" t="n">
        <v>26020</v>
      </c>
      <c r="I1721" s="13" t="n">
        <v>0</v>
      </c>
      <c r="J1721" s="11" t="n">
        <v>2022</v>
      </c>
      <c r="K1721" s="11" t="s">
        <v>19</v>
      </c>
      <c r="L1721" s="11" t="s">
        <v>1495</v>
      </c>
    </row>
    <row r="1722" customFormat="false" ht="22.35" hidden="false" customHeight="false" outlineLevel="0" collapsed="false">
      <c r="A1722" s="11" t="s">
        <v>1975</v>
      </c>
      <c r="B1722" s="11" t="s">
        <v>1619</v>
      </c>
      <c r="C1722" s="11" t="s">
        <v>15</v>
      </c>
      <c r="D1722" s="11" t="s">
        <v>16</v>
      </c>
      <c r="E1722" s="11" t="s">
        <v>17</v>
      </c>
      <c r="F1722" s="12" t="n">
        <v>24.69</v>
      </c>
      <c r="G1722" s="13" t="n">
        <v>28128.44</v>
      </c>
      <c r="H1722" s="13" t="n">
        <v>28128.44</v>
      </c>
      <c r="I1722" s="13" t="n">
        <v>0</v>
      </c>
      <c r="J1722" s="11" t="n">
        <v>2022</v>
      </c>
      <c r="K1722" s="11" t="s">
        <v>19</v>
      </c>
      <c r="L1722" s="11" t="s">
        <v>1495</v>
      </c>
    </row>
    <row r="1723" customFormat="false" ht="22.35" hidden="false" customHeight="false" outlineLevel="0" collapsed="false">
      <c r="A1723" s="11" t="s">
        <v>1976</v>
      </c>
      <c r="B1723" s="11" t="s">
        <v>1977</v>
      </c>
      <c r="C1723" s="11" t="s">
        <v>15</v>
      </c>
      <c r="D1723" s="11" t="s">
        <v>16</v>
      </c>
      <c r="E1723" s="11" t="s">
        <v>44</v>
      </c>
      <c r="F1723" s="12" t="n">
        <v>0.1243</v>
      </c>
      <c r="G1723" s="13" t="n">
        <v>28158</v>
      </c>
      <c r="H1723" s="13" t="n">
        <v>28158</v>
      </c>
      <c r="I1723" s="13" t="n">
        <v>0</v>
      </c>
      <c r="J1723" s="11" t="n">
        <v>2023</v>
      </c>
      <c r="K1723" s="11" t="s">
        <v>19</v>
      </c>
      <c r="L1723" s="11" t="s">
        <v>1504</v>
      </c>
    </row>
    <row r="1724" customFormat="false" ht="22.35" hidden="false" customHeight="false" outlineLevel="0" collapsed="false">
      <c r="A1724" s="11" t="s">
        <v>1978</v>
      </c>
      <c r="B1724" s="11" t="s">
        <v>1979</v>
      </c>
      <c r="C1724" s="11" t="s">
        <v>929</v>
      </c>
      <c r="D1724" s="11" t="s">
        <v>930</v>
      </c>
      <c r="E1724" s="11" t="s">
        <v>44</v>
      </c>
      <c r="F1724" s="12" t="n">
        <v>6.849</v>
      </c>
      <c r="G1724" s="13" t="n">
        <v>28304</v>
      </c>
      <c r="H1724" s="13" t="n">
        <v>28304</v>
      </c>
      <c r="I1724" s="13" t="n">
        <v>0</v>
      </c>
      <c r="J1724" s="11" t="n">
        <v>2023</v>
      </c>
      <c r="K1724" s="11" t="s">
        <v>19</v>
      </c>
      <c r="L1724" s="11" t="s">
        <v>1504</v>
      </c>
    </row>
    <row r="1725" customFormat="false" ht="22.35" hidden="false" customHeight="false" outlineLevel="0" collapsed="false">
      <c r="A1725" s="11" t="s">
        <v>1980</v>
      </c>
      <c r="B1725" s="11" t="s">
        <v>1981</v>
      </c>
      <c r="C1725" s="11" t="s">
        <v>15</v>
      </c>
      <c r="D1725" s="11" t="s">
        <v>16</v>
      </c>
      <c r="E1725" s="11" t="s">
        <v>488</v>
      </c>
      <c r="F1725" s="12" t="n">
        <v>4.252</v>
      </c>
      <c r="G1725" s="13" t="n">
        <v>29193.1708</v>
      </c>
      <c r="H1725" s="13" t="n">
        <v>29193.1708</v>
      </c>
      <c r="I1725" s="13" t="n">
        <v>0</v>
      </c>
      <c r="J1725" s="11" t="n">
        <v>2023</v>
      </c>
      <c r="K1725" s="11" t="s">
        <v>19</v>
      </c>
      <c r="L1725" s="11" t="s">
        <v>1504</v>
      </c>
    </row>
    <row r="1726" customFormat="false" ht="22.35" hidden="false" customHeight="false" outlineLevel="0" collapsed="false">
      <c r="A1726" s="11" t="s">
        <v>1982</v>
      </c>
      <c r="B1726" s="11" t="s">
        <v>1983</v>
      </c>
      <c r="C1726" s="11" t="s">
        <v>15</v>
      </c>
      <c r="D1726" s="11" t="s">
        <v>16</v>
      </c>
      <c r="E1726" s="11" t="s">
        <v>17</v>
      </c>
      <c r="F1726" s="12" t="n">
        <v>1.96</v>
      </c>
      <c r="G1726" s="13" t="n">
        <v>31831.36</v>
      </c>
      <c r="H1726" s="13" t="n">
        <v>31831.36</v>
      </c>
      <c r="I1726" s="13" t="n">
        <v>0</v>
      </c>
      <c r="J1726" s="11" t="n">
        <v>2023</v>
      </c>
      <c r="K1726" s="11" t="s">
        <v>19</v>
      </c>
      <c r="L1726" s="11" t="s">
        <v>1504</v>
      </c>
    </row>
    <row r="1727" customFormat="false" ht="22.35" hidden="false" customHeight="false" outlineLevel="0" collapsed="false">
      <c r="A1727" s="11" t="s">
        <v>1984</v>
      </c>
      <c r="B1727" s="11" t="s">
        <v>1985</v>
      </c>
      <c r="C1727" s="11" t="s">
        <v>15</v>
      </c>
      <c r="D1727" s="11" t="s">
        <v>16</v>
      </c>
      <c r="E1727" s="11" t="s">
        <v>44</v>
      </c>
      <c r="F1727" s="12" t="n">
        <v>0.1404</v>
      </c>
      <c r="G1727" s="13" t="n">
        <v>33334</v>
      </c>
      <c r="H1727" s="13" t="n">
        <v>33334</v>
      </c>
      <c r="I1727" s="13" t="n">
        <v>0</v>
      </c>
      <c r="J1727" s="11" t="n">
        <v>2023</v>
      </c>
      <c r="K1727" s="11" t="s">
        <v>19</v>
      </c>
      <c r="L1727" s="11" t="s">
        <v>1504</v>
      </c>
    </row>
    <row r="1728" customFormat="false" ht="22.35" hidden="false" customHeight="false" outlineLevel="0" collapsed="false">
      <c r="A1728" s="11" t="s">
        <v>1986</v>
      </c>
      <c r="B1728" s="11" t="s">
        <v>1848</v>
      </c>
      <c r="C1728" s="11" t="s">
        <v>15</v>
      </c>
      <c r="D1728" s="11" t="s">
        <v>16</v>
      </c>
      <c r="E1728" s="11" t="s">
        <v>17</v>
      </c>
      <c r="F1728" s="12" t="n">
        <v>1.04</v>
      </c>
      <c r="G1728" s="13" t="n">
        <v>33988</v>
      </c>
      <c r="H1728" s="13" t="n">
        <v>33988</v>
      </c>
      <c r="I1728" s="13" t="n">
        <v>0</v>
      </c>
      <c r="J1728" s="11" t="n">
        <v>2021</v>
      </c>
      <c r="K1728" s="11" t="s">
        <v>19</v>
      </c>
      <c r="L1728" s="11" t="s">
        <v>1513</v>
      </c>
    </row>
    <row r="1729" customFormat="false" ht="22.35" hidden="false" customHeight="false" outlineLevel="0" collapsed="false">
      <c r="A1729" s="11" t="s">
        <v>1987</v>
      </c>
      <c r="B1729" s="11" t="s">
        <v>1848</v>
      </c>
      <c r="C1729" s="11" t="s">
        <v>15</v>
      </c>
      <c r="D1729" s="11" t="s">
        <v>16</v>
      </c>
      <c r="E1729" s="11" t="s">
        <v>17</v>
      </c>
      <c r="F1729" s="12" t="n">
        <v>2.83</v>
      </c>
      <c r="G1729" s="13" t="n">
        <v>42509.8693</v>
      </c>
      <c r="H1729" s="13" t="n">
        <v>42509.8693</v>
      </c>
      <c r="I1729" s="13" t="n">
        <v>0</v>
      </c>
      <c r="J1729" s="11" t="n">
        <v>2023</v>
      </c>
      <c r="K1729" s="11" t="s">
        <v>19</v>
      </c>
      <c r="L1729" s="11" t="s">
        <v>1504</v>
      </c>
    </row>
    <row r="1730" customFormat="false" ht="22.35" hidden="false" customHeight="false" outlineLevel="0" collapsed="false">
      <c r="A1730" s="11" t="s">
        <v>1988</v>
      </c>
      <c r="B1730" s="11" t="s">
        <v>1848</v>
      </c>
      <c r="C1730" s="11" t="s">
        <v>15</v>
      </c>
      <c r="D1730" s="11" t="s">
        <v>16</v>
      </c>
      <c r="E1730" s="11" t="s">
        <v>17</v>
      </c>
      <c r="F1730" s="12" t="n">
        <v>2.152</v>
      </c>
      <c r="G1730" s="13" t="n">
        <v>44338.6</v>
      </c>
      <c r="H1730" s="13" t="n">
        <v>44338.6</v>
      </c>
      <c r="I1730" s="13" t="n">
        <v>0</v>
      </c>
      <c r="J1730" s="11" t="n">
        <v>2022</v>
      </c>
      <c r="K1730" s="11" t="s">
        <v>19</v>
      </c>
      <c r="L1730" s="11" t="s">
        <v>1495</v>
      </c>
    </row>
    <row r="1731" customFormat="false" ht="22.35" hidden="false" customHeight="false" outlineLevel="0" collapsed="false">
      <c r="A1731" s="11" t="s">
        <v>1989</v>
      </c>
      <c r="B1731" s="11" t="s">
        <v>1990</v>
      </c>
      <c r="C1731" s="11" t="s">
        <v>15</v>
      </c>
      <c r="D1731" s="11" t="s">
        <v>16</v>
      </c>
      <c r="E1731" s="11" t="s">
        <v>17</v>
      </c>
      <c r="F1731" s="12" t="n">
        <v>0.074</v>
      </c>
      <c r="G1731" s="13" t="n">
        <v>48056</v>
      </c>
      <c r="H1731" s="13" t="n">
        <v>48056</v>
      </c>
      <c r="I1731" s="13" t="n">
        <v>0</v>
      </c>
      <c r="J1731" s="11" t="n">
        <v>2022</v>
      </c>
      <c r="K1731" s="11" t="s">
        <v>19</v>
      </c>
      <c r="L1731" s="11" t="s">
        <v>1495</v>
      </c>
    </row>
    <row r="1732" customFormat="false" ht="22.35" hidden="false" customHeight="false" outlineLevel="0" collapsed="false">
      <c r="A1732" s="11" t="s">
        <v>1991</v>
      </c>
      <c r="B1732" s="11" t="s">
        <v>1992</v>
      </c>
      <c r="C1732" s="11" t="s">
        <v>15</v>
      </c>
      <c r="D1732" s="11" t="s">
        <v>16</v>
      </c>
      <c r="E1732" s="11" t="s">
        <v>17</v>
      </c>
      <c r="F1732" s="12" t="n">
        <v>5.1214</v>
      </c>
      <c r="G1732" s="13" t="n">
        <v>49690.656</v>
      </c>
      <c r="H1732" s="13" t="n">
        <v>49690.656</v>
      </c>
      <c r="I1732" s="13" t="n">
        <v>0</v>
      </c>
      <c r="J1732" s="11" t="n">
        <v>2023</v>
      </c>
      <c r="K1732" s="11" t="s">
        <v>19</v>
      </c>
      <c r="L1732" s="11" t="s">
        <v>1504</v>
      </c>
    </row>
    <row r="1733" customFormat="false" ht="22.35" hidden="false" customHeight="false" outlineLevel="0" collapsed="false">
      <c r="A1733" s="11" t="s">
        <v>1993</v>
      </c>
      <c r="B1733" s="11" t="s">
        <v>1994</v>
      </c>
      <c r="C1733" s="11" t="s">
        <v>929</v>
      </c>
      <c r="D1733" s="11" t="s">
        <v>930</v>
      </c>
      <c r="E1733" s="11" t="s">
        <v>44</v>
      </c>
      <c r="F1733" s="12" t="n">
        <v>2.3429</v>
      </c>
      <c r="G1733" s="13" t="n">
        <v>49942</v>
      </c>
      <c r="H1733" s="13" t="n">
        <v>49942</v>
      </c>
      <c r="I1733" s="13" t="n">
        <v>0</v>
      </c>
      <c r="J1733" s="11" t="n">
        <v>2023</v>
      </c>
      <c r="K1733" s="11" t="s">
        <v>19</v>
      </c>
      <c r="L1733" s="11" t="s">
        <v>1504</v>
      </c>
    </row>
    <row r="1734" customFormat="false" ht="22.35" hidden="false" customHeight="false" outlineLevel="0" collapsed="false">
      <c r="A1734" s="11" t="s">
        <v>1995</v>
      </c>
      <c r="B1734" s="11" t="s">
        <v>1996</v>
      </c>
      <c r="C1734" s="11" t="s">
        <v>15</v>
      </c>
      <c r="D1734" s="11" t="s">
        <v>16</v>
      </c>
      <c r="E1734" s="11" t="s">
        <v>44</v>
      </c>
      <c r="F1734" s="12" t="n">
        <v>0.1475</v>
      </c>
      <c r="G1734" s="13" t="n">
        <v>50284</v>
      </c>
      <c r="H1734" s="13" t="n">
        <v>50284</v>
      </c>
      <c r="I1734" s="13" t="n">
        <v>0</v>
      </c>
      <c r="J1734" s="11" t="n">
        <v>2023</v>
      </c>
      <c r="K1734" s="11" t="s">
        <v>19</v>
      </c>
      <c r="L1734" s="11" t="s">
        <v>1504</v>
      </c>
    </row>
    <row r="1735" customFormat="false" ht="22.35" hidden="false" customHeight="false" outlineLevel="0" collapsed="false">
      <c r="A1735" s="11" t="s">
        <v>1997</v>
      </c>
      <c r="B1735" s="11" t="s">
        <v>1998</v>
      </c>
      <c r="C1735" s="11" t="s">
        <v>15</v>
      </c>
      <c r="D1735" s="11" t="s">
        <v>16</v>
      </c>
      <c r="E1735" s="11" t="s">
        <v>17</v>
      </c>
      <c r="F1735" s="12" t="n">
        <v>3.88</v>
      </c>
      <c r="G1735" s="13" t="n">
        <v>52549.5682</v>
      </c>
      <c r="H1735" s="13" t="n">
        <v>52549.5682</v>
      </c>
      <c r="I1735" s="13" t="n">
        <v>0</v>
      </c>
      <c r="J1735" s="11" t="n">
        <v>2023</v>
      </c>
      <c r="K1735" s="11" t="s">
        <v>19</v>
      </c>
      <c r="L1735" s="11" t="s">
        <v>1504</v>
      </c>
    </row>
    <row r="1736" customFormat="false" ht="22.35" hidden="false" customHeight="false" outlineLevel="0" collapsed="false">
      <c r="A1736" s="11" t="s">
        <v>1999</v>
      </c>
      <c r="B1736" s="11" t="s">
        <v>1992</v>
      </c>
      <c r="C1736" s="11" t="s">
        <v>15</v>
      </c>
      <c r="D1736" s="11" t="s">
        <v>16</v>
      </c>
      <c r="E1736" s="11" t="s">
        <v>488</v>
      </c>
      <c r="F1736" s="12" t="n">
        <v>5.421</v>
      </c>
      <c r="G1736" s="13" t="n">
        <v>52994.6297</v>
      </c>
      <c r="H1736" s="13" t="n">
        <v>52994.6297</v>
      </c>
      <c r="I1736" s="13" t="n">
        <v>0</v>
      </c>
      <c r="J1736" s="11" t="n">
        <v>2023</v>
      </c>
      <c r="K1736" s="11" t="s">
        <v>19</v>
      </c>
      <c r="L1736" s="11" t="s">
        <v>1504</v>
      </c>
    </row>
    <row r="1737" customFormat="false" ht="22.35" hidden="false" customHeight="false" outlineLevel="0" collapsed="false">
      <c r="A1737" s="11" t="s">
        <v>2000</v>
      </c>
      <c r="B1737" s="11" t="s">
        <v>2001</v>
      </c>
      <c r="C1737" s="11" t="s">
        <v>929</v>
      </c>
      <c r="D1737" s="11" t="s">
        <v>930</v>
      </c>
      <c r="E1737" s="11" t="s">
        <v>44</v>
      </c>
      <c r="F1737" s="12" t="n">
        <v>0.635</v>
      </c>
      <c r="G1737" s="13" t="n">
        <v>59790</v>
      </c>
      <c r="H1737" s="13" t="n">
        <v>59790</v>
      </c>
      <c r="I1737" s="13" t="n">
        <v>0</v>
      </c>
      <c r="J1737" s="11" t="n">
        <v>2022</v>
      </c>
      <c r="K1737" s="11" t="s">
        <v>19</v>
      </c>
      <c r="L1737" s="11" t="s">
        <v>1495</v>
      </c>
    </row>
    <row r="1738" customFormat="false" ht="22.35" hidden="false" customHeight="false" outlineLevel="0" collapsed="false">
      <c r="A1738" s="11" t="s">
        <v>2002</v>
      </c>
      <c r="B1738" s="11" t="s">
        <v>2003</v>
      </c>
      <c r="C1738" s="11" t="s">
        <v>15</v>
      </c>
      <c r="D1738" s="11" t="s">
        <v>16</v>
      </c>
      <c r="E1738" s="11" t="s">
        <v>44</v>
      </c>
      <c r="F1738" s="12" t="n">
        <v>0.1347</v>
      </c>
      <c r="G1738" s="13" t="n">
        <v>68174</v>
      </c>
      <c r="H1738" s="13" t="n">
        <v>68174</v>
      </c>
      <c r="I1738" s="13" t="n">
        <v>0</v>
      </c>
      <c r="J1738" s="11" t="n">
        <v>2023</v>
      </c>
      <c r="K1738" s="11" t="s">
        <v>19</v>
      </c>
      <c r="L1738" s="11" t="s">
        <v>1504</v>
      </c>
    </row>
    <row r="1739" customFormat="false" ht="22.35" hidden="false" customHeight="false" outlineLevel="0" collapsed="false">
      <c r="A1739" s="11" t="s">
        <v>2004</v>
      </c>
      <c r="B1739" s="11" t="s">
        <v>2005</v>
      </c>
      <c r="C1739" s="11" t="s">
        <v>15</v>
      </c>
      <c r="D1739" s="11" t="s">
        <v>16</v>
      </c>
      <c r="E1739" s="11" t="s">
        <v>44</v>
      </c>
      <c r="F1739" s="12" t="n">
        <v>4.47</v>
      </c>
      <c r="G1739" s="13" t="n">
        <v>75451.76</v>
      </c>
      <c r="H1739" s="13" t="n">
        <v>75451.76</v>
      </c>
      <c r="I1739" s="13" t="n">
        <v>0</v>
      </c>
      <c r="J1739" s="11" t="n">
        <v>2022</v>
      </c>
      <c r="K1739" s="11" t="s">
        <v>19</v>
      </c>
      <c r="L1739" s="11" t="s">
        <v>1495</v>
      </c>
    </row>
    <row r="1740" customFormat="false" ht="22.35" hidden="false" customHeight="false" outlineLevel="0" collapsed="false">
      <c r="A1740" s="11" t="s">
        <v>2006</v>
      </c>
      <c r="B1740" s="11" t="s">
        <v>2007</v>
      </c>
      <c r="C1740" s="11" t="s">
        <v>929</v>
      </c>
      <c r="D1740" s="11" t="s">
        <v>930</v>
      </c>
      <c r="E1740" s="11" t="s">
        <v>44</v>
      </c>
      <c r="F1740" s="12" t="n">
        <v>0.423</v>
      </c>
      <c r="G1740" s="13" t="n">
        <v>79122</v>
      </c>
      <c r="H1740" s="13" t="n">
        <v>79122</v>
      </c>
      <c r="I1740" s="13" t="n">
        <v>0</v>
      </c>
      <c r="J1740" s="11" t="n">
        <v>2022</v>
      </c>
      <c r="K1740" s="11" t="s">
        <v>19</v>
      </c>
      <c r="L1740" s="11" t="s">
        <v>1495</v>
      </c>
    </row>
    <row r="1741" customFormat="false" ht="22.35" hidden="false" customHeight="false" outlineLevel="0" collapsed="false">
      <c r="A1741" s="11" t="s">
        <v>2008</v>
      </c>
      <c r="B1741" s="11" t="s">
        <v>2009</v>
      </c>
      <c r="C1741" s="11" t="s">
        <v>15</v>
      </c>
      <c r="D1741" s="11" t="s">
        <v>16</v>
      </c>
      <c r="E1741" s="11" t="s">
        <v>17</v>
      </c>
      <c r="F1741" s="12" t="n">
        <v>1.304</v>
      </c>
      <c r="G1741" s="13" t="n">
        <v>79993</v>
      </c>
      <c r="H1741" s="13" t="n">
        <v>79993</v>
      </c>
      <c r="I1741" s="13" t="n">
        <v>0</v>
      </c>
      <c r="J1741" s="11" t="n">
        <v>2023</v>
      </c>
      <c r="K1741" s="11" t="s">
        <v>19</v>
      </c>
      <c r="L1741" s="11" t="s">
        <v>1504</v>
      </c>
    </row>
    <row r="1742" customFormat="false" ht="22.35" hidden="false" customHeight="false" outlineLevel="0" collapsed="false">
      <c r="A1742" s="11" t="s">
        <v>2010</v>
      </c>
      <c r="B1742" s="11" t="s">
        <v>2011</v>
      </c>
      <c r="C1742" s="11" t="s">
        <v>15</v>
      </c>
      <c r="D1742" s="11" t="s">
        <v>16</v>
      </c>
      <c r="E1742" s="11" t="s">
        <v>17</v>
      </c>
      <c r="F1742" s="12" t="n">
        <v>1.553</v>
      </c>
      <c r="G1742" s="13" t="n">
        <v>84503.54</v>
      </c>
      <c r="H1742" s="13" t="n">
        <v>84503.54</v>
      </c>
      <c r="I1742" s="13" t="n">
        <v>0</v>
      </c>
      <c r="J1742" s="11" t="n">
        <v>2021</v>
      </c>
      <c r="K1742" s="11" t="s">
        <v>19</v>
      </c>
      <c r="L1742" s="11" t="s">
        <v>1513</v>
      </c>
    </row>
    <row r="1743" customFormat="false" ht="22.35" hidden="false" customHeight="false" outlineLevel="0" collapsed="false">
      <c r="A1743" s="11" t="s">
        <v>2012</v>
      </c>
      <c r="B1743" s="11" t="s">
        <v>2013</v>
      </c>
      <c r="C1743" s="11" t="s">
        <v>15</v>
      </c>
      <c r="D1743" s="11" t="s">
        <v>16</v>
      </c>
      <c r="E1743" s="11" t="s">
        <v>17</v>
      </c>
      <c r="F1743" s="12" t="n">
        <v>7.65</v>
      </c>
      <c r="G1743" s="13" t="n">
        <v>88773.8795</v>
      </c>
      <c r="H1743" s="13" t="n">
        <v>88773.8795</v>
      </c>
      <c r="I1743" s="13" t="n">
        <v>0</v>
      </c>
      <c r="J1743" s="11" t="n">
        <v>2023</v>
      </c>
      <c r="K1743" s="11" t="s">
        <v>19</v>
      </c>
      <c r="L1743" s="11" t="s">
        <v>1504</v>
      </c>
    </row>
    <row r="1744" customFormat="false" ht="22.35" hidden="false" customHeight="false" outlineLevel="0" collapsed="false">
      <c r="A1744" s="11" t="s">
        <v>2014</v>
      </c>
      <c r="B1744" s="11" t="s">
        <v>2015</v>
      </c>
      <c r="C1744" s="11" t="s">
        <v>929</v>
      </c>
      <c r="D1744" s="11" t="s">
        <v>930</v>
      </c>
      <c r="E1744" s="11" t="s">
        <v>44</v>
      </c>
      <c r="F1744" s="12" t="n">
        <v>1.93</v>
      </c>
      <c r="G1744" s="13" t="n">
        <v>91097</v>
      </c>
      <c r="H1744" s="13" t="n">
        <v>91097</v>
      </c>
      <c r="I1744" s="13" t="n">
        <v>0</v>
      </c>
      <c r="J1744" s="11" t="n">
        <v>2023</v>
      </c>
      <c r="K1744" s="11" t="s">
        <v>19</v>
      </c>
      <c r="L1744" s="11" t="s">
        <v>1504</v>
      </c>
    </row>
    <row r="1745" customFormat="false" ht="22.35" hidden="false" customHeight="false" outlineLevel="0" collapsed="false">
      <c r="A1745" s="11" t="s">
        <v>2016</v>
      </c>
      <c r="B1745" s="11" t="s">
        <v>2017</v>
      </c>
      <c r="C1745" s="11" t="s">
        <v>929</v>
      </c>
      <c r="D1745" s="11" t="s">
        <v>930</v>
      </c>
      <c r="E1745" s="11" t="s">
        <v>44</v>
      </c>
      <c r="F1745" s="12" t="n">
        <v>1.8232</v>
      </c>
      <c r="G1745" s="13" t="n">
        <v>107253</v>
      </c>
      <c r="H1745" s="13" t="n">
        <v>107253</v>
      </c>
      <c r="I1745" s="13" t="n">
        <v>0</v>
      </c>
      <c r="J1745" s="11" t="n">
        <v>2023</v>
      </c>
      <c r="K1745" s="11" t="s">
        <v>19</v>
      </c>
      <c r="L1745" s="11" t="s">
        <v>1504</v>
      </c>
    </row>
    <row r="1746" customFormat="false" ht="22.35" hidden="false" customHeight="false" outlineLevel="0" collapsed="false">
      <c r="A1746" s="11" t="s">
        <v>2018</v>
      </c>
      <c r="B1746" s="11" t="s">
        <v>2019</v>
      </c>
      <c r="C1746" s="11" t="s">
        <v>929</v>
      </c>
      <c r="D1746" s="11" t="s">
        <v>930</v>
      </c>
      <c r="E1746" s="11" t="s">
        <v>44</v>
      </c>
      <c r="F1746" s="12" t="n">
        <v>0.2193</v>
      </c>
      <c r="G1746" s="13" t="n">
        <v>108754</v>
      </c>
      <c r="H1746" s="13" t="n">
        <v>108754</v>
      </c>
      <c r="I1746" s="13" t="n">
        <v>0</v>
      </c>
      <c r="J1746" s="11" t="n">
        <v>2022</v>
      </c>
      <c r="K1746" s="11" t="s">
        <v>19</v>
      </c>
      <c r="L1746" s="11" t="s">
        <v>1495</v>
      </c>
    </row>
    <row r="1747" customFormat="false" ht="22.35" hidden="false" customHeight="false" outlineLevel="0" collapsed="false">
      <c r="A1747" s="11" t="s">
        <v>2020</v>
      </c>
      <c r="B1747" s="11" t="s">
        <v>2021</v>
      </c>
      <c r="C1747" s="11" t="s">
        <v>15</v>
      </c>
      <c r="D1747" s="11" t="s">
        <v>16</v>
      </c>
      <c r="E1747" s="11" t="s">
        <v>17</v>
      </c>
      <c r="F1747" s="12" t="n">
        <v>0.7566</v>
      </c>
      <c r="G1747" s="13" t="n">
        <v>110820.2905</v>
      </c>
      <c r="H1747" s="13" t="n">
        <v>110820.2905</v>
      </c>
      <c r="I1747" s="13" t="n">
        <v>0</v>
      </c>
      <c r="J1747" s="11" t="n">
        <v>2023</v>
      </c>
      <c r="K1747" s="11" t="s">
        <v>19</v>
      </c>
      <c r="L1747" s="11" t="s">
        <v>1504</v>
      </c>
    </row>
    <row r="1748" customFormat="false" ht="22.35" hidden="false" customHeight="false" outlineLevel="0" collapsed="false">
      <c r="A1748" s="11" t="s">
        <v>2022</v>
      </c>
      <c r="B1748" s="11" t="s">
        <v>2023</v>
      </c>
      <c r="C1748" s="11" t="s">
        <v>929</v>
      </c>
      <c r="D1748" s="11" t="s">
        <v>930</v>
      </c>
      <c r="E1748" s="11" t="s">
        <v>44</v>
      </c>
      <c r="F1748" s="12" t="n">
        <v>0.3953</v>
      </c>
      <c r="G1748" s="13" t="n">
        <v>126883</v>
      </c>
      <c r="H1748" s="13" t="n">
        <v>126883</v>
      </c>
      <c r="I1748" s="13" t="n">
        <v>0</v>
      </c>
      <c r="J1748" s="11" t="n">
        <v>2023</v>
      </c>
      <c r="K1748" s="11" t="s">
        <v>19</v>
      </c>
      <c r="L1748" s="11" t="s">
        <v>1504</v>
      </c>
    </row>
    <row r="1749" customFormat="false" ht="22.35" hidden="false" customHeight="false" outlineLevel="0" collapsed="false">
      <c r="A1749" s="11" t="s">
        <v>2024</v>
      </c>
      <c r="B1749" s="11" t="s">
        <v>1983</v>
      </c>
      <c r="C1749" s="11" t="s">
        <v>15</v>
      </c>
      <c r="D1749" s="11" t="s">
        <v>16</v>
      </c>
      <c r="E1749" s="11" t="s">
        <v>17</v>
      </c>
      <c r="F1749" s="12" t="n">
        <v>2.2708</v>
      </c>
      <c r="G1749" s="13" t="n">
        <v>154443.44</v>
      </c>
      <c r="H1749" s="13" t="n">
        <v>154443.44</v>
      </c>
      <c r="I1749" s="13" t="n">
        <v>0</v>
      </c>
      <c r="J1749" s="11" t="n">
        <v>2023</v>
      </c>
      <c r="K1749" s="11" t="s">
        <v>19</v>
      </c>
      <c r="L1749" s="11" t="s">
        <v>1504</v>
      </c>
    </row>
    <row r="1750" customFormat="false" ht="22.35" hidden="false" customHeight="false" outlineLevel="0" collapsed="false">
      <c r="A1750" s="11" t="s">
        <v>2025</v>
      </c>
      <c r="B1750" s="11" t="s">
        <v>2011</v>
      </c>
      <c r="C1750" s="11" t="s">
        <v>15</v>
      </c>
      <c r="D1750" s="11" t="s">
        <v>16</v>
      </c>
      <c r="E1750" s="11" t="s">
        <v>17</v>
      </c>
      <c r="F1750" s="12" t="n">
        <v>3.81</v>
      </c>
      <c r="G1750" s="13" t="n">
        <v>167937.1269</v>
      </c>
      <c r="H1750" s="13" t="n">
        <v>167937.1269</v>
      </c>
      <c r="I1750" s="13" t="n">
        <v>0</v>
      </c>
      <c r="J1750" s="11" t="n">
        <v>2023</v>
      </c>
      <c r="K1750" s="11" t="s">
        <v>19</v>
      </c>
      <c r="L1750" s="11" t="s">
        <v>1504</v>
      </c>
    </row>
    <row r="1751" customFormat="false" ht="22.35" hidden="false" customHeight="false" outlineLevel="0" collapsed="false">
      <c r="A1751" s="11" t="s">
        <v>2026</v>
      </c>
      <c r="B1751" s="11" t="s">
        <v>2027</v>
      </c>
      <c r="C1751" s="11" t="s">
        <v>15</v>
      </c>
      <c r="D1751" s="11" t="s">
        <v>16</v>
      </c>
      <c r="E1751" s="11" t="s">
        <v>17</v>
      </c>
      <c r="F1751" s="12" t="n">
        <v>4.81</v>
      </c>
      <c r="G1751" s="13" t="n">
        <v>169463.3395</v>
      </c>
      <c r="H1751" s="13" t="n">
        <v>169463.3395</v>
      </c>
      <c r="I1751" s="13" t="n">
        <v>0</v>
      </c>
      <c r="J1751" s="11" t="n">
        <v>2022</v>
      </c>
      <c r="K1751" s="11" t="s">
        <v>19</v>
      </c>
      <c r="L1751" s="11" t="s">
        <v>1495</v>
      </c>
    </row>
    <row r="1752" customFormat="false" ht="22.35" hidden="false" customHeight="false" outlineLevel="0" collapsed="false">
      <c r="A1752" s="11" t="s">
        <v>2028</v>
      </c>
      <c r="B1752" s="11" t="s">
        <v>2029</v>
      </c>
      <c r="C1752" s="11" t="s">
        <v>929</v>
      </c>
      <c r="D1752" s="11" t="s">
        <v>930</v>
      </c>
      <c r="E1752" s="11" t="s">
        <v>44</v>
      </c>
      <c r="F1752" s="12" t="n">
        <v>1.9116</v>
      </c>
      <c r="G1752" s="13" t="n">
        <v>183371</v>
      </c>
      <c r="H1752" s="13" t="n">
        <v>183371</v>
      </c>
      <c r="I1752" s="13" t="n">
        <v>0</v>
      </c>
      <c r="J1752" s="11" t="n">
        <v>2023</v>
      </c>
      <c r="K1752" s="11" t="s">
        <v>19</v>
      </c>
      <c r="L1752" s="11" t="s">
        <v>1504</v>
      </c>
    </row>
    <row r="1753" customFormat="false" ht="22.35" hidden="false" customHeight="false" outlineLevel="0" collapsed="false">
      <c r="A1753" s="11" t="s">
        <v>2030</v>
      </c>
      <c r="B1753" s="11" t="s">
        <v>2031</v>
      </c>
      <c r="C1753" s="11" t="s">
        <v>15</v>
      </c>
      <c r="D1753" s="11" t="s">
        <v>16</v>
      </c>
      <c r="E1753" s="11" t="s">
        <v>44</v>
      </c>
      <c r="F1753" s="12" t="n">
        <v>0.1347</v>
      </c>
      <c r="G1753" s="13" t="n">
        <v>187733</v>
      </c>
      <c r="H1753" s="13" t="n">
        <v>187733</v>
      </c>
      <c r="I1753" s="13" t="n">
        <v>0</v>
      </c>
      <c r="J1753" s="11" t="n">
        <v>2023</v>
      </c>
      <c r="K1753" s="11" t="s">
        <v>19</v>
      </c>
      <c r="L1753" s="11" t="s">
        <v>1504</v>
      </c>
    </row>
    <row r="1754" customFormat="false" ht="22.35" hidden="false" customHeight="false" outlineLevel="0" collapsed="false">
      <c r="A1754" s="11" t="s">
        <v>2032</v>
      </c>
      <c r="B1754" s="11" t="s">
        <v>2033</v>
      </c>
      <c r="C1754" s="11" t="s">
        <v>929</v>
      </c>
      <c r="D1754" s="11" t="s">
        <v>930</v>
      </c>
      <c r="E1754" s="11" t="s">
        <v>44</v>
      </c>
      <c r="F1754" s="12" t="n">
        <v>1.8833</v>
      </c>
      <c r="G1754" s="13" t="n">
        <v>296853</v>
      </c>
      <c r="H1754" s="13" t="n">
        <v>296853</v>
      </c>
      <c r="I1754" s="13" t="n">
        <v>0</v>
      </c>
      <c r="J1754" s="11" t="n">
        <v>2023</v>
      </c>
      <c r="K1754" s="11" t="s">
        <v>19</v>
      </c>
      <c r="L1754" s="11" t="s">
        <v>1504</v>
      </c>
    </row>
    <row r="1755" customFormat="false" ht="22.35" hidden="false" customHeight="false" outlineLevel="0" collapsed="false">
      <c r="A1755" s="11" t="s">
        <v>2034</v>
      </c>
      <c r="B1755" s="11" t="s">
        <v>2035</v>
      </c>
      <c r="C1755" s="11" t="s">
        <v>15</v>
      </c>
      <c r="D1755" s="11" t="s">
        <v>16</v>
      </c>
      <c r="E1755" s="11" t="s">
        <v>17</v>
      </c>
      <c r="F1755" s="12" t="n">
        <v>2.523</v>
      </c>
      <c r="G1755" s="13" t="n">
        <v>426767.33</v>
      </c>
      <c r="H1755" s="13" t="n">
        <v>426767.33</v>
      </c>
      <c r="I1755" s="13" t="n">
        <v>0</v>
      </c>
      <c r="J1755" s="11" t="n">
        <v>2022</v>
      </c>
      <c r="K1755" s="11" t="s">
        <v>19</v>
      </c>
      <c r="L1755" s="11" t="s">
        <v>1495</v>
      </c>
    </row>
    <row r="1756" customFormat="false" ht="22.35" hidden="false" customHeight="false" outlineLevel="0" collapsed="false">
      <c r="A1756" s="11" t="s">
        <v>2036</v>
      </c>
      <c r="B1756" s="11" t="s">
        <v>2037</v>
      </c>
      <c r="C1756" s="11" t="s">
        <v>929</v>
      </c>
      <c r="D1756" s="11" t="s">
        <v>930</v>
      </c>
      <c r="E1756" s="11" t="s">
        <v>44</v>
      </c>
      <c r="F1756" s="12" t="n">
        <v>0.3458</v>
      </c>
      <c r="G1756" s="13" t="n">
        <v>463738</v>
      </c>
      <c r="H1756" s="13" t="n">
        <v>463738</v>
      </c>
      <c r="I1756" s="13" t="n">
        <v>0</v>
      </c>
      <c r="J1756" s="11" t="n">
        <v>2023</v>
      </c>
      <c r="K1756" s="11" t="s">
        <v>19</v>
      </c>
      <c r="L1756" s="11" t="s">
        <v>1504</v>
      </c>
    </row>
    <row r="1757" customFormat="false" ht="22.35" hidden="false" customHeight="false" outlineLevel="0" collapsed="false">
      <c r="A1757" s="11" t="s">
        <v>2038</v>
      </c>
      <c r="B1757" s="11" t="s">
        <v>2039</v>
      </c>
      <c r="C1757" s="11" t="s">
        <v>929</v>
      </c>
      <c r="D1757" s="11" t="s">
        <v>930</v>
      </c>
      <c r="E1757" s="11" t="s">
        <v>44</v>
      </c>
      <c r="F1757" s="12" t="n">
        <v>1.5904</v>
      </c>
      <c r="G1757" s="13" t="n">
        <v>476913</v>
      </c>
      <c r="H1757" s="13" t="n">
        <v>476913</v>
      </c>
      <c r="I1757" s="13" t="n">
        <v>0</v>
      </c>
      <c r="J1757" s="11" t="n">
        <v>2023</v>
      </c>
      <c r="K1757" s="11" t="s">
        <v>19</v>
      </c>
      <c r="L1757" s="11" t="s">
        <v>1504</v>
      </c>
    </row>
    <row r="1758" customFormat="false" ht="22.35" hidden="false" customHeight="false" outlineLevel="0" collapsed="false">
      <c r="A1758" s="11" t="s">
        <v>2040</v>
      </c>
      <c r="B1758" s="11" t="s">
        <v>2041</v>
      </c>
      <c r="C1758" s="11" t="s">
        <v>929</v>
      </c>
      <c r="D1758" s="11" t="s">
        <v>930</v>
      </c>
      <c r="E1758" s="11" t="s">
        <v>44</v>
      </c>
      <c r="F1758" s="12" t="n">
        <v>0.3813</v>
      </c>
      <c r="G1758" s="13" t="n">
        <v>544435</v>
      </c>
      <c r="H1758" s="13" t="n">
        <v>544435</v>
      </c>
      <c r="I1758" s="13" t="n">
        <v>0</v>
      </c>
      <c r="J1758" s="11" t="n">
        <v>2023</v>
      </c>
      <c r="K1758" s="11" t="s">
        <v>19</v>
      </c>
      <c r="L1758" s="11" t="s">
        <v>1504</v>
      </c>
    </row>
    <row r="1759" customFormat="false" ht="22.35" hidden="false" customHeight="false" outlineLevel="0" collapsed="false">
      <c r="A1759" s="11" t="s">
        <v>2042</v>
      </c>
      <c r="B1759" s="11" t="s">
        <v>1848</v>
      </c>
      <c r="C1759" s="11" t="s">
        <v>15</v>
      </c>
      <c r="D1759" s="11" t="s">
        <v>16</v>
      </c>
      <c r="E1759" s="11" t="s">
        <v>17</v>
      </c>
      <c r="F1759" s="12" t="n">
        <v>2.06</v>
      </c>
      <c r="G1759" s="13" t="n">
        <v>710722.0366</v>
      </c>
      <c r="H1759" s="13" t="n">
        <v>710722.0366</v>
      </c>
      <c r="I1759" s="13" t="n">
        <v>0</v>
      </c>
      <c r="J1759" s="11" t="n">
        <v>2023</v>
      </c>
      <c r="K1759" s="11" t="s">
        <v>19</v>
      </c>
      <c r="L1759" s="11" t="s">
        <v>1504</v>
      </c>
    </row>
    <row r="1760" customFormat="false" ht="22.35" hidden="false" customHeight="false" outlineLevel="0" collapsed="false">
      <c r="A1760" s="11" t="s">
        <v>2043</v>
      </c>
      <c r="B1760" s="11" t="s">
        <v>1848</v>
      </c>
      <c r="C1760" s="11" t="s">
        <v>15</v>
      </c>
      <c r="D1760" s="11" t="s">
        <v>16</v>
      </c>
      <c r="E1760" s="11" t="s">
        <v>17</v>
      </c>
      <c r="F1760" s="12" t="n">
        <v>3.5</v>
      </c>
      <c r="G1760" s="13" t="n">
        <v>765923.58</v>
      </c>
      <c r="H1760" s="13" t="n">
        <v>765923.58</v>
      </c>
      <c r="I1760" s="13" t="n">
        <v>0</v>
      </c>
      <c r="J1760" s="11" t="n">
        <v>2022</v>
      </c>
      <c r="K1760" s="11" t="s">
        <v>19</v>
      </c>
      <c r="L1760" s="11" t="s">
        <v>1495</v>
      </c>
    </row>
    <row r="1761" customFormat="false" ht="22.35" hidden="false" customHeight="false" outlineLevel="0" collapsed="false">
      <c r="A1761" s="11" t="s">
        <v>2044</v>
      </c>
      <c r="B1761" s="11" t="s">
        <v>2045</v>
      </c>
      <c r="C1761" s="11" t="s">
        <v>15</v>
      </c>
      <c r="D1761" s="11" t="s">
        <v>16</v>
      </c>
      <c r="E1761" s="11" t="s">
        <v>488</v>
      </c>
      <c r="F1761" s="12" t="n">
        <v>1.1418</v>
      </c>
      <c r="G1761" s="13" t="n">
        <v>1117696.9918</v>
      </c>
      <c r="H1761" s="13" t="n">
        <v>1117696.9918</v>
      </c>
      <c r="I1761" s="13" t="n">
        <v>0</v>
      </c>
      <c r="J1761" s="11" t="n">
        <v>2023</v>
      </c>
      <c r="K1761" s="11" t="s">
        <v>19</v>
      </c>
      <c r="L1761" s="11" t="s">
        <v>1504</v>
      </c>
    </row>
    <row r="1762" customFormat="false" ht="22.35" hidden="false" customHeight="false" outlineLevel="0" collapsed="false">
      <c r="A1762" s="11" t="s">
        <v>2046</v>
      </c>
      <c r="B1762" s="11" t="s">
        <v>2047</v>
      </c>
      <c r="C1762" s="11" t="s">
        <v>15</v>
      </c>
      <c r="D1762" s="11" t="s">
        <v>16</v>
      </c>
      <c r="E1762" s="11" t="s">
        <v>488</v>
      </c>
      <c r="F1762" s="12" t="n">
        <v>0.0715</v>
      </c>
      <c r="G1762" s="13" t="n">
        <v>2699531.3909</v>
      </c>
      <c r="H1762" s="13" t="n">
        <v>2699531.3909</v>
      </c>
      <c r="I1762" s="13" t="n">
        <v>0</v>
      </c>
      <c r="J1762" s="11" t="n">
        <v>2022</v>
      </c>
      <c r="K1762" s="11" t="s">
        <v>19</v>
      </c>
      <c r="L1762" s="11" t="s">
        <v>1495</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5" min="3" style="0" width="14"/>
    <col collapsed="false" customWidth="true" hidden="false" outlineLevel="0" max="6" min="6" style="0" width="18"/>
    <col collapsed="false" customWidth="true" hidden="false" outlineLevel="0" max="7" min="7" style="0" width="16"/>
    <col collapsed="false" customWidth="true" hidden="false" outlineLevel="0" max="8" min="8" style="0" width="18"/>
    <col collapsed="false" customWidth="true" hidden="false" outlineLevel="0" max="9" min="9" style="0" width="14"/>
    <col collapsed="false" customWidth="true" hidden="false" outlineLevel="0" max="10" min="10" style="0" width="12"/>
    <col collapsed="false" customWidth="true" hidden="false" outlineLevel="0" max="11" min="11" style="0" width="34"/>
  </cols>
  <sheetData>
    <row r="1" customFormat="false" ht="36" hidden="false" customHeight="true" outlineLevel="0" collapsed="false">
      <c r="A1" s="14" t="s">
        <v>2048</v>
      </c>
      <c r="B1" s="14"/>
      <c r="C1" s="14"/>
      <c r="D1" s="14"/>
      <c r="E1" s="14"/>
      <c r="F1" s="14"/>
      <c r="G1" s="14"/>
      <c r="H1" s="14"/>
      <c r="I1" s="14"/>
      <c r="J1" s="14"/>
      <c r="K1" s="14"/>
      <c r="L1" s="14"/>
    </row>
    <row r="2" customFormat="false" ht="21.75" hidden="false" customHeight="true" outlineLevel="0" collapsed="false">
      <c r="A2" s="15" t="s">
        <v>2049</v>
      </c>
      <c r="B2" s="15"/>
      <c r="C2" s="15"/>
      <c r="D2" s="15"/>
      <c r="E2" s="15"/>
      <c r="F2" s="15"/>
      <c r="G2" s="15"/>
      <c r="H2" s="15"/>
      <c r="I2" s="15"/>
      <c r="J2" s="15"/>
      <c r="K2" s="15"/>
      <c r="L2" s="15"/>
    </row>
    <row r="3" customFormat="false" ht="6" hidden="false" customHeight="true" outlineLevel="0" collapsed="false"/>
    <row r="4" customFormat="false" ht="36" hidden="false" customHeight="true" outlineLevel="0" collapsed="false">
      <c r="A4" s="16" t="s">
        <v>2050</v>
      </c>
      <c r="B4" s="16" t="s">
        <v>2051</v>
      </c>
      <c r="C4" s="16" t="s">
        <v>2052</v>
      </c>
      <c r="D4" s="16" t="s">
        <v>2053</v>
      </c>
      <c r="E4" s="16" t="s">
        <v>2054</v>
      </c>
      <c r="F4" s="16" t="s">
        <v>2055</v>
      </c>
      <c r="G4" s="16" t="s">
        <v>2056</v>
      </c>
      <c r="H4" s="16" t="s">
        <v>2057</v>
      </c>
      <c r="I4" s="16" t="s">
        <v>2058</v>
      </c>
      <c r="J4" s="16" t="s">
        <v>2059</v>
      </c>
      <c r="K4" s="16" t="s">
        <v>2060</v>
      </c>
    </row>
    <row r="5" customFormat="false" ht="22.35" hidden="false" customHeight="false" outlineLevel="0" collapsed="false">
      <c r="A5" s="17" t="s">
        <v>2061</v>
      </c>
      <c r="B5" s="18" t="n">
        <v>280</v>
      </c>
      <c r="C5" s="19" t="n">
        <v>36</v>
      </c>
      <c r="D5" s="18" t="n">
        <v>0</v>
      </c>
      <c r="E5" s="20" t="n">
        <v>13</v>
      </c>
      <c r="F5" s="21" t="n">
        <v>7755043.95529</v>
      </c>
      <c r="G5" s="21" t="n">
        <v>14167421.56543</v>
      </c>
      <c r="H5" s="21" t="n">
        <v>10961232.76036</v>
      </c>
      <c r="I5" s="22" t="n">
        <v>38.6</v>
      </c>
      <c r="J5" s="23" t="n">
        <v>72.4</v>
      </c>
      <c r="K5" s="17" t="s">
        <v>2062</v>
      </c>
    </row>
    <row r="6" customFormat="false" ht="22.35" hidden="false" customHeight="false" outlineLevel="0" collapsed="false">
      <c r="A6" s="24" t="s">
        <v>2063</v>
      </c>
      <c r="B6" s="25" t="n">
        <v>549</v>
      </c>
      <c r="C6" s="19" t="n">
        <v>31</v>
      </c>
      <c r="D6" s="26" t="n">
        <v>26</v>
      </c>
      <c r="E6" s="20" t="n">
        <v>57</v>
      </c>
      <c r="F6" s="27" t="n">
        <v>3892171.475107</v>
      </c>
      <c r="G6" s="27" t="n">
        <v>7604062.879381</v>
      </c>
      <c r="H6" s="27" t="n">
        <v>5748117.177244</v>
      </c>
      <c r="I6" s="28" t="n">
        <v>32.3</v>
      </c>
      <c r="J6" s="29" t="n">
        <v>68.8</v>
      </c>
      <c r="K6" s="24" t="s">
        <v>2064</v>
      </c>
    </row>
    <row r="7" customFormat="false" ht="15" hidden="false" customHeight="false" outlineLevel="0" collapsed="false">
      <c r="A7" s="11" t="s">
        <v>2065</v>
      </c>
      <c r="B7" s="30" t="n">
        <v>348</v>
      </c>
      <c r="C7" s="19" t="n">
        <v>38</v>
      </c>
      <c r="D7" s="26" t="n">
        <v>7</v>
      </c>
      <c r="E7" s="20" t="n">
        <v>24</v>
      </c>
      <c r="F7" s="31" t="n">
        <v>3320822.217934</v>
      </c>
      <c r="G7" s="31" t="n">
        <v>6216994.978189</v>
      </c>
      <c r="H7" s="31" t="n">
        <v>4768908.5980615</v>
      </c>
      <c r="I7" s="32" t="n">
        <v>40.4</v>
      </c>
      <c r="J7" s="33" t="n">
        <v>68.8</v>
      </c>
      <c r="K7" s="11" t="s">
        <v>2066</v>
      </c>
    </row>
    <row r="8" customFormat="false" ht="22.35" hidden="false" customHeight="false" outlineLevel="0" collapsed="false">
      <c r="A8" s="34" t="s">
        <v>2067</v>
      </c>
      <c r="B8" s="35" t="n">
        <v>30</v>
      </c>
      <c r="C8" s="19" t="n">
        <v>7</v>
      </c>
      <c r="D8" s="35" t="n">
        <v>0</v>
      </c>
      <c r="E8" s="35" t="n">
        <v>0</v>
      </c>
      <c r="F8" s="36" t="n">
        <v>738144.065306</v>
      </c>
      <c r="G8" s="36" t="n">
        <v>1425102.118236</v>
      </c>
      <c r="H8" s="36" t="n">
        <v>1081623.091771</v>
      </c>
      <c r="I8" s="37" t="n">
        <v>57.4</v>
      </c>
      <c r="J8" s="38" t="n">
        <v>68.9</v>
      </c>
      <c r="K8" s="34" t="s">
        <v>2068</v>
      </c>
    </row>
    <row r="9" customFormat="false" ht="22.35" hidden="false" customHeight="false" outlineLevel="0" collapsed="false">
      <c r="A9" s="39" t="s">
        <v>2069</v>
      </c>
      <c r="B9" s="40" t="n">
        <v>1207</v>
      </c>
      <c r="C9" s="19" t="n">
        <v>112</v>
      </c>
      <c r="D9" s="26" t="n">
        <v>33</v>
      </c>
      <c r="E9" s="20" t="n">
        <v>94</v>
      </c>
      <c r="F9" s="41" t="n">
        <v>15706181.713637</v>
      </c>
      <c r="G9" s="41" t="n">
        <v>29413581.541236</v>
      </c>
      <c r="H9" s="41" t="n">
        <v>22559881.6274365</v>
      </c>
      <c r="I9" s="42" t="n">
        <v>36.7</v>
      </c>
      <c r="J9" s="43" t="n">
        <v>69.6</v>
      </c>
      <c r="K9" s="39" t="s">
        <v>2070</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X17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0"/>
    <col collapsed="false" customWidth="true" hidden="false" outlineLevel="0" max="4" min="4" style="0" width="8"/>
    <col collapsed="false" customWidth="true" hidden="false" outlineLevel="0" max="5" min="5" style="0" width="26"/>
    <col collapsed="false" customWidth="true" hidden="false" outlineLevel="0" max="7" min="6" style="0" width="10"/>
    <col collapsed="false" customWidth="true" hidden="false" outlineLevel="0" max="8" min="8" style="0" width="16"/>
    <col collapsed="false" customWidth="true" hidden="false" outlineLevel="0" max="10" min="9" style="0" width="18"/>
    <col collapsed="false" customWidth="true" hidden="false" outlineLevel="0" max="11" min="11" style="0" width="16"/>
    <col collapsed="false" customWidth="true" hidden="false" outlineLevel="0" max="12" min="12" style="0" width="14"/>
    <col collapsed="false" customWidth="true" hidden="false" outlineLevel="0" max="13" min="13" style="0" width="12"/>
    <col collapsed="false" customWidth="true" hidden="false" outlineLevel="0" max="14" min="14" style="0" width="16"/>
    <col collapsed="false" customWidth="true" hidden="false" outlineLevel="0" max="16" min="15" style="0" width="14"/>
    <col collapsed="false" customWidth="true" hidden="false" outlineLevel="0" max="17" min="17" style="0" width="28"/>
    <col collapsed="false" customWidth="true" hidden="false" outlineLevel="0" max="18" min="18" style="0" width="24"/>
    <col collapsed="false" customWidth="true" hidden="false" outlineLevel="0" max="19" min="19" style="0" width="10"/>
    <col collapsed="false" customWidth="true" hidden="false" outlineLevel="0" max="20" min="20" style="0" width="14"/>
    <col collapsed="false" customWidth="true" hidden="false" outlineLevel="0" max="22" min="21" style="0" width="16"/>
    <col collapsed="false" customWidth="true" hidden="false" outlineLevel="0" max="23" min="23" style="0" width="18"/>
    <col collapsed="false" customWidth="true" hidden="false" outlineLevel="0" max="24" min="24" style="0" width="16"/>
  </cols>
  <sheetData>
    <row r="1" customFormat="false" ht="30" hidden="false" customHeight="true" outlineLevel="0" collapsed="false">
      <c r="A1" s="44" t="s">
        <v>2071</v>
      </c>
      <c r="B1" s="44"/>
      <c r="C1" s="44"/>
      <c r="D1" s="44"/>
      <c r="E1" s="44"/>
      <c r="F1" s="44"/>
      <c r="G1" s="44"/>
      <c r="H1" s="44"/>
      <c r="I1" s="44"/>
      <c r="J1" s="44"/>
      <c r="K1" s="44"/>
      <c r="L1" s="44"/>
      <c r="M1" s="44"/>
      <c r="N1" s="44"/>
      <c r="O1" s="44"/>
      <c r="P1" s="44"/>
      <c r="Q1" s="44"/>
      <c r="R1" s="44"/>
      <c r="S1" s="44"/>
      <c r="T1" s="44"/>
      <c r="U1" s="44"/>
      <c r="V1" s="44"/>
      <c r="W1" s="44"/>
      <c r="X1" s="44"/>
    </row>
    <row r="2" customFormat="false" ht="19.5" hidden="false" customHeight="true" outlineLevel="0" collapsed="false">
      <c r="A2" s="45" t="s">
        <v>2072</v>
      </c>
      <c r="B2" s="45"/>
      <c r="C2" s="45"/>
      <c r="D2" s="45"/>
      <c r="E2" s="45"/>
      <c r="F2" s="45"/>
      <c r="G2" s="45"/>
      <c r="H2" s="45"/>
      <c r="I2" s="45"/>
      <c r="J2" s="45"/>
      <c r="K2" s="45"/>
      <c r="L2" s="45"/>
      <c r="M2" s="45"/>
      <c r="N2" s="45"/>
      <c r="O2" s="45"/>
      <c r="P2" s="45"/>
      <c r="Q2" s="45"/>
      <c r="R2" s="45"/>
      <c r="S2" s="45"/>
      <c r="T2" s="45"/>
      <c r="U2" s="45"/>
      <c r="V2" s="45"/>
      <c r="W2" s="45"/>
      <c r="X2" s="45"/>
    </row>
    <row r="3" customFormat="false" ht="3.75" hidden="false" customHeight="true" outlineLevel="0" collapsed="false"/>
    <row r="4" customFormat="false" ht="33.75" hidden="false" customHeight="true" outlineLevel="0" collapsed="false">
      <c r="A4" s="16" t="s">
        <v>2073</v>
      </c>
      <c r="B4" s="16" t="s">
        <v>1</v>
      </c>
      <c r="C4" s="16" t="s">
        <v>2</v>
      </c>
      <c r="D4" s="16" t="s">
        <v>2074</v>
      </c>
      <c r="E4" s="16" t="s">
        <v>2075</v>
      </c>
      <c r="F4" s="16" t="s">
        <v>2076</v>
      </c>
      <c r="G4" s="16" t="s">
        <v>2077</v>
      </c>
      <c r="H4" s="16" t="s">
        <v>2078</v>
      </c>
      <c r="I4" s="16" t="s">
        <v>2079</v>
      </c>
      <c r="J4" s="16" t="s">
        <v>2080</v>
      </c>
      <c r="K4" s="46" t="s">
        <v>2081</v>
      </c>
      <c r="L4" s="16" t="s">
        <v>2082</v>
      </c>
      <c r="M4" s="16" t="s">
        <v>2083</v>
      </c>
      <c r="N4" s="16" t="s">
        <v>2084</v>
      </c>
      <c r="O4" s="16" t="s">
        <v>6</v>
      </c>
      <c r="P4" s="16" t="s">
        <v>2085</v>
      </c>
      <c r="Q4" s="16" t="s">
        <v>2086</v>
      </c>
      <c r="R4" s="16" t="s">
        <v>2087</v>
      </c>
      <c r="S4" s="16" t="s">
        <v>2088</v>
      </c>
      <c r="T4" s="16" t="s">
        <v>2089</v>
      </c>
      <c r="U4" s="47" t="s">
        <v>2090</v>
      </c>
      <c r="V4" s="47" t="s">
        <v>2091</v>
      </c>
      <c r="W4" s="47" t="s">
        <v>2092</v>
      </c>
      <c r="X4" s="47" t="s">
        <v>2093</v>
      </c>
    </row>
    <row r="5" customFormat="false" ht="15" hidden="false" customHeight="false" outlineLevel="0" collapsed="false">
      <c r="A5" s="48" t="s">
        <v>2061</v>
      </c>
      <c r="B5" s="49" t="s">
        <v>2094</v>
      </c>
      <c r="C5" s="49" t="s">
        <v>1765</v>
      </c>
      <c r="D5" s="49" t="s">
        <v>2095</v>
      </c>
      <c r="E5" s="50" t="s">
        <v>2096</v>
      </c>
      <c r="F5" s="49" t="s">
        <v>2097</v>
      </c>
      <c r="G5" s="49" t="s">
        <v>2097</v>
      </c>
      <c r="H5" s="51" t="n">
        <v>26219</v>
      </c>
      <c r="I5" s="51" t="n">
        <v>11334.47</v>
      </c>
      <c r="J5" s="51" t="n">
        <v>22668.94</v>
      </c>
      <c r="K5" s="52" t="n">
        <v>43938</v>
      </c>
      <c r="L5" s="53" t="n">
        <v>31.1</v>
      </c>
      <c r="M5" s="54" t="n">
        <v>81.2</v>
      </c>
      <c r="N5" s="51" t="n">
        <v>364.452384</v>
      </c>
      <c r="O5" s="55" t="n">
        <v>2.831</v>
      </c>
      <c r="P5" s="51" t="n">
        <v>3550.06</v>
      </c>
      <c r="Q5" s="49" t="s">
        <v>2098</v>
      </c>
      <c r="R5" s="49" t="s">
        <v>2099</v>
      </c>
      <c r="S5" s="53" t="n">
        <v>1</v>
      </c>
      <c r="T5" s="51" t="n">
        <v>43938</v>
      </c>
      <c r="U5" s="56" t="n">
        <f aca="false">I5*O5</f>
        <v>32087.88457</v>
      </c>
      <c r="V5" s="56" t="n">
        <f aca="false">J5*O5</f>
        <v>64175.76914</v>
      </c>
      <c r="W5" s="56" t="n">
        <f aca="false">((I5+J5)/2)*O5</f>
        <v>48131.826855</v>
      </c>
      <c r="X5" s="56" t="n">
        <f aca="false">H5*O5</f>
        <v>74225.989</v>
      </c>
    </row>
    <row r="6" customFormat="false" ht="22.35" hidden="false" customHeight="false" outlineLevel="0" collapsed="false">
      <c r="A6" s="48" t="s">
        <v>2061</v>
      </c>
      <c r="B6" s="7" t="s">
        <v>2100</v>
      </c>
      <c r="C6" s="7" t="s">
        <v>1558</v>
      </c>
      <c r="D6" s="7" t="s">
        <v>2101</v>
      </c>
      <c r="E6" s="57" t="s">
        <v>2102</v>
      </c>
      <c r="F6" s="7" t="s">
        <v>2097</v>
      </c>
      <c r="G6" s="7" t="s">
        <v>2097</v>
      </c>
      <c r="H6" s="9" t="n">
        <v>588</v>
      </c>
      <c r="I6" s="9" t="n">
        <v>253.88</v>
      </c>
      <c r="J6" s="9" t="n">
        <v>761.64</v>
      </c>
      <c r="K6" s="52" t="n">
        <v>882</v>
      </c>
      <c r="L6" s="58" t="n">
        <v>24.9</v>
      </c>
      <c r="M6" s="59" t="n">
        <v>69</v>
      </c>
      <c r="N6" s="9" t="n">
        <v>20.392096</v>
      </c>
      <c r="O6" s="8" t="n">
        <v>5.944</v>
      </c>
      <c r="P6" s="9" t="n">
        <v>-173.64</v>
      </c>
      <c r="Q6" s="7" t="s">
        <v>2103</v>
      </c>
      <c r="R6" s="7" t="s">
        <v>2099</v>
      </c>
      <c r="S6" s="58" t="n">
        <v>0.5</v>
      </c>
      <c r="T6" s="9" t="n">
        <v>441</v>
      </c>
      <c r="U6" s="56" t="n">
        <f aca="false">I6*O6</f>
        <v>1509.06272</v>
      </c>
      <c r="V6" s="56" t="n">
        <f aca="false">J6*O6</f>
        <v>4527.18816</v>
      </c>
      <c r="W6" s="56" t="n">
        <f aca="false">((I6+J6)/2)*O6</f>
        <v>3018.12544</v>
      </c>
      <c r="X6" s="56" t="n">
        <f aca="false">H6*O6</f>
        <v>3495.072</v>
      </c>
    </row>
    <row r="7" customFormat="false" ht="22.35" hidden="false" customHeight="false" outlineLevel="0" collapsed="false">
      <c r="A7" s="48" t="s">
        <v>2061</v>
      </c>
      <c r="B7" s="49" t="s">
        <v>2104</v>
      </c>
      <c r="C7" s="49" t="s">
        <v>1558</v>
      </c>
      <c r="D7" s="49" t="s">
        <v>2101</v>
      </c>
      <c r="E7" s="57" t="s">
        <v>2102</v>
      </c>
      <c r="F7" s="49" t="s">
        <v>2097</v>
      </c>
      <c r="G7" s="49" t="s">
        <v>2097</v>
      </c>
      <c r="H7" s="51" t="n">
        <v>1396</v>
      </c>
      <c r="I7" s="51" t="n">
        <v>783.39</v>
      </c>
      <c r="J7" s="51" t="n">
        <v>2350.17</v>
      </c>
      <c r="K7" s="52" t="n">
        <v>3968</v>
      </c>
      <c r="L7" s="53" t="n">
        <v>35.7</v>
      </c>
      <c r="M7" s="54" t="n">
        <v>50.8</v>
      </c>
      <c r="N7" s="51" t="n">
        <v>43.887411</v>
      </c>
      <c r="O7" s="55" t="n">
        <v>3.77</v>
      </c>
      <c r="P7" s="51" t="n">
        <v>-954.17</v>
      </c>
      <c r="Q7" s="49" t="s">
        <v>2103</v>
      </c>
      <c r="R7" s="49" t="s">
        <v>2099</v>
      </c>
      <c r="S7" s="53" t="n">
        <v>0.5</v>
      </c>
      <c r="T7" s="51" t="n">
        <v>1984</v>
      </c>
      <c r="U7" s="56" t="n">
        <f aca="false">I7*O7</f>
        <v>2953.3803</v>
      </c>
      <c r="V7" s="56" t="n">
        <f aca="false">J7*O7</f>
        <v>8860.1409</v>
      </c>
      <c r="W7" s="56" t="n">
        <f aca="false">((I7+J7)/2)*O7</f>
        <v>5906.7606</v>
      </c>
      <c r="X7" s="56" t="n">
        <f aca="false">H7*O7</f>
        <v>5262.92</v>
      </c>
    </row>
    <row r="8" customFormat="false" ht="22.35" hidden="false" customHeight="false" outlineLevel="0" collapsed="false">
      <c r="A8" s="48" t="s">
        <v>2061</v>
      </c>
      <c r="B8" s="7" t="s">
        <v>2105</v>
      </c>
      <c r="C8" s="7" t="s">
        <v>1558</v>
      </c>
      <c r="D8" s="7" t="s">
        <v>2101</v>
      </c>
      <c r="E8" s="57" t="s">
        <v>2102</v>
      </c>
      <c r="F8" s="7" t="s">
        <v>2097</v>
      </c>
      <c r="G8" s="7" t="s">
        <v>2097</v>
      </c>
      <c r="H8" s="9" t="n">
        <v>256</v>
      </c>
      <c r="I8" s="9" t="n">
        <v>149.68</v>
      </c>
      <c r="J8" s="9" t="n">
        <v>449.04</v>
      </c>
      <c r="K8" s="52" t="n">
        <v>881.92</v>
      </c>
      <c r="L8" s="58" t="n">
        <v>32.2</v>
      </c>
      <c r="M8" s="59" t="n">
        <v>84.6</v>
      </c>
      <c r="N8" s="9" t="n">
        <v>9.296973</v>
      </c>
      <c r="O8" s="8" t="n">
        <v>2.416</v>
      </c>
      <c r="P8" s="9" t="n">
        <v>-193.04</v>
      </c>
      <c r="Q8" s="7" t="s">
        <v>2103</v>
      </c>
      <c r="R8" s="7" t="s">
        <v>2099</v>
      </c>
      <c r="S8" s="58" t="n">
        <v>0.5</v>
      </c>
      <c r="T8" s="9" t="n">
        <v>440.96</v>
      </c>
      <c r="U8" s="56" t="n">
        <f aca="false">I8*O8</f>
        <v>361.62688</v>
      </c>
      <c r="V8" s="56" t="n">
        <f aca="false">J8*O8</f>
        <v>1084.88064</v>
      </c>
      <c r="W8" s="56" t="n">
        <f aca="false">((I8+J8)/2)*O8</f>
        <v>723.25376</v>
      </c>
      <c r="X8" s="56" t="n">
        <f aca="false">H8*O8</f>
        <v>618.496</v>
      </c>
    </row>
    <row r="9" customFormat="false" ht="22.35" hidden="false" customHeight="false" outlineLevel="0" collapsed="false">
      <c r="A9" s="48" t="s">
        <v>2061</v>
      </c>
      <c r="B9" s="49" t="s">
        <v>2106</v>
      </c>
      <c r="C9" s="49" t="s">
        <v>1558</v>
      </c>
      <c r="D9" s="49" t="s">
        <v>2101</v>
      </c>
      <c r="E9" s="57" t="s">
        <v>2102</v>
      </c>
      <c r="F9" s="49" t="s">
        <v>2097</v>
      </c>
      <c r="G9" s="49" t="s">
        <v>2097</v>
      </c>
      <c r="H9" s="51" t="n">
        <v>988</v>
      </c>
      <c r="I9" s="51" t="n">
        <v>873.97</v>
      </c>
      <c r="J9" s="51" t="n">
        <v>2621.91</v>
      </c>
      <c r="K9" s="52" t="n">
        <v>5000</v>
      </c>
      <c r="L9" s="53" t="n">
        <v>46.9</v>
      </c>
      <c r="M9" s="54" t="n">
        <v>59.1</v>
      </c>
      <c r="N9" s="51" t="n">
        <v>37.269603</v>
      </c>
      <c r="O9" s="55" t="n">
        <v>1.76</v>
      </c>
      <c r="P9" s="51" t="n">
        <v>-1633.91</v>
      </c>
      <c r="Q9" s="49" t="s">
        <v>2103</v>
      </c>
      <c r="R9" s="49" t="s">
        <v>2099</v>
      </c>
      <c r="S9" s="53" t="n">
        <v>0.5</v>
      </c>
      <c r="T9" s="51" t="n">
        <v>2500</v>
      </c>
      <c r="U9" s="56" t="n">
        <f aca="false">I9*O9</f>
        <v>1538.1872</v>
      </c>
      <c r="V9" s="56" t="n">
        <f aca="false">J9*O9</f>
        <v>4614.5616</v>
      </c>
      <c r="W9" s="56" t="n">
        <f aca="false">((I9+J9)/2)*O9</f>
        <v>3076.3744</v>
      </c>
      <c r="X9" s="56" t="n">
        <f aca="false">H9*O9</f>
        <v>1738.88</v>
      </c>
    </row>
    <row r="10" customFormat="false" ht="22.35" hidden="false" customHeight="false" outlineLevel="0" collapsed="false">
      <c r="A10" s="48" t="s">
        <v>2061</v>
      </c>
      <c r="B10" s="7" t="s">
        <v>2107</v>
      </c>
      <c r="C10" s="7" t="s">
        <v>2108</v>
      </c>
      <c r="D10" s="7" t="s">
        <v>2109</v>
      </c>
      <c r="E10" s="60" t="s">
        <v>2110</v>
      </c>
      <c r="F10" s="7" t="s">
        <v>2097</v>
      </c>
      <c r="G10" s="7" t="s">
        <v>2097</v>
      </c>
      <c r="H10" s="9" t="n">
        <v>3356</v>
      </c>
      <c r="I10" s="9" t="n">
        <v>6283.72</v>
      </c>
      <c r="J10" s="9" t="n">
        <v>10472.86</v>
      </c>
      <c r="K10" s="52" t="n">
        <v>15360</v>
      </c>
      <c r="L10" s="58" t="n">
        <v>59.9</v>
      </c>
      <c r="M10" s="59" t="n">
        <v>54.5</v>
      </c>
      <c r="N10" s="9" t="n">
        <v>69.935616</v>
      </c>
      <c r="O10" s="8" t="n">
        <v>0.942</v>
      </c>
      <c r="P10" s="9" t="n">
        <v>-7116.86</v>
      </c>
      <c r="Q10" s="7" t="s">
        <v>2103</v>
      </c>
      <c r="R10" s="7" t="s">
        <v>2099</v>
      </c>
      <c r="S10" s="58" t="n">
        <v>1.5</v>
      </c>
      <c r="T10" s="9" t="n">
        <v>7680</v>
      </c>
      <c r="U10" s="56" t="n">
        <f aca="false">I10*O10</f>
        <v>5919.26424</v>
      </c>
      <c r="V10" s="56" t="n">
        <f aca="false">J10*O10</f>
        <v>9865.43412</v>
      </c>
      <c r="W10" s="56" t="n">
        <f aca="false">((I10+J10)/2)*O10</f>
        <v>7892.34918</v>
      </c>
      <c r="X10" s="56" t="n">
        <f aca="false">H10*O10</f>
        <v>3161.352</v>
      </c>
    </row>
    <row r="11" customFormat="false" ht="22.35" hidden="false" customHeight="false" outlineLevel="0" collapsed="false">
      <c r="A11" s="48" t="s">
        <v>2061</v>
      </c>
      <c r="B11" s="49" t="s">
        <v>2111</v>
      </c>
      <c r="C11" s="49" t="s">
        <v>2112</v>
      </c>
      <c r="D11" s="49" t="s">
        <v>2095</v>
      </c>
      <c r="E11" s="61" t="s">
        <v>2113</v>
      </c>
      <c r="F11" s="49" t="s">
        <v>2097</v>
      </c>
      <c r="G11" s="49" t="s">
        <v>2097</v>
      </c>
      <c r="H11" s="51" t="n">
        <v>498</v>
      </c>
      <c r="I11" s="51" t="n">
        <v>524.68</v>
      </c>
      <c r="J11" s="51" t="n">
        <v>1049.36</v>
      </c>
      <c r="K11" s="52" t="n">
        <v>2160</v>
      </c>
      <c r="L11" s="53" t="n">
        <v>48.6</v>
      </c>
      <c r="M11" s="54" t="n">
        <v>76</v>
      </c>
      <c r="N11" s="51" t="n">
        <v>10.79589</v>
      </c>
      <c r="O11" s="55" t="n">
        <v>2.02</v>
      </c>
      <c r="P11" s="51" t="n">
        <v>-551.36</v>
      </c>
      <c r="Q11" s="49" t="s">
        <v>2103</v>
      </c>
      <c r="R11" s="49" t="s">
        <v>2099</v>
      </c>
      <c r="S11" s="53" t="n">
        <v>1</v>
      </c>
      <c r="T11" s="51" t="n">
        <v>2160</v>
      </c>
      <c r="U11" s="56" t="n">
        <f aca="false">I11*O11</f>
        <v>1059.8536</v>
      </c>
      <c r="V11" s="56" t="n">
        <f aca="false">J11*O11</f>
        <v>2119.7072</v>
      </c>
      <c r="W11" s="56" t="n">
        <f aca="false">((I11+J11)/2)*O11</f>
        <v>1589.7804</v>
      </c>
      <c r="X11" s="56" t="n">
        <f aca="false">H11*O11</f>
        <v>1005.96</v>
      </c>
    </row>
    <row r="12" customFormat="false" ht="22.35" hidden="false" customHeight="false" outlineLevel="0" collapsed="false">
      <c r="A12" s="48" t="s">
        <v>2061</v>
      </c>
      <c r="B12" s="7" t="s">
        <v>2114</v>
      </c>
      <c r="C12" s="7" t="s">
        <v>2115</v>
      </c>
      <c r="D12" s="7" t="s">
        <v>2095</v>
      </c>
      <c r="E12" s="61" t="s">
        <v>2113</v>
      </c>
      <c r="F12" s="7" t="s">
        <v>2097</v>
      </c>
      <c r="G12" s="7" t="s">
        <v>2097</v>
      </c>
      <c r="H12" s="9" t="n">
        <v>4210</v>
      </c>
      <c r="I12" s="9" t="n">
        <v>2396.23</v>
      </c>
      <c r="J12" s="9" t="n">
        <v>4792.46</v>
      </c>
      <c r="K12" s="52" t="n">
        <v>6720</v>
      </c>
      <c r="L12" s="58" t="n">
        <v>29</v>
      </c>
      <c r="M12" s="59" t="n">
        <v>72.5</v>
      </c>
      <c r="N12" s="9" t="n">
        <v>82.628767</v>
      </c>
      <c r="O12" s="8" t="n">
        <v>2.5</v>
      </c>
      <c r="P12" s="9" t="n">
        <v>-582.46</v>
      </c>
      <c r="Q12" s="7" t="s">
        <v>2103</v>
      </c>
      <c r="R12" s="7" t="s">
        <v>2099</v>
      </c>
      <c r="S12" s="58" t="n">
        <v>1</v>
      </c>
      <c r="T12" s="9" t="n">
        <v>3360</v>
      </c>
      <c r="U12" s="56" t="n">
        <f aca="false">I12*O12</f>
        <v>5990.575</v>
      </c>
      <c r="V12" s="56" t="n">
        <f aca="false">J12*O12</f>
        <v>11981.15</v>
      </c>
      <c r="W12" s="56" t="n">
        <f aca="false">((I12+J12)/2)*O12</f>
        <v>8985.8625</v>
      </c>
      <c r="X12" s="56" t="n">
        <f aca="false">H12*O12</f>
        <v>10525</v>
      </c>
    </row>
    <row r="13" customFormat="false" ht="22.35" hidden="false" customHeight="false" outlineLevel="0" collapsed="false">
      <c r="A13" s="48" t="s">
        <v>2061</v>
      </c>
      <c r="B13" s="49" t="s">
        <v>2116</v>
      </c>
      <c r="C13" s="49" t="s">
        <v>2117</v>
      </c>
      <c r="D13" s="49" t="s">
        <v>2095</v>
      </c>
      <c r="E13" s="61" t="s">
        <v>2113</v>
      </c>
      <c r="F13" s="49" t="s">
        <v>2097</v>
      </c>
      <c r="G13" s="49" t="s">
        <v>2097</v>
      </c>
      <c r="H13" s="51" t="n">
        <v>4208</v>
      </c>
      <c r="I13" s="51" t="n">
        <v>2305.49</v>
      </c>
      <c r="J13" s="51" t="n">
        <v>4610.98</v>
      </c>
      <c r="K13" s="52" t="n">
        <v>6720</v>
      </c>
      <c r="L13" s="53" t="n">
        <v>28.2</v>
      </c>
      <c r="M13" s="54" t="n">
        <v>69.8</v>
      </c>
      <c r="N13" s="51" t="n">
        <v>81.754795</v>
      </c>
      <c r="O13" s="55" t="n">
        <v>1.13</v>
      </c>
      <c r="P13" s="51" t="n">
        <v>-402.98</v>
      </c>
      <c r="Q13" s="49" t="s">
        <v>2103</v>
      </c>
      <c r="R13" s="49" t="s">
        <v>2099</v>
      </c>
      <c r="S13" s="53" t="n">
        <v>1</v>
      </c>
      <c r="T13" s="51" t="n">
        <v>3360</v>
      </c>
      <c r="U13" s="56" t="n">
        <f aca="false">I13*O13</f>
        <v>2605.2037</v>
      </c>
      <c r="V13" s="56" t="n">
        <f aca="false">J13*O13</f>
        <v>5210.4074</v>
      </c>
      <c r="W13" s="56" t="n">
        <f aca="false">((I13+J13)/2)*O13</f>
        <v>3907.80555</v>
      </c>
      <c r="X13" s="56" t="n">
        <f aca="false">H13*O13</f>
        <v>4755.04</v>
      </c>
    </row>
    <row r="14" customFormat="false" ht="22.35" hidden="false" customHeight="false" outlineLevel="0" collapsed="false">
      <c r="A14" s="48" t="s">
        <v>2061</v>
      </c>
      <c r="B14" s="7" t="s">
        <v>2118</v>
      </c>
      <c r="C14" s="7" t="s">
        <v>2119</v>
      </c>
      <c r="D14" s="7" t="s">
        <v>2109</v>
      </c>
      <c r="E14" s="60" t="s">
        <v>2110</v>
      </c>
      <c r="F14" s="7" t="s">
        <v>2097</v>
      </c>
      <c r="G14" s="7" t="s">
        <v>2097</v>
      </c>
      <c r="H14" s="9" t="n">
        <v>28000</v>
      </c>
      <c r="I14" s="9" t="n">
        <v>99867.81</v>
      </c>
      <c r="J14" s="9" t="n">
        <v>166446.35</v>
      </c>
      <c r="K14" s="52" t="n">
        <v>169344</v>
      </c>
      <c r="L14" s="58" t="n">
        <v>64.8</v>
      </c>
      <c r="M14" s="59" t="n">
        <v>77.8</v>
      </c>
      <c r="N14" s="9" t="n">
        <v>1027.446575</v>
      </c>
      <c r="O14" s="8" t="n">
        <v>1.56</v>
      </c>
      <c r="P14" s="9" t="n">
        <v>-138446.35</v>
      </c>
      <c r="Q14" s="7" t="s">
        <v>2103</v>
      </c>
      <c r="R14" s="7" t="s">
        <v>2099</v>
      </c>
      <c r="S14" s="58" t="n">
        <v>1.5</v>
      </c>
      <c r="T14" s="9" t="n">
        <v>14112</v>
      </c>
      <c r="U14" s="56" t="n">
        <f aca="false">I14*O14</f>
        <v>155793.7836</v>
      </c>
      <c r="V14" s="56" t="n">
        <f aca="false">J14*O14</f>
        <v>259656.306</v>
      </c>
      <c r="W14" s="56" t="n">
        <f aca="false">((I14+J14)/2)*O14</f>
        <v>207725.0448</v>
      </c>
      <c r="X14" s="56" t="n">
        <f aca="false">H14*O14</f>
        <v>43680</v>
      </c>
    </row>
    <row r="15" customFormat="false" ht="15" hidden="false" customHeight="false" outlineLevel="0" collapsed="false">
      <c r="A15" s="48" t="s">
        <v>2061</v>
      </c>
      <c r="B15" s="49" t="s">
        <v>2120</v>
      </c>
      <c r="C15" s="49" t="s">
        <v>2121</v>
      </c>
      <c r="D15" s="49" t="s">
        <v>2101</v>
      </c>
      <c r="E15" s="50" t="s">
        <v>2096</v>
      </c>
      <c r="F15" s="49" t="s">
        <v>2097</v>
      </c>
      <c r="G15" s="49" t="s">
        <v>2097</v>
      </c>
      <c r="H15" s="51" t="n">
        <v>2921</v>
      </c>
      <c r="I15" s="51" t="n">
        <v>843.09</v>
      </c>
      <c r="J15" s="51" t="n">
        <v>2529.27</v>
      </c>
      <c r="K15" s="52" t="n">
        <v>3600</v>
      </c>
      <c r="L15" s="53" t="n">
        <v>35.3</v>
      </c>
      <c r="M15" s="54" t="n">
        <v>42.9</v>
      </c>
      <c r="N15" s="51" t="n">
        <v>47.767123</v>
      </c>
      <c r="O15" s="55" t="n">
        <v>0.6784</v>
      </c>
      <c r="P15" s="51" t="n">
        <v>391.73</v>
      </c>
      <c r="Q15" s="49" t="s">
        <v>2098</v>
      </c>
      <c r="R15" s="49" t="s">
        <v>2099</v>
      </c>
      <c r="S15" s="53" t="n">
        <v>0.5</v>
      </c>
      <c r="T15" s="51" t="n">
        <v>3600</v>
      </c>
      <c r="U15" s="56" t="n">
        <f aca="false">I15*O15</f>
        <v>571.952256</v>
      </c>
      <c r="V15" s="56" t="n">
        <f aca="false">J15*O15</f>
        <v>1715.856768</v>
      </c>
      <c r="W15" s="56" t="n">
        <f aca="false">((I15+J15)/2)*O15</f>
        <v>1143.904512</v>
      </c>
      <c r="X15" s="56" t="n">
        <f aca="false">H15*O15</f>
        <v>1981.6064</v>
      </c>
    </row>
    <row r="16" customFormat="false" ht="22.35" hidden="false" customHeight="false" outlineLevel="0" collapsed="false">
      <c r="A16" s="48" t="s">
        <v>2061</v>
      </c>
      <c r="B16" s="7" t="s">
        <v>2122</v>
      </c>
      <c r="C16" s="7" t="s">
        <v>2123</v>
      </c>
      <c r="D16" s="7" t="s">
        <v>2109</v>
      </c>
      <c r="E16" s="60" t="s">
        <v>2110</v>
      </c>
      <c r="F16" s="7" t="s">
        <v>2097</v>
      </c>
      <c r="G16" s="7" t="s">
        <v>2097</v>
      </c>
      <c r="H16" s="9" t="n">
        <v>28000</v>
      </c>
      <c r="I16" s="9" t="n">
        <v>97303.79</v>
      </c>
      <c r="J16" s="9" t="n">
        <v>162172.98</v>
      </c>
      <c r="K16" s="52" t="n">
        <v>165600</v>
      </c>
      <c r="L16" s="58" t="n">
        <v>66.3</v>
      </c>
      <c r="M16" s="59" t="n">
        <v>78.9</v>
      </c>
      <c r="N16" s="9" t="n">
        <v>978.419178</v>
      </c>
      <c r="O16" s="8" t="n">
        <v>0.34</v>
      </c>
      <c r="P16" s="9" t="n">
        <v>-134172.98</v>
      </c>
      <c r="Q16" s="7" t="s">
        <v>2103</v>
      </c>
      <c r="R16" s="7" t="s">
        <v>2099</v>
      </c>
      <c r="S16" s="58" t="n">
        <v>1.5</v>
      </c>
      <c r="T16" s="9" t="n">
        <v>7200</v>
      </c>
      <c r="U16" s="56" t="n">
        <f aca="false">I16*O16</f>
        <v>33083.2886</v>
      </c>
      <c r="V16" s="56" t="n">
        <f aca="false">J16*O16</f>
        <v>55138.8132</v>
      </c>
      <c r="W16" s="56" t="n">
        <f aca="false">((I16+J16)/2)*O16</f>
        <v>44111.0509</v>
      </c>
      <c r="X16" s="56" t="n">
        <f aca="false">H16*O16</f>
        <v>9520</v>
      </c>
    </row>
    <row r="17" customFormat="false" ht="15" hidden="false" customHeight="false" outlineLevel="0" collapsed="false">
      <c r="A17" s="48" t="s">
        <v>2061</v>
      </c>
      <c r="B17" s="49" t="s">
        <v>2124</v>
      </c>
      <c r="C17" s="49" t="s">
        <v>2125</v>
      </c>
      <c r="D17" s="49" t="s">
        <v>2101</v>
      </c>
      <c r="E17" s="50" t="s">
        <v>2096</v>
      </c>
      <c r="F17" s="49" t="s">
        <v>2097</v>
      </c>
      <c r="G17" s="49" t="s">
        <v>2097</v>
      </c>
      <c r="H17" s="51" t="n">
        <v>503</v>
      </c>
      <c r="I17" s="51" t="n">
        <v>128.47</v>
      </c>
      <c r="J17" s="51" t="n">
        <v>385.41</v>
      </c>
      <c r="K17" s="52" t="n">
        <v>500</v>
      </c>
      <c r="L17" s="53" t="n">
        <v>50.9</v>
      </c>
      <c r="M17" s="54" t="n">
        <v>60</v>
      </c>
      <c r="N17" s="51" t="n">
        <v>5.047945</v>
      </c>
      <c r="O17" s="55" t="n">
        <v>4.3215</v>
      </c>
      <c r="P17" s="51" t="n">
        <v>117.59</v>
      </c>
      <c r="Q17" s="49" t="s">
        <v>2098</v>
      </c>
      <c r="R17" s="49" t="s">
        <v>2099</v>
      </c>
      <c r="S17" s="53" t="n">
        <v>0.5</v>
      </c>
      <c r="T17" s="51" t="n">
        <v>500</v>
      </c>
      <c r="U17" s="56" t="n">
        <f aca="false">I17*O17</f>
        <v>555.183105</v>
      </c>
      <c r="V17" s="56" t="n">
        <f aca="false">J17*O17</f>
        <v>1665.549315</v>
      </c>
      <c r="W17" s="56" t="n">
        <f aca="false">((I17+J17)/2)*O17</f>
        <v>1110.36621</v>
      </c>
      <c r="X17" s="56" t="n">
        <f aca="false">H17*O17</f>
        <v>2173.7145</v>
      </c>
    </row>
    <row r="18" customFormat="false" ht="15" hidden="false" customHeight="false" outlineLevel="0" collapsed="false">
      <c r="A18" s="48" t="s">
        <v>2061</v>
      </c>
      <c r="B18" s="7" t="s">
        <v>2126</v>
      </c>
      <c r="C18" s="7" t="s">
        <v>2127</v>
      </c>
      <c r="D18" s="7" t="s">
        <v>2101</v>
      </c>
      <c r="E18" s="50" t="s">
        <v>2096</v>
      </c>
      <c r="F18" s="7" t="s">
        <v>2097</v>
      </c>
      <c r="G18" s="7" t="s">
        <v>2097</v>
      </c>
      <c r="H18" s="9" t="n">
        <v>504</v>
      </c>
      <c r="I18" s="9" t="n">
        <v>148.24</v>
      </c>
      <c r="J18" s="9" t="n">
        <v>444.72</v>
      </c>
      <c r="K18" s="52" t="n">
        <v>2400</v>
      </c>
      <c r="L18" s="58" t="n">
        <v>58.7</v>
      </c>
      <c r="M18" s="59" t="n">
        <v>61.5</v>
      </c>
      <c r="N18" s="9" t="n">
        <v>5.050685</v>
      </c>
      <c r="O18" s="8" t="n">
        <v>2.3214</v>
      </c>
      <c r="P18" s="9" t="n">
        <v>59.28</v>
      </c>
      <c r="Q18" s="7" t="s">
        <v>2098</v>
      </c>
      <c r="R18" s="7" t="s">
        <v>2099</v>
      </c>
      <c r="S18" s="58" t="n">
        <v>0.5</v>
      </c>
      <c r="T18" s="9" t="n">
        <v>2400</v>
      </c>
      <c r="U18" s="56" t="n">
        <f aca="false">I18*O18</f>
        <v>344.124336</v>
      </c>
      <c r="V18" s="56" t="n">
        <f aca="false">J18*O18</f>
        <v>1032.373008</v>
      </c>
      <c r="W18" s="56" t="n">
        <f aca="false">((I18+J18)/2)*O18</f>
        <v>688.248672</v>
      </c>
      <c r="X18" s="56" t="n">
        <f aca="false">H18*O18</f>
        <v>1169.9856</v>
      </c>
    </row>
    <row r="19" customFormat="false" ht="22.35" hidden="false" customHeight="false" outlineLevel="0" collapsed="false">
      <c r="A19" s="48" t="s">
        <v>2061</v>
      </c>
      <c r="B19" s="49" t="s">
        <v>2128</v>
      </c>
      <c r="C19" s="49" t="s">
        <v>2129</v>
      </c>
      <c r="D19" s="49" t="s">
        <v>2095</v>
      </c>
      <c r="E19" s="61" t="s">
        <v>2113</v>
      </c>
      <c r="F19" s="49" t="s">
        <v>2097</v>
      </c>
      <c r="G19" s="49" t="s">
        <v>2097</v>
      </c>
      <c r="H19" s="51" t="n">
        <v>3432</v>
      </c>
      <c r="I19" s="51" t="n">
        <v>1738.18</v>
      </c>
      <c r="J19" s="51" t="n">
        <v>3476.36</v>
      </c>
      <c r="K19" s="52" t="n">
        <v>4000</v>
      </c>
      <c r="L19" s="53" t="n">
        <v>28.8</v>
      </c>
      <c r="M19" s="54" t="n">
        <v>75</v>
      </c>
      <c r="N19" s="51" t="n">
        <v>60.353425</v>
      </c>
      <c r="O19" s="55" t="n">
        <v>0.26</v>
      </c>
      <c r="P19" s="51" t="n">
        <v>-44.36</v>
      </c>
      <c r="Q19" s="49" t="s">
        <v>2103</v>
      </c>
      <c r="R19" s="49" t="s">
        <v>2099</v>
      </c>
      <c r="S19" s="53" t="n">
        <v>1</v>
      </c>
      <c r="T19" s="51" t="n">
        <v>2000</v>
      </c>
      <c r="U19" s="56" t="n">
        <f aca="false">I19*O19</f>
        <v>451.9268</v>
      </c>
      <c r="V19" s="56" t="n">
        <f aca="false">J19*O19</f>
        <v>903.8536</v>
      </c>
      <c r="W19" s="56" t="n">
        <f aca="false">((I19+J19)/2)*O19</f>
        <v>677.8902</v>
      </c>
      <c r="X19" s="56" t="n">
        <f aca="false">H19*O19</f>
        <v>892.32</v>
      </c>
    </row>
    <row r="20" customFormat="false" ht="22.35" hidden="false" customHeight="false" outlineLevel="0" collapsed="false">
      <c r="A20" s="48" t="s">
        <v>2061</v>
      </c>
      <c r="B20" s="7" t="s">
        <v>2130</v>
      </c>
      <c r="C20" s="7" t="s">
        <v>2131</v>
      </c>
      <c r="D20" s="7" t="s">
        <v>2095</v>
      </c>
      <c r="E20" s="61" t="s">
        <v>2113</v>
      </c>
      <c r="F20" s="7" t="s">
        <v>2097</v>
      </c>
      <c r="G20" s="7" t="s">
        <v>2097</v>
      </c>
      <c r="H20" s="9" t="n">
        <v>370</v>
      </c>
      <c r="I20" s="9" t="n">
        <v>405.4</v>
      </c>
      <c r="J20" s="9" t="n">
        <v>810.8</v>
      </c>
      <c r="K20" s="52" t="n">
        <v>2040</v>
      </c>
      <c r="L20" s="58" t="n">
        <v>63.1</v>
      </c>
      <c r="M20" s="59" t="n">
        <v>47.8</v>
      </c>
      <c r="N20" s="9" t="n">
        <v>6.424658</v>
      </c>
      <c r="O20" s="8" t="n">
        <v>6.398</v>
      </c>
      <c r="P20" s="9" t="n">
        <v>-440.8</v>
      </c>
      <c r="Q20" s="7" t="s">
        <v>2103</v>
      </c>
      <c r="R20" s="7" t="s">
        <v>2099</v>
      </c>
      <c r="S20" s="58" t="n">
        <v>1</v>
      </c>
      <c r="T20" s="9" t="n">
        <v>2040</v>
      </c>
      <c r="U20" s="56" t="n">
        <f aca="false">I20*O20</f>
        <v>2593.7492</v>
      </c>
      <c r="V20" s="56" t="n">
        <f aca="false">J20*O20</f>
        <v>5187.4984</v>
      </c>
      <c r="W20" s="56" t="n">
        <f aca="false">((I20+J20)/2)*O20</f>
        <v>3890.6238</v>
      </c>
      <c r="X20" s="56" t="n">
        <f aca="false">H20*O20</f>
        <v>2367.26</v>
      </c>
    </row>
    <row r="21" customFormat="false" ht="22.35" hidden="false" customHeight="false" outlineLevel="0" collapsed="false">
      <c r="A21" s="48" t="s">
        <v>2061</v>
      </c>
      <c r="B21" s="49" t="s">
        <v>2132</v>
      </c>
      <c r="C21" s="49" t="s">
        <v>2133</v>
      </c>
      <c r="D21" s="49" t="s">
        <v>2095</v>
      </c>
      <c r="E21" s="61" t="s">
        <v>2113</v>
      </c>
      <c r="F21" s="49" t="s">
        <v>2097</v>
      </c>
      <c r="G21" s="49" t="s">
        <v>2097</v>
      </c>
      <c r="H21" s="51" t="n">
        <v>359</v>
      </c>
      <c r="I21" s="51" t="n">
        <v>330.45</v>
      </c>
      <c r="J21" s="51" t="n">
        <v>660.9</v>
      </c>
      <c r="K21" s="52" t="n">
        <v>720</v>
      </c>
      <c r="L21" s="53" t="n">
        <v>51.6</v>
      </c>
      <c r="M21" s="54" t="n">
        <v>50</v>
      </c>
      <c r="N21" s="51" t="n">
        <v>6.40411</v>
      </c>
      <c r="O21" s="55" t="n">
        <v>2.57</v>
      </c>
      <c r="P21" s="51" t="n">
        <v>-301.9</v>
      </c>
      <c r="Q21" s="49" t="s">
        <v>2103</v>
      </c>
      <c r="R21" s="49" t="s">
        <v>2099</v>
      </c>
      <c r="S21" s="53" t="n">
        <v>1</v>
      </c>
      <c r="T21" s="51" t="n">
        <v>120</v>
      </c>
      <c r="U21" s="56" t="n">
        <f aca="false">I21*O21</f>
        <v>849.2565</v>
      </c>
      <c r="V21" s="56" t="n">
        <f aca="false">J21*O21</f>
        <v>1698.513</v>
      </c>
      <c r="W21" s="56" t="n">
        <f aca="false">((I21+J21)/2)*O21</f>
        <v>1273.88475</v>
      </c>
      <c r="X21" s="56" t="n">
        <f aca="false">H21*O21</f>
        <v>922.63</v>
      </c>
    </row>
    <row r="22" customFormat="false" ht="22.35" hidden="false" customHeight="false" outlineLevel="0" collapsed="false">
      <c r="A22" s="48" t="s">
        <v>2061</v>
      </c>
      <c r="B22" s="7" t="s">
        <v>2134</v>
      </c>
      <c r="C22" s="7" t="s">
        <v>2135</v>
      </c>
      <c r="D22" s="7" t="s">
        <v>2095</v>
      </c>
      <c r="E22" s="61" t="s">
        <v>2113</v>
      </c>
      <c r="F22" s="7" t="s">
        <v>2097</v>
      </c>
      <c r="G22" s="7" t="s">
        <v>2097</v>
      </c>
      <c r="H22" s="9" t="n">
        <v>4505</v>
      </c>
      <c r="I22" s="9" t="n">
        <v>4825.26</v>
      </c>
      <c r="J22" s="9" t="n">
        <v>9650.52</v>
      </c>
      <c r="K22" s="52" t="n">
        <v>11478</v>
      </c>
      <c r="L22" s="58" t="n">
        <v>63.4</v>
      </c>
      <c r="M22" s="59" t="n">
        <v>33.3</v>
      </c>
      <c r="N22" s="9" t="n">
        <v>76.108219</v>
      </c>
      <c r="O22" s="8" t="n">
        <v>2.85</v>
      </c>
      <c r="P22" s="9" t="n">
        <v>-5145.52</v>
      </c>
      <c r="Q22" s="7" t="s">
        <v>2103</v>
      </c>
      <c r="R22" s="7" t="s">
        <v>2099</v>
      </c>
      <c r="S22" s="58" t="n">
        <v>1</v>
      </c>
      <c r="T22" s="9" t="n">
        <v>3826</v>
      </c>
      <c r="U22" s="56" t="n">
        <f aca="false">I22*O22</f>
        <v>13751.991</v>
      </c>
      <c r="V22" s="56" t="n">
        <f aca="false">J22*O22</f>
        <v>27503.982</v>
      </c>
      <c r="W22" s="56" t="n">
        <f aca="false">((I22+J22)/2)*O22</f>
        <v>20627.9865</v>
      </c>
      <c r="X22" s="56" t="n">
        <f aca="false">H22*O22</f>
        <v>12839.25</v>
      </c>
    </row>
    <row r="23" customFormat="false" ht="22.35" hidden="false" customHeight="false" outlineLevel="0" collapsed="false">
      <c r="A23" s="48" t="s">
        <v>2061</v>
      </c>
      <c r="B23" s="49" t="s">
        <v>2136</v>
      </c>
      <c r="C23" s="49" t="s">
        <v>2137</v>
      </c>
      <c r="D23" s="49" t="s">
        <v>2095</v>
      </c>
      <c r="E23" s="61" t="s">
        <v>2113</v>
      </c>
      <c r="F23" s="49" t="s">
        <v>2097</v>
      </c>
      <c r="G23" s="49" t="s">
        <v>2097</v>
      </c>
      <c r="H23" s="51" t="n">
        <v>4505</v>
      </c>
      <c r="I23" s="51" t="n">
        <v>5313.31</v>
      </c>
      <c r="J23" s="51" t="n">
        <v>10626.62</v>
      </c>
      <c r="K23" s="52" t="n">
        <v>10800</v>
      </c>
      <c r="L23" s="53" t="n">
        <v>69.8</v>
      </c>
      <c r="M23" s="54" t="n">
        <v>36</v>
      </c>
      <c r="N23" s="51" t="n">
        <v>76.121918</v>
      </c>
      <c r="O23" s="55" t="n">
        <v>6.14</v>
      </c>
      <c r="P23" s="51" t="n">
        <v>-6121.62</v>
      </c>
      <c r="Q23" s="49" t="s">
        <v>2103</v>
      </c>
      <c r="R23" s="49" t="s">
        <v>2099</v>
      </c>
      <c r="S23" s="53" t="n">
        <v>1</v>
      </c>
      <c r="T23" s="51" t="n">
        <v>3600</v>
      </c>
      <c r="U23" s="56" t="n">
        <f aca="false">I23*O23</f>
        <v>32623.7234</v>
      </c>
      <c r="V23" s="56" t="n">
        <f aca="false">J23*O23</f>
        <v>65247.4468</v>
      </c>
      <c r="W23" s="56" t="n">
        <f aca="false">((I23+J23)/2)*O23</f>
        <v>48935.5851</v>
      </c>
      <c r="X23" s="56" t="n">
        <f aca="false">H23*O23</f>
        <v>27660.7</v>
      </c>
    </row>
    <row r="24" customFormat="false" ht="15" hidden="false" customHeight="false" outlineLevel="0" collapsed="false">
      <c r="A24" s="48" t="s">
        <v>2061</v>
      </c>
      <c r="B24" s="7" t="s">
        <v>2138</v>
      </c>
      <c r="C24" s="7" t="s">
        <v>2139</v>
      </c>
      <c r="D24" s="7" t="s">
        <v>2101</v>
      </c>
      <c r="E24" s="50" t="s">
        <v>2096</v>
      </c>
      <c r="F24" s="7" t="s">
        <v>2097</v>
      </c>
      <c r="G24" s="7" t="s">
        <v>2097</v>
      </c>
      <c r="H24" s="9" t="n">
        <v>100</v>
      </c>
      <c r="I24" s="9" t="n">
        <v>18.76</v>
      </c>
      <c r="J24" s="9" t="n">
        <v>56.27</v>
      </c>
      <c r="K24" s="52" t="n">
        <v>1000</v>
      </c>
      <c r="L24" s="58" t="n">
        <v>56</v>
      </c>
      <c r="M24" s="59" t="n">
        <v>50</v>
      </c>
      <c r="N24" s="9" t="n">
        <v>0.669863</v>
      </c>
      <c r="O24" s="8" t="n">
        <v>3.749</v>
      </c>
      <c r="P24" s="9" t="n">
        <v>43.73</v>
      </c>
      <c r="Q24" s="7" t="s">
        <v>2098</v>
      </c>
      <c r="R24" s="7" t="s">
        <v>2099</v>
      </c>
      <c r="S24" s="58" t="n">
        <v>0.5</v>
      </c>
      <c r="T24" s="9" t="n">
        <v>1000</v>
      </c>
      <c r="U24" s="56" t="n">
        <f aca="false">I24*O24</f>
        <v>70.33124</v>
      </c>
      <c r="V24" s="56" t="n">
        <f aca="false">J24*O24</f>
        <v>210.95623</v>
      </c>
      <c r="W24" s="56" t="n">
        <f aca="false">((I24+J24)/2)*O24</f>
        <v>140.643735</v>
      </c>
      <c r="X24" s="56" t="n">
        <f aca="false">H24*O24</f>
        <v>374.9</v>
      </c>
    </row>
    <row r="25" customFormat="false" ht="22.35" hidden="false" customHeight="false" outlineLevel="0" collapsed="false">
      <c r="A25" s="48" t="s">
        <v>2061</v>
      </c>
      <c r="B25" s="49" t="s">
        <v>2140</v>
      </c>
      <c r="C25" s="49" t="s">
        <v>2141</v>
      </c>
      <c r="D25" s="49" t="s">
        <v>2095</v>
      </c>
      <c r="E25" s="61" t="s">
        <v>2113</v>
      </c>
      <c r="F25" s="49" t="s">
        <v>2097</v>
      </c>
      <c r="G25" s="49" t="s">
        <v>2097</v>
      </c>
      <c r="H25" s="51" t="n">
        <v>1200</v>
      </c>
      <c r="I25" s="51" t="n">
        <v>3505.47</v>
      </c>
      <c r="J25" s="51" t="n">
        <v>7010.94</v>
      </c>
      <c r="K25" s="52" t="n">
        <v>12000</v>
      </c>
      <c r="L25" s="53" t="n">
        <v>50.2</v>
      </c>
      <c r="M25" s="54" t="n">
        <v>61.9</v>
      </c>
      <c r="N25" s="51" t="n">
        <v>69.830137</v>
      </c>
      <c r="O25" s="55" t="n">
        <v>6.12</v>
      </c>
      <c r="P25" s="51" t="n">
        <v>-5810.94</v>
      </c>
      <c r="Q25" s="49" t="s">
        <v>2103</v>
      </c>
      <c r="R25" s="49" t="s">
        <v>2099</v>
      </c>
      <c r="S25" s="53" t="n">
        <v>1</v>
      </c>
      <c r="T25" s="51" t="n">
        <v>6000</v>
      </c>
      <c r="U25" s="56" t="n">
        <f aca="false">I25*O25</f>
        <v>21453.4764</v>
      </c>
      <c r="V25" s="56" t="n">
        <f aca="false">J25*O25</f>
        <v>42906.9528</v>
      </c>
      <c r="W25" s="56" t="n">
        <f aca="false">((I25+J25)/2)*O25</f>
        <v>32180.2146</v>
      </c>
      <c r="X25" s="56" t="n">
        <f aca="false">H25*O25</f>
        <v>7344</v>
      </c>
    </row>
    <row r="26" customFormat="false" ht="22.35" hidden="false" customHeight="false" outlineLevel="0" collapsed="false">
      <c r="A26" s="48" t="s">
        <v>2061</v>
      </c>
      <c r="B26" s="7" t="s">
        <v>2142</v>
      </c>
      <c r="C26" s="7" t="s">
        <v>2143</v>
      </c>
      <c r="D26" s="7" t="s">
        <v>2095</v>
      </c>
      <c r="E26" s="61" t="s">
        <v>2113</v>
      </c>
      <c r="F26" s="7" t="s">
        <v>2097</v>
      </c>
      <c r="G26" s="7" t="s">
        <v>2097</v>
      </c>
      <c r="H26" s="9" t="n">
        <v>1200</v>
      </c>
      <c r="I26" s="9" t="n">
        <v>3728.12</v>
      </c>
      <c r="J26" s="9" t="n">
        <v>7456.24</v>
      </c>
      <c r="K26" s="52" t="n">
        <v>12000</v>
      </c>
      <c r="L26" s="58" t="n">
        <v>53.8</v>
      </c>
      <c r="M26" s="59" t="n">
        <v>60</v>
      </c>
      <c r="N26" s="9" t="n">
        <v>69.29589</v>
      </c>
      <c r="O26" s="8" t="n">
        <v>1.4812</v>
      </c>
      <c r="P26" s="9" t="n">
        <v>-6256.24</v>
      </c>
      <c r="Q26" s="7" t="s">
        <v>2103</v>
      </c>
      <c r="R26" s="7" t="s">
        <v>2099</v>
      </c>
      <c r="S26" s="58" t="n">
        <v>1</v>
      </c>
      <c r="T26" s="9" t="n">
        <v>6000</v>
      </c>
      <c r="U26" s="56" t="n">
        <f aca="false">I26*O26</f>
        <v>5522.091344</v>
      </c>
      <c r="V26" s="56" t="n">
        <f aca="false">J26*O26</f>
        <v>11044.182688</v>
      </c>
      <c r="W26" s="56" t="n">
        <f aca="false">((I26+J26)/2)*O26</f>
        <v>8283.137016</v>
      </c>
      <c r="X26" s="56" t="n">
        <f aca="false">H26*O26</f>
        <v>1777.44</v>
      </c>
    </row>
    <row r="27" customFormat="false" ht="22.35" hidden="false" customHeight="false" outlineLevel="0" collapsed="false">
      <c r="A27" s="48" t="s">
        <v>2061</v>
      </c>
      <c r="B27" s="49" t="s">
        <v>2144</v>
      </c>
      <c r="C27" s="49" t="s">
        <v>2145</v>
      </c>
      <c r="D27" s="49" t="s">
        <v>2109</v>
      </c>
      <c r="E27" s="60" t="s">
        <v>2110</v>
      </c>
      <c r="F27" s="49" t="s">
        <v>2097</v>
      </c>
      <c r="G27" s="49" t="s">
        <v>2097</v>
      </c>
      <c r="H27" s="51" t="n">
        <v>12000</v>
      </c>
      <c r="I27" s="51" t="n">
        <v>65538.13</v>
      </c>
      <c r="J27" s="51" t="n">
        <v>109230.21</v>
      </c>
      <c r="K27" s="52" t="n">
        <v>113280</v>
      </c>
      <c r="L27" s="53" t="n">
        <v>78.7</v>
      </c>
      <c r="M27" s="54" t="n">
        <v>61</v>
      </c>
      <c r="N27" s="51" t="n">
        <v>555.172603</v>
      </c>
      <c r="O27" s="55" t="n">
        <v>5.45</v>
      </c>
      <c r="P27" s="51" t="n">
        <v>-97230.21</v>
      </c>
      <c r="Q27" s="49" t="s">
        <v>2103</v>
      </c>
      <c r="R27" s="49" t="s">
        <v>2099</v>
      </c>
      <c r="S27" s="53" t="n">
        <v>1.5</v>
      </c>
      <c r="T27" s="51" t="n">
        <v>7080</v>
      </c>
      <c r="U27" s="56" t="n">
        <f aca="false">I27*O27</f>
        <v>357182.8085</v>
      </c>
      <c r="V27" s="56" t="n">
        <f aca="false">J27*O27</f>
        <v>595304.6445</v>
      </c>
      <c r="W27" s="56" t="n">
        <f aca="false">((I27+J27)/2)*O27</f>
        <v>476243.7265</v>
      </c>
      <c r="X27" s="56" t="n">
        <f aca="false">H27*O27</f>
        <v>65400</v>
      </c>
    </row>
    <row r="28" customFormat="false" ht="22.35" hidden="false" customHeight="false" outlineLevel="0" collapsed="false">
      <c r="A28" s="48" t="s">
        <v>2061</v>
      </c>
      <c r="B28" s="7" t="s">
        <v>2146</v>
      </c>
      <c r="C28" s="7" t="s">
        <v>2147</v>
      </c>
      <c r="D28" s="7" t="s">
        <v>2095</v>
      </c>
      <c r="E28" s="61" t="s">
        <v>2113</v>
      </c>
      <c r="F28" s="7" t="s">
        <v>2097</v>
      </c>
      <c r="G28" s="7" t="s">
        <v>2097</v>
      </c>
      <c r="H28" s="9" t="n">
        <v>1271</v>
      </c>
      <c r="I28" s="9" t="n">
        <v>1304.93</v>
      </c>
      <c r="J28" s="9" t="n">
        <v>2609.86</v>
      </c>
      <c r="K28" s="52" t="n">
        <v>3600</v>
      </c>
      <c r="L28" s="58" t="n">
        <v>60.9</v>
      </c>
      <c r="M28" s="59" t="n">
        <v>44.2</v>
      </c>
      <c r="N28" s="9" t="n">
        <v>21.427397</v>
      </c>
      <c r="O28" s="8" t="n">
        <v>6.06</v>
      </c>
      <c r="P28" s="9" t="n">
        <v>-1338.86</v>
      </c>
      <c r="Q28" s="7" t="s">
        <v>2103</v>
      </c>
      <c r="R28" s="7" t="s">
        <v>2099</v>
      </c>
      <c r="S28" s="58" t="n">
        <v>1</v>
      </c>
      <c r="T28" s="9" t="n">
        <v>1800</v>
      </c>
      <c r="U28" s="56" t="n">
        <f aca="false">I28*O28</f>
        <v>7907.8758</v>
      </c>
      <c r="V28" s="56" t="n">
        <f aca="false">J28*O28</f>
        <v>15815.7516</v>
      </c>
      <c r="W28" s="56" t="n">
        <f aca="false">((I28+J28)/2)*O28</f>
        <v>11861.8137</v>
      </c>
      <c r="X28" s="56" t="n">
        <f aca="false">H28*O28</f>
        <v>7702.26</v>
      </c>
    </row>
    <row r="29" customFormat="false" ht="22.35" hidden="false" customHeight="false" outlineLevel="0" collapsed="false">
      <c r="A29" s="48" t="s">
        <v>2061</v>
      </c>
      <c r="B29" s="49" t="s">
        <v>2148</v>
      </c>
      <c r="C29" s="49" t="s">
        <v>2149</v>
      </c>
      <c r="D29" s="49" t="s">
        <v>2109</v>
      </c>
      <c r="E29" s="60" t="s">
        <v>2110</v>
      </c>
      <c r="F29" s="49" t="s">
        <v>2097</v>
      </c>
      <c r="G29" s="49" t="s">
        <v>2097</v>
      </c>
      <c r="H29" s="51" t="n">
        <v>6000</v>
      </c>
      <c r="I29" s="51" t="n">
        <v>16741.04</v>
      </c>
      <c r="J29" s="51" t="n">
        <v>27901.73</v>
      </c>
      <c r="K29" s="52" t="n">
        <v>28800</v>
      </c>
      <c r="L29" s="53" t="n">
        <v>81.1</v>
      </c>
      <c r="M29" s="54" t="n">
        <v>51.6</v>
      </c>
      <c r="N29" s="51" t="n">
        <v>137.616438</v>
      </c>
      <c r="O29" s="55" t="n">
        <v>5.9</v>
      </c>
      <c r="P29" s="51" t="n">
        <v>-21901.73</v>
      </c>
      <c r="Q29" s="49" t="s">
        <v>2103</v>
      </c>
      <c r="R29" s="49" t="s">
        <v>2099</v>
      </c>
      <c r="S29" s="53" t="n">
        <v>1.5</v>
      </c>
      <c r="T29" s="51" t="n">
        <v>3600</v>
      </c>
      <c r="U29" s="56" t="n">
        <f aca="false">I29*O29</f>
        <v>98772.136</v>
      </c>
      <c r="V29" s="56" t="n">
        <f aca="false">J29*O29</f>
        <v>164620.207</v>
      </c>
      <c r="W29" s="56" t="n">
        <f aca="false">((I29+J29)/2)*O29</f>
        <v>131696.1715</v>
      </c>
      <c r="X29" s="56" t="n">
        <f aca="false">H29*O29</f>
        <v>35400</v>
      </c>
    </row>
    <row r="30" customFormat="false" ht="22.35" hidden="false" customHeight="false" outlineLevel="0" collapsed="false">
      <c r="A30" s="48" t="s">
        <v>2061</v>
      </c>
      <c r="B30" s="7" t="s">
        <v>2150</v>
      </c>
      <c r="C30" s="7" t="s">
        <v>2151</v>
      </c>
      <c r="D30" s="7" t="s">
        <v>2109</v>
      </c>
      <c r="E30" s="60" t="s">
        <v>2110</v>
      </c>
      <c r="F30" s="7" t="s">
        <v>2097</v>
      </c>
      <c r="G30" s="7" t="s">
        <v>2097</v>
      </c>
      <c r="H30" s="9" t="n">
        <v>12000</v>
      </c>
      <c r="I30" s="9" t="n">
        <v>73871.3</v>
      </c>
      <c r="J30" s="9" t="n">
        <v>123118.83</v>
      </c>
      <c r="K30" s="52" t="n">
        <v>130560</v>
      </c>
      <c r="L30" s="58" t="n">
        <v>80.4</v>
      </c>
      <c r="M30" s="59" t="n">
        <v>56.4</v>
      </c>
      <c r="N30" s="9" t="n">
        <v>612.531507</v>
      </c>
      <c r="O30" s="8" t="n">
        <v>2.348</v>
      </c>
      <c r="P30" s="9" t="n">
        <v>-111118.83</v>
      </c>
      <c r="Q30" s="7" t="s">
        <v>2103</v>
      </c>
      <c r="R30" s="7" t="s">
        <v>2099</v>
      </c>
      <c r="S30" s="58" t="n">
        <v>1.5</v>
      </c>
      <c r="T30" s="9" t="n">
        <v>7680</v>
      </c>
      <c r="U30" s="56" t="n">
        <f aca="false">I30*O30</f>
        <v>173449.8124</v>
      </c>
      <c r="V30" s="56" t="n">
        <f aca="false">J30*O30</f>
        <v>289083.01284</v>
      </c>
      <c r="W30" s="56" t="n">
        <f aca="false">((I30+J30)/2)*O30</f>
        <v>231266.41262</v>
      </c>
      <c r="X30" s="56" t="n">
        <f aca="false">H30*O30</f>
        <v>28176</v>
      </c>
    </row>
    <row r="31" customFormat="false" ht="22.35" hidden="false" customHeight="false" outlineLevel="0" collapsed="false">
      <c r="A31" s="48" t="s">
        <v>2061</v>
      </c>
      <c r="B31" s="49" t="s">
        <v>2152</v>
      </c>
      <c r="C31" s="49" t="s">
        <v>2153</v>
      </c>
      <c r="D31" s="49" t="s">
        <v>2095</v>
      </c>
      <c r="E31" s="61" t="s">
        <v>2113</v>
      </c>
      <c r="F31" s="49" t="s">
        <v>2097</v>
      </c>
      <c r="G31" s="49" t="s">
        <v>2097</v>
      </c>
      <c r="H31" s="51" t="n">
        <v>4377</v>
      </c>
      <c r="I31" s="51" t="n">
        <v>4748.11</v>
      </c>
      <c r="J31" s="51" t="n">
        <v>9496.22</v>
      </c>
      <c r="K31" s="52" t="n">
        <v>11520</v>
      </c>
      <c r="L31" s="53" t="n">
        <v>47.8</v>
      </c>
      <c r="M31" s="54" t="n">
        <v>41.5</v>
      </c>
      <c r="N31" s="51" t="n">
        <v>99.332877</v>
      </c>
      <c r="O31" s="55" t="n">
        <v>3.53</v>
      </c>
      <c r="P31" s="51" t="n">
        <v>-5119.22</v>
      </c>
      <c r="Q31" s="49" t="s">
        <v>2103</v>
      </c>
      <c r="R31" s="49" t="s">
        <v>2099</v>
      </c>
      <c r="S31" s="53" t="n">
        <v>1</v>
      </c>
      <c r="T31" s="51" t="n">
        <v>3840</v>
      </c>
      <c r="U31" s="56" t="n">
        <f aca="false">I31*O31</f>
        <v>16760.8283</v>
      </c>
      <c r="V31" s="56" t="n">
        <f aca="false">J31*O31</f>
        <v>33521.6566</v>
      </c>
      <c r="W31" s="56" t="n">
        <f aca="false">((I31+J31)/2)*O31</f>
        <v>25141.24245</v>
      </c>
      <c r="X31" s="56" t="n">
        <f aca="false">H31*O31</f>
        <v>15450.81</v>
      </c>
    </row>
    <row r="32" customFormat="false" ht="15" hidden="false" customHeight="false" outlineLevel="0" collapsed="false">
      <c r="A32" s="48" t="s">
        <v>2061</v>
      </c>
      <c r="B32" s="7" t="s">
        <v>2154</v>
      </c>
      <c r="C32" s="7" t="s">
        <v>2155</v>
      </c>
      <c r="D32" s="7" t="s">
        <v>2101</v>
      </c>
      <c r="E32" s="50" t="s">
        <v>2096</v>
      </c>
      <c r="F32" s="7" t="s">
        <v>2097</v>
      </c>
      <c r="G32" s="7" t="s">
        <v>2097</v>
      </c>
      <c r="H32" s="9" t="n">
        <v>866</v>
      </c>
      <c r="I32" s="9" t="n">
        <v>267.8</v>
      </c>
      <c r="J32" s="9" t="n">
        <v>803.4</v>
      </c>
      <c r="K32" s="52" t="n">
        <v>1000</v>
      </c>
      <c r="L32" s="58" t="n">
        <v>40.4</v>
      </c>
      <c r="M32" s="59" t="n">
        <v>81.2</v>
      </c>
      <c r="N32" s="9" t="n">
        <v>13.257534</v>
      </c>
      <c r="O32" s="8" t="n">
        <v>18.51</v>
      </c>
      <c r="P32" s="9" t="n">
        <v>62.6</v>
      </c>
      <c r="Q32" s="7" t="s">
        <v>2098</v>
      </c>
      <c r="R32" s="7" t="s">
        <v>2099</v>
      </c>
      <c r="S32" s="58" t="n">
        <v>0.5</v>
      </c>
      <c r="T32" s="9" t="n">
        <v>200</v>
      </c>
      <c r="U32" s="56" t="n">
        <f aca="false">I32*O32</f>
        <v>4956.978</v>
      </c>
      <c r="V32" s="56" t="n">
        <f aca="false">J32*O32</f>
        <v>14870.934</v>
      </c>
      <c r="W32" s="56" t="n">
        <f aca="false">((I32+J32)/2)*O32</f>
        <v>9913.956</v>
      </c>
      <c r="X32" s="56" t="n">
        <f aca="false">H32*O32</f>
        <v>16029.66</v>
      </c>
    </row>
    <row r="33" customFormat="false" ht="15" hidden="false" customHeight="false" outlineLevel="0" collapsed="false">
      <c r="A33" s="48" t="s">
        <v>2061</v>
      </c>
      <c r="B33" s="49" t="s">
        <v>2156</v>
      </c>
      <c r="C33" s="49" t="s">
        <v>2157</v>
      </c>
      <c r="D33" s="49" t="s">
        <v>2101</v>
      </c>
      <c r="E33" s="50" t="s">
        <v>2096</v>
      </c>
      <c r="F33" s="49" t="s">
        <v>2097</v>
      </c>
      <c r="G33" s="49" t="s">
        <v>2097</v>
      </c>
      <c r="H33" s="51" t="n">
        <v>738</v>
      </c>
      <c r="I33" s="51" t="n">
        <v>240.07</v>
      </c>
      <c r="J33" s="51" t="n">
        <v>720.22</v>
      </c>
      <c r="K33" s="52" t="n">
        <v>832</v>
      </c>
      <c r="L33" s="53" t="n">
        <v>44.1</v>
      </c>
      <c r="M33" s="54" t="n">
        <v>81.4</v>
      </c>
      <c r="N33" s="51" t="n">
        <v>10.887671</v>
      </c>
      <c r="O33" s="55" t="n">
        <v>0.0005</v>
      </c>
      <c r="P33" s="51" t="n">
        <v>17.78</v>
      </c>
      <c r="Q33" s="49" t="s">
        <v>2098</v>
      </c>
      <c r="R33" s="49" t="s">
        <v>2099</v>
      </c>
      <c r="S33" s="53" t="n">
        <v>0.5</v>
      </c>
      <c r="T33" s="51" t="n">
        <v>208</v>
      </c>
      <c r="U33" s="56" t="n">
        <f aca="false">I33*O33</f>
        <v>0.120035</v>
      </c>
      <c r="V33" s="56" t="n">
        <f aca="false">J33*O33</f>
        <v>0.36011</v>
      </c>
      <c r="W33" s="56" t="n">
        <f aca="false">((I33+J33)/2)*O33</f>
        <v>0.2400725</v>
      </c>
      <c r="X33" s="56" t="n">
        <f aca="false">H33*O33</f>
        <v>0.369</v>
      </c>
    </row>
    <row r="34" customFormat="false" ht="22.35" hidden="false" customHeight="false" outlineLevel="0" collapsed="false">
      <c r="A34" s="48" t="s">
        <v>2061</v>
      </c>
      <c r="B34" s="7" t="s">
        <v>2158</v>
      </c>
      <c r="C34" s="7" t="s">
        <v>2159</v>
      </c>
      <c r="D34" s="7" t="s">
        <v>2101</v>
      </c>
      <c r="E34" s="57" t="s">
        <v>2102</v>
      </c>
      <c r="F34" s="7" t="s">
        <v>2097</v>
      </c>
      <c r="G34" s="7" t="s">
        <v>2097</v>
      </c>
      <c r="H34" s="9" t="n">
        <v>185</v>
      </c>
      <c r="I34" s="9" t="n">
        <v>66.49</v>
      </c>
      <c r="J34" s="9" t="n">
        <v>199.47</v>
      </c>
      <c r="K34" s="52" t="n">
        <v>200</v>
      </c>
      <c r="L34" s="58" t="n">
        <v>63.2</v>
      </c>
      <c r="M34" s="59" t="n">
        <v>75.9</v>
      </c>
      <c r="N34" s="9" t="n">
        <v>2.10411</v>
      </c>
      <c r="O34" s="8" t="n">
        <v>0.0005</v>
      </c>
      <c r="P34" s="9" t="n">
        <v>-14.47</v>
      </c>
      <c r="Q34" s="7" t="s">
        <v>2103</v>
      </c>
      <c r="R34" s="7" t="s">
        <v>2099</v>
      </c>
      <c r="S34" s="58" t="n">
        <v>0.5</v>
      </c>
      <c r="T34" s="9" t="n">
        <v>100</v>
      </c>
      <c r="U34" s="56" t="n">
        <f aca="false">I34*O34</f>
        <v>0.033245</v>
      </c>
      <c r="V34" s="56" t="n">
        <f aca="false">J34*O34</f>
        <v>0.099735</v>
      </c>
      <c r="W34" s="56" t="n">
        <f aca="false">((I34+J34)/2)*O34</f>
        <v>0.06649</v>
      </c>
      <c r="X34" s="56" t="n">
        <f aca="false">H34*O34</f>
        <v>0.0925</v>
      </c>
    </row>
    <row r="35" customFormat="false" ht="15" hidden="false" customHeight="false" outlineLevel="0" collapsed="false">
      <c r="A35" s="48" t="s">
        <v>2061</v>
      </c>
      <c r="B35" s="49" t="s">
        <v>2160</v>
      </c>
      <c r="C35" s="49" t="s">
        <v>2161</v>
      </c>
      <c r="D35" s="49" t="s">
        <v>2101</v>
      </c>
      <c r="E35" s="50" t="s">
        <v>2096</v>
      </c>
      <c r="F35" s="49" t="s">
        <v>2097</v>
      </c>
      <c r="G35" s="49" t="s">
        <v>2097</v>
      </c>
      <c r="H35" s="51" t="n">
        <v>964</v>
      </c>
      <c r="I35" s="51" t="n">
        <v>296.9</v>
      </c>
      <c r="J35" s="51" t="n">
        <v>890.7</v>
      </c>
      <c r="K35" s="52" t="n">
        <v>1040</v>
      </c>
      <c r="L35" s="53" t="n">
        <v>45.6</v>
      </c>
      <c r="M35" s="54" t="n">
        <v>82.8</v>
      </c>
      <c r="N35" s="51" t="n">
        <v>13.021918</v>
      </c>
      <c r="O35" s="55" t="n">
        <v>78.2541</v>
      </c>
      <c r="P35" s="51" t="n">
        <v>73.3</v>
      </c>
      <c r="Q35" s="49" t="s">
        <v>2098</v>
      </c>
      <c r="R35" s="49" t="s">
        <v>2099</v>
      </c>
      <c r="S35" s="53" t="n">
        <v>0.5</v>
      </c>
      <c r="T35" s="51" t="n">
        <v>208</v>
      </c>
      <c r="U35" s="56" t="n">
        <f aca="false">I35*O35</f>
        <v>23233.64229</v>
      </c>
      <c r="V35" s="56" t="n">
        <f aca="false">J35*O35</f>
        <v>69700.92687</v>
      </c>
      <c r="W35" s="56" t="n">
        <f aca="false">((I35+J35)/2)*O35</f>
        <v>46467.28458</v>
      </c>
      <c r="X35" s="56" t="n">
        <f aca="false">H35*O35</f>
        <v>75436.9524</v>
      </c>
    </row>
    <row r="36" customFormat="false" ht="22.35" hidden="false" customHeight="false" outlineLevel="0" collapsed="false">
      <c r="A36" s="48" t="s">
        <v>2061</v>
      </c>
      <c r="B36" s="7" t="s">
        <v>2162</v>
      </c>
      <c r="C36" s="7" t="s">
        <v>1615</v>
      </c>
      <c r="D36" s="7" t="s">
        <v>2101</v>
      </c>
      <c r="E36" s="57" t="s">
        <v>2102</v>
      </c>
      <c r="F36" s="7" t="s">
        <v>2097</v>
      </c>
      <c r="G36" s="7" t="s">
        <v>2097</v>
      </c>
      <c r="H36" s="9" t="n">
        <v>2350</v>
      </c>
      <c r="I36" s="9" t="n">
        <v>836.23</v>
      </c>
      <c r="J36" s="9" t="n">
        <v>2508.7</v>
      </c>
      <c r="K36" s="52" t="n">
        <v>2513.22</v>
      </c>
      <c r="L36" s="58" t="n">
        <v>21.5</v>
      </c>
      <c r="M36" s="59" t="n">
        <v>87.9</v>
      </c>
      <c r="N36" s="9" t="n">
        <v>77.789096</v>
      </c>
      <c r="O36" s="8" t="n">
        <v>3.08</v>
      </c>
      <c r="P36" s="9" t="n">
        <v>-158.7</v>
      </c>
      <c r="Q36" s="7" t="s">
        <v>2103</v>
      </c>
      <c r="R36" s="7" t="s">
        <v>2099</v>
      </c>
      <c r="S36" s="58" t="n">
        <v>0.5</v>
      </c>
      <c r="T36" s="9" t="n">
        <v>418.87</v>
      </c>
      <c r="U36" s="56" t="n">
        <f aca="false">I36*O36</f>
        <v>2575.5884</v>
      </c>
      <c r="V36" s="56" t="n">
        <f aca="false">J36*O36</f>
        <v>7726.796</v>
      </c>
      <c r="W36" s="56" t="n">
        <f aca="false">((I36+J36)/2)*O36</f>
        <v>5151.1922</v>
      </c>
      <c r="X36" s="56" t="n">
        <f aca="false">H36*O36</f>
        <v>7238</v>
      </c>
    </row>
    <row r="37" customFormat="false" ht="15" hidden="false" customHeight="false" outlineLevel="0" collapsed="false">
      <c r="A37" s="48" t="s">
        <v>2061</v>
      </c>
      <c r="B37" s="49" t="s">
        <v>2163</v>
      </c>
      <c r="C37" s="49" t="s">
        <v>1615</v>
      </c>
      <c r="D37" s="49" t="s">
        <v>2101</v>
      </c>
      <c r="E37" s="50" t="s">
        <v>2096</v>
      </c>
      <c r="F37" s="49" t="s">
        <v>2097</v>
      </c>
      <c r="G37" s="49" t="s">
        <v>2097</v>
      </c>
      <c r="H37" s="51" t="n">
        <v>308</v>
      </c>
      <c r="I37" s="51" t="n">
        <v>82.16</v>
      </c>
      <c r="J37" s="51" t="n">
        <v>246.47</v>
      </c>
      <c r="K37" s="52" t="n">
        <v>441</v>
      </c>
      <c r="L37" s="53" t="n">
        <v>12.8</v>
      </c>
      <c r="M37" s="54" t="n">
        <v>80.8</v>
      </c>
      <c r="N37" s="51" t="n">
        <v>12.837027</v>
      </c>
      <c r="O37" s="55" t="n">
        <v>4.5826</v>
      </c>
      <c r="P37" s="51" t="n">
        <v>61.53</v>
      </c>
      <c r="Q37" s="49" t="s">
        <v>2098</v>
      </c>
      <c r="R37" s="49" t="s">
        <v>2099</v>
      </c>
      <c r="S37" s="53" t="n">
        <v>0.5</v>
      </c>
      <c r="T37" s="51" t="n">
        <v>441</v>
      </c>
      <c r="U37" s="56" t="n">
        <f aca="false">I37*O37</f>
        <v>376.506416</v>
      </c>
      <c r="V37" s="56" t="n">
        <f aca="false">J37*O37</f>
        <v>1129.473422</v>
      </c>
      <c r="W37" s="56" t="n">
        <f aca="false">((I37+J37)/2)*O37</f>
        <v>752.989919</v>
      </c>
      <c r="X37" s="56" t="n">
        <f aca="false">H37*O37</f>
        <v>1411.4408</v>
      </c>
    </row>
    <row r="38" customFormat="false" ht="15" hidden="false" customHeight="false" outlineLevel="0" collapsed="false">
      <c r="A38" s="48" t="s">
        <v>2061</v>
      </c>
      <c r="B38" s="7" t="s">
        <v>2164</v>
      </c>
      <c r="C38" s="7" t="s">
        <v>1965</v>
      </c>
      <c r="D38" s="7" t="s">
        <v>2101</v>
      </c>
      <c r="E38" s="50" t="s">
        <v>2096</v>
      </c>
      <c r="F38" s="7" t="s">
        <v>2097</v>
      </c>
      <c r="G38" s="7" t="s">
        <v>2097</v>
      </c>
      <c r="H38" s="9" t="n">
        <v>338</v>
      </c>
      <c r="I38" s="9" t="n">
        <v>64.42</v>
      </c>
      <c r="J38" s="9" t="n">
        <v>193.26</v>
      </c>
      <c r="K38" s="52" t="n">
        <v>3809.52</v>
      </c>
      <c r="L38" s="58" t="n">
        <v>16.2</v>
      </c>
      <c r="M38" s="59" t="n">
        <v>85.3</v>
      </c>
      <c r="N38" s="9" t="n">
        <v>7.953096</v>
      </c>
      <c r="O38" s="8" t="n">
        <v>4.7453</v>
      </c>
      <c r="P38" s="9" t="n">
        <v>144.74</v>
      </c>
      <c r="Q38" s="7" t="s">
        <v>2098</v>
      </c>
      <c r="R38" s="7" t="s">
        <v>2099</v>
      </c>
      <c r="S38" s="58" t="n">
        <v>0.5</v>
      </c>
      <c r="T38" s="9" t="n">
        <v>3809.52</v>
      </c>
      <c r="U38" s="56" t="n">
        <f aca="false">I38*O38</f>
        <v>305.692226</v>
      </c>
      <c r="V38" s="56" t="n">
        <f aca="false">J38*O38</f>
        <v>917.076678</v>
      </c>
      <c r="W38" s="56" t="n">
        <f aca="false">((I38+J38)/2)*O38</f>
        <v>611.384452</v>
      </c>
      <c r="X38" s="56" t="n">
        <f aca="false">H38*O38</f>
        <v>1603.9114</v>
      </c>
    </row>
    <row r="39" customFormat="false" ht="15" hidden="false" customHeight="false" outlineLevel="0" collapsed="false">
      <c r="A39" s="48" t="s">
        <v>2061</v>
      </c>
      <c r="B39" s="49" t="s">
        <v>2165</v>
      </c>
      <c r="C39" s="49" t="s">
        <v>1615</v>
      </c>
      <c r="D39" s="49" t="s">
        <v>2101</v>
      </c>
      <c r="E39" s="50" t="s">
        <v>2096</v>
      </c>
      <c r="F39" s="49" t="s">
        <v>2097</v>
      </c>
      <c r="G39" s="49" t="s">
        <v>2097</v>
      </c>
      <c r="H39" s="51" t="n">
        <v>100</v>
      </c>
      <c r="I39" s="51" t="n">
        <v>22.06</v>
      </c>
      <c r="J39" s="51" t="n">
        <v>66.18</v>
      </c>
      <c r="K39" s="52" t="n">
        <v>2300</v>
      </c>
      <c r="L39" s="53" t="n">
        <v>24.4</v>
      </c>
      <c r="M39" s="54" t="n">
        <v>66.7</v>
      </c>
      <c r="N39" s="51" t="n">
        <v>1.808219</v>
      </c>
      <c r="O39" s="55" t="n">
        <v>5.18</v>
      </c>
      <c r="P39" s="51" t="n">
        <v>33.82</v>
      </c>
      <c r="Q39" s="49" t="s">
        <v>2098</v>
      </c>
      <c r="R39" s="49" t="s">
        <v>2099</v>
      </c>
      <c r="S39" s="53" t="n">
        <v>0.5</v>
      </c>
      <c r="T39" s="51" t="n">
        <v>2300</v>
      </c>
      <c r="U39" s="56" t="n">
        <f aca="false">I39*O39</f>
        <v>114.2708</v>
      </c>
      <c r="V39" s="56" t="n">
        <f aca="false">J39*O39</f>
        <v>342.8124</v>
      </c>
      <c r="W39" s="56" t="n">
        <f aca="false">((I39+J39)/2)*O39</f>
        <v>228.5416</v>
      </c>
      <c r="X39" s="56" t="n">
        <f aca="false">H39*O39</f>
        <v>518</v>
      </c>
    </row>
    <row r="40" customFormat="false" ht="22.35" hidden="false" customHeight="false" outlineLevel="0" collapsed="false">
      <c r="A40" s="48" t="s">
        <v>2061</v>
      </c>
      <c r="B40" s="7" t="s">
        <v>2166</v>
      </c>
      <c r="C40" s="7" t="s">
        <v>1542</v>
      </c>
      <c r="D40" s="7" t="s">
        <v>2101</v>
      </c>
      <c r="E40" s="57" t="s">
        <v>2102</v>
      </c>
      <c r="F40" s="7" t="s">
        <v>2097</v>
      </c>
      <c r="G40" s="7" t="s">
        <v>2097</v>
      </c>
      <c r="H40" s="9" t="n">
        <v>145</v>
      </c>
      <c r="I40" s="9" t="n">
        <v>70.38</v>
      </c>
      <c r="J40" s="9" t="n">
        <v>211.14</v>
      </c>
      <c r="K40" s="52" t="n">
        <v>264.54</v>
      </c>
      <c r="L40" s="58" t="n">
        <v>30.7</v>
      </c>
      <c r="M40" s="59" t="n">
        <v>75.9</v>
      </c>
      <c r="N40" s="9" t="n">
        <v>4.585137</v>
      </c>
      <c r="O40" s="8" t="n">
        <v>22.8152</v>
      </c>
      <c r="P40" s="9" t="n">
        <v>-66.14</v>
      </c>
      <c r="Q40" s="7" t="s">
        <v>2103</v>
      </c>
      <c r="R40" s="7" t="s">
        <v>2099</v>
      </c>
      <c r="S40" s="58" t="n">
        <v>0.5</v>
      </c>
      <c r="T40" s="9" t="n">
        <v>264.54</v>
      </c>
      <c r="U40" s="56" t="n">
        <f aca="false">I40*O40</f>
        <v>1605.733776</v>
      </c>
      <c r="V40" s="56" t="n">
        <f aca="false">J40*O40</f>
        <v>4817.201328</v>
      </c>
      <c r="W40" s="56" t="n">
        <f aca="false">((I40+J40)/2)*O40</f>
        <v>3211.467552</v>
      </c>
      <c r="X40" s="56" t="n">
        <f aca="false">H40*O40</f>
        <v>3308.204</v>
      </c>
    </row>
    <row r="41" customFormat="false" ht="22.35" hidden="false" customHeight="false" outlineLevel="0" collapsed="false">
      <c r="A41" s="48" t="s">
        <v>2061</v>
      </c>
      <c r="B41" s="62" t="s">
        <v>2167</v>
      </c>
      <c r="C41" s="62" t="s">
        <v>2168</v>
      </c>
      <c r="D41" s="62" t="s">
        <v>2101</v>
      </c>
      <c r="E41" s="63" t="s">
        <v>2169</v>
      </c>
      <c r="F41" s="64" t="s">
        <v>2170</v>
      </c>
      <c r="G41" s="62" t="s">
        <v>2097</v>
      </c>
      <c r="H41" s="65" t="n">
        <v>359</v>
      </c>
      <c r="I41" s="65" t="n">
        <v>83.78</v>
      </c>
      <c r="J41" s="65" t="n">
        <v>251.33</v>
      </c>
      <c r="K41" s="66" t="n">
        <v>410.1</v>
      </c>
      <c r="L41" s="67" t="n">
        <v>34.3</v>
      </c>
      <c r="M41" s="68" t="n">
        <v>73.3</v>
      </c>
      <c r="N41" s="65" t="n">
        <v>13.746452</v>
      </c>
      <c r="O41" s="69" t="n">
        <v>3.65</v>
      </c>
      <c r="P41" s="65" t="n">
        <v>107.67</v>
      </c>
      <c r="Q41" s="62" t="s">
        <v>2098</v>
      </c>
      <c r="R41" s="62" t="s">
        <v>2171</v>
      </c>
      <c r="S41" s="67" t="n">
        <v>0.5</v>
      </c>
      <c r="T41" s="65" t="n">
        <v>410.1</v>
      </c>
      <c r="U41" s="56" t="n">
        <f aca="false">I41*O41</f>
        <v>305.797</v>
      </c>
      <c r="V41" s="56" t="n">
        <f aca="false">J41*O41</f>
        <v>917.3545</v>
      </c>
      <c r="W41" s="56" t="n">
        <f aca="false">((I41+J41)/2)*O41</f>
        <v>611.57575</v>
      </c>
      <c r="X41" s="56" t="n">
        <f aca="false">H41*O41</f>
        <v>1310.35</v>
      </c>
    </row>
    <row r="42" customFormat="false" ht="22.35" hidden="false" customHeight="false" outlineLevel="0" collapsed="false">
      <c r="A42" s="48" t="s">
        <v>2061</v>
      </c>
      <c r="B42" s="7" t="s">
        <v>2172</v>
      </c>
      <c r="C42" s="7" t="s">
        <v>2173</v>
      </c>
      <c r="D42" s="7" t="s">
        <v>2101</v>
      </c>
      <c r="E42" s="57" t="s">
        <v>2102</v>
      </c>
      <c r="F42" s="7" t="s">
        <v>2097</v>
      </c>
      <c r="G42" s="7" t="s">
        <v>2097</v>
      </c>
      <c r="H42" s="9" t="n">
        <v>118</v>
      </c>
      <c r="I42" s="9" t="n">
        <v>75.96</v>
      </c>
      <c r="J42" s="9" t="n">
        <v>227.88</v>
      </c>
      <c r="K42" s="52" t="n">
        <v>439</v>
      </c>
      <c r="L42" s="58" t="n">
        <v>28.4</v>
      </c>
      <c r="M42" s="59" t="n">
        <v>74.3</v>
      </c>
      <c r="N42" s="9" t="n">
        <v>5.349342</v>
      </c>
      <c r="O42" s="8" t="n">
        <v>9.34</v>
      </c>
      <c r="P42" s="9" t="n">
        <v>-109.88</v>
      </c>
      <c r="Q42" s="7" t="s">
        <v>2103</v>
      </c>
      <c r="R42" s="7" t="s">
        <v>2099</v>
      </c>
      <c r="S42" s="58" t="n">
        <v>0.5</v>
      </c>
      <c r="T42" s="9" t="n">
        <v>439</v>
      </c>
      <c r="U42" s="56" t="n">
        <f aca="false">I42*O42</f>
        <v>709.4664</v>
      </c>
      <c r="V42" s="56" t="n">
        <f aca="false">J42*O42</f>
        <v>2128.3992</v>
      </c>
      <c r="W42" s="56" t="n">
        <f aca="false">((I42+J42)/2)*O42</f>
        <v>1418.9328</v>
      </c>
      <c r="X42" s="56" t="n">
        <f aca="false">H42*O42</f>
        <v>1102.12</v>
      </c>
    </row>
    <row r="43" customFormat="false" ht="22.35" hidden="false" customHeight="false" outlineLevel="0" collapsed="false">
      <c r="A43" s="48" t="s">
        <v>2061</v>
      </c>
      <c r="B43" s="49" t="s">
        <v>2174</v>
      </c>
      <c r="C43" s="49" t="s">
        <v>2175</v>
      </c>
      <c r="D43" s="49" t="s">
        <v>2101</v>
      </c>
      <c r="E43" s="57" t="s">
        <v>2102</v>
      </c>
      <c r="F43" s="49" t="s">
        <v>2097</v>
      </c>
      <c r="G43" s="49" t="s">
        <v>2097</v>
      </c>
      <c r="H43" s="51" t="n">
        <v>693</v>
      </c>
      <c r="I43" s="51" t="n">
        <v>369.2</v>
      </c>
      <c r="J43" s="51" t="n">
        <v>1107.6</v>
      </c>
      <c r="K43" s="52" t="n">
        <v>1596</v>
      </c>
      <c r="L43" s="53" t="n">
        <v>35.2</v>
      </c>
      <c r="M43" s="54" t="n">
        <v>88.4</v>
      </c>
      <c r="N43" s="51" t="n">
        <v>20.977384</v>
      </c>
      <c r="O43" s="55" t="n">
        <v>4.52</v>
      </c>
      <c r="P43" s="51" t="n">
        <v>-414.6</v>
      </c>
      <c r="Q43" s="49" t="s">
        <v>2103</v>
      </c>
      <c r="R43" s="49" t="s">
        <v>2099</v>
      </c>
      <c r="S43" s="53" t="n">
        <v>0.5</v>
      </c>
      <c r="T43" s="51" t="n">
        <v>798</v>
      </c>
      <c r="U43" s="56" t="n">
        <f aca="false">I43*O43</f>
        <v>1668.784</v>
      </c>
      <c r="V43" s="56" t="n">
        <f aca="false">J43*O43</f>
        <v>5006.352</v>
      </c>
      <c r="W43" s="56" t="n">
        <f aca="false">((I43+J43)/2)*O43</f>
        <v>3337.568</v>
      </c>
      <c r="X43" s="56" t="n">
        <f aca="false">H43*O43</f>
        <v>3132.36</v>
      </c>
    </row>
    <row r="44" customFormat="false" ht="22.35" hidden="false" customHeight="false" outlineLevel="0" collapsed="false">
      <c r="A44" s="48" t="s">
        <v>2061</v>
      </c>
      <c r="B44" s="7" t="s">
        <v>2176</v>
      </c>
      <c r="C44" s="7" t="s">
        <v>1615</v>
      </c>
      <c r="D44" s="7" t="s">
        <v>2109</v>
      </c>
      <c r="E44" s="60" t="s">
        <v>2110</v>
      </c>
      <c r="F44" s="7" t="s">
        <v>2097</v>
      </c>
      <c r="G44" s="7" t="s">
        <v>2097</v>
      </c>
      <c r="H44" s="9" t="n">
        <v>47967</v>
      </c>
      <c r="I44" s="9" t="n">
        <v>95932.8</v>
      </c>
      <c r="J44" s="9" t="n">
        <v>181382.58</v>
      </c>
      <c r="K44" s="52" t="n">
        <v>181382.58</v>
      </c>
      <c r="L44" s="58" t="n">
        <v>43.4</v>
      </c>
      <c r="M44" s="59" t="n">
        <v>79.2</v>
      </c>
      <c r="N44" s="9" t="n">
        <v>1968.888877</v>
      </c>
      <c r="O44" s="8" t="n">
        <v>2.655</v>
      </c>
      <c r="P44" s="9" t="n">
        <v>-133415.58</v>
      </c>
      <c r="Q44" s="7" t="s">
        <v>2103</v>
      </c>
      <c r="R44" s="7" t="s">
        <v>2177</v>
      </c>
      <c r="S44" s="58" t="n">
        <v>1.5</v>
      </c>
      <c r="T44" s="9" t="n">
        <v>1</v>
      </c>
      <c r="U44" s="56" t="n">
        <f aca="false">I44*O44</f>
        <v>254701.584</v>
      </c>
      <c r="V44" s="56" t="n">
        <f aca="false">J44*O44</f>
        <v>481570.7499</v>
      </c>
      <c r="W44" s="56" t="n">
        <f aca="false">((I44+J44)/2)*O44</f>
        <v>368136.16695</v>
      </c>
      <c r="X44" s="56" t="n">
        <f aca="false">H44*O44</f>
        <v>127352.385</v>
      </c>
    </row>
    <row r="45" customFormat="false" ht="15" hidden="false" customHeight="false" outlineLevel="0" collapsed="false">
      <c r="A45" s="48" t="s">
        <v>2061</v>
      </c>
      <c r="B45" s="49" t="s">
        <v>2178</v>
      </c>
      <c r="C45" s="49" t="s">
        <v>1617</v>
      </c>
      <c r="D45" s="49" t="s">
        <v>2101</v>
      </c>
      <c r="E45" s="50" t="s">
        <v>2096</v>
      </c>
      <c r="F45" s="49" t="s">
        <v>2097</v>
      </c>
      <c r="G45" s="49" t="s">
        <v>2097</v>
      </c>
      <c r="H45" s="51" t="n">
        <v>100</v>
      </c>
      <c r="I45" s="51" t="n">
        <v>2.76</v>
      </c>
      <c r="J45" s="51" t="n">
        <v>8.28</v>
      </c>
      <c r="K45" s="52" t="n">
        <v>55.12</v>
      </c>
      <c r="L45" s="53" t="n">
        <v>17.5</v>
      </c>
      <c r="M45" s="54" t="n">
        <v>40</v>
      </c>
      <c r="N45" s="51" t="n">
        <v>0.315233</v>
      </c>
      <c r="O45" s="55" t="n">
        <v>9.47</v>
      </c>
      <c r="P45" s="51" t="n">
        <v>91.72</v>
      </c>
      <c r="Q45" s="49" t="s">
        <v>2098</v>
      </c>
      <c r="R45" s="49" t="s">
        <v>2099</v>
      </c>
      <c r="S45" s="53" t="n">
        <v>0.5</v>
      </c>
      <c r="T45" s="51" t="n">
        <v>55.12</v>
      </c>
      <c r="U45" s="56" t="n">
        <f aca="false">I45*O45</f>
        <v>26.1372</v>
      </c>
      <c r="V45" s="56" t="n">
        <f aca="false">J45*O45</f>
        <v>78.4116</v>
      </c>
      <c r="W45" s="56" t="n">
        <f aca="false">((I45+J45)/2)*O45</f>
        <v>52.2744</v>
      </c>
      <c r="X45" s="56" t="n">
        <f aca="false">H45*O45</f>
        <v>947</v>
      </c>
    </row>
    <row r="46" customFormat="false" ht="15" hidden="false" customHeight="false" outlineLevel="0" collapsed="false">
      <c r="A46" s="48" t="s">
        <v>2061</v>
      </c>
      <c r="B46" s="7" t="s">
        <v>2179</v>
      </c>
      <c r="C46" s="7" t="s">
        <v>1542</v>
      </c>
      <c r="D46" s="7" t="s">
        <v>2101</v>
      </c>
      <c r="E46" s="50" t="s">
        <v>2096</v>
      </c>
      <c r="F46" s="7" t="s">
        <v>2097</v>
      </c>
      <c r="G46" s="7" t="s">
        <v>2097</v>
      </c>
      <c r="H46" s="9" t="n">
        <v>100</v>
      </c>
      <c r="I46" s="9" t="n">
        <v>5.39</v>
      </c>
      <c r="J46" s="9" t="n">
        <v>16.17</v>
      </c>
      <c r="K46" s="52" t="n">
        <v>55</v>
      </c>
      <c r="L46" s="58" t="n">
        <v>25</v>
      </c>
      <c r="M46" s="59" t="n">
        <v>70</v>
      </c>
      <c r="N46" s="9" t="n">
        <v>0.431027</v>
      </c>
      <c r="O46" s="8" t="n">
        <v>14.67</v>
      </c>
      <c r="P46" s="9" t="n">
        <v>83.83</v>
      </c>
      <c r="Q46" s="7" t="s">
        <v>2098</v>
      </c>
      <c r="R46" s="7" t="s">
        <v>2099</v>
      </c>
      <c r="S46" s="58" t="n">
        <v>0.5</v>
      </c>
      <c r="T46" s="9" t="n">
        <v>55</v>
      </c>
      <c r="U46" s="56" t="n">
        <f aca="false">I46*O46</f>
        <v>79.0713</v>
      </c>
      <c r="V46" s="56" t="n">
        <f aca="false">J46*O46</f>
        <v>237.2139</v>
      </c>
      <c r="W46" s="56" t="n">
        <f aca="false">((I46+J46)/2)*O46</f>
        <v>158.1426</v>
      </c>
      <c r="X46" s="56" t="n">
        <f aca="false">H46*O46</f>
        <v>1467</v>
      </c>
    </row>
    <row r="47" customFormat="false" ht="22.35" hidden="false" customHeight="false" outlineLevel="0" collapsed="false">
      <c r="A47" s="48" t="s">
        <v>2061</v>
      </c>
      <c r="B47" s="49" t="s">
        <v>2180</v>
      </c>
      <c r="C47" s="49" t="s">
        <v>2181</v>
      </c>
      <c r="D47" s="49" t="s">
        <v>2101</v>
      </c>
      <c r="E47" s="57" t="s">
        <v>2102</v>
      </c>
      <c r="F47" s="49" t="s">
        <v>2097</v>
      </c>
      <c r="G47" s="49" t="s">
        <v>2097</v>
      </c>
      <c r="H47" s="51" t="n">
        <v>183</v>
      </c>
      <c r="I47" s="51" t="n">
        <v>74.76</v>
      </c>
      <c r="J47" s="51" t="n">
        <v>224.29</v>
      </c>
      <c r="K47" s="52" t="n">
        <v>440.96</v>
      </c>
      <c r="L47" s="53" t="n">
        <v>22.5</v>
      </c>
      <c r="M47" s="54" t="n">
        <v>94.1</v>
      </c>
      <c r="N47" s="51" t="n">
        <v>6.645603</v>
      </c>
      <c r="O47" s="55" t="n">
        <v>2.02</v>
      </c>
      <c r="P47" s="51" t="n">
        <v>-41.29</v>
      </c>
      <c r="Q47" s="49" t="s">
        <v>2103</v>
      </c>
      <c r="R47" s="49" t="s">
        <v>2099</v>
      </c>
      <c r="S47" s="53" t="n">
        <v>0.5</v>
      </c>
      <c r="T47" s="51" t="n">
        <v>220.48</v>
      </c>
      <c r="U47" s="56" t="n">
        <f aca="false">I47*O47</f>
        <v>151.0152</v>
      </c>
      <c r="V47" s="56" t="n">
        <f aca="false">J47*O47</f>
        <v>453.0658</v>
      </c>
      <c r="W47" s="56" t="n">
        <f aca="false">((I47+J47)/2)*O47</f>
        <v>302.0405</v>
      </c>
      <c r="X47" s="56" t="n">
        <f aca="false">H47*O47</f>
        <v>369.66</v>
      </c>
    </row>
    <row r="48" customFormat="false" ht="22.35" hidden="false" customHeight="false" outlineLevel="0" collapsed="false">
      <c r="A48" s="48" t="s">
        <v>2061</v>
      </c>
      <c r="B48" s="7" t="s">
        <v>2182</v>
      </c>
      <c r="C48" s="7" t="s">
        <v>1531</v>
      </c>
      <c r="D48" s="7" t="s">
        <v>2101</v>
      </c>
      <c r="E48" s="57" t="s">
        <v>2102</v>
      </c>
      <c r="F48" s="7" t="s">
        <v>2097</v>
      </c>
      <c r="G48" s="7" t="s">
        <v>2097</v>
      </c>
      <c r="H48" s="9" t="n">
        <v>100</v>
      </c>
      <c r="I48" s="9" t="n">
        <v>42.08</v>
      </c>
      <c r="J48" s="9" t="n">
        <v>126.24</v>
      </c>
      <c r="K48" s="52" t="n">
        <v>165</v>
      </c>
      <c r="L48" s="58" t="n">
        <v>25</v>
      </c>
      <c r="M48" s="59" t="n">
        <v>77.8</v>
      </c>
      <c r="N48" s="9" t="n">
        <v>3.366288</v>
      </c>
      <c r="O48" s="8" t="n">
        <v>5.34</v>
      </c>
      <c r="P48" s="9" t="n">
        <v>-26.24</v>
      </c>
      <c r="Q48" s="7" t="s">
        <v>2103</v>
      </c>
      <c r="R48" s="7" t="s">
        <v>2099</v>
      </c>
      <c r="S48" s="58" t="n">
        <v>0.5</v>
      </c>
      <c r="T48" s="9" t="n">
        <v>55</v>
      </c>
      <c r="U48" s="56" t="n">
        <f aca="false">I48*O48</f>
        <v>224.7072</v>
      </c>
      <c r="V48" s="56" t="n">
        <f aca="false">J48*O48</f>
        <v>674.1216</v>
      </c>
      <c r="W48" s="56" t="n">
        <f aca="false">((I48+J48)/2)*O48</f>
        <v>449.4144</v>
      </c>
      <c r="X48" s="56" t="n">
        <f aca="false">H48*O48</f>
        <v>534</v>
      </c>
    </row>
    <row r="49" customFormat="false" ht="15" hidden="false" customHeight="false" outlineLevel="0" collapsed="false">
      <c r="A49" s="48" t="s">
        <v>2061</v>
      </c>
      <c r="B49" s="49" t="s">
        <v>2183</v>
      </c>
      <c r="C49" s="49" t="s">
        <v>1531</v>
      </c>
      <c r="D49" s="49" t="s">
        <v>2101</v>
      </c>
      <c r="E49" s="50" t="s">
        <v>2096</v>
      </c>
      <c r="F49" s="49" t="s">
        <v>2097</v>
      </c>
      <c r="G49" s="49" t="s">
        <v>2097</v>
      </c>
      <c r="H49" s="51" t="n">
        <v>100</v>
      </c>
      <c r="I49" s="51" t="n">
        <v>20.01</v>
      </c>
      <c r="J49" s="51" t="n">
        <v>60.02</v>
      </c>
      <c r="K49" s="52" t="n">
        <v>160</v>
      </c>
      <c r="L49" s="53" t="n">
        <v>15.8</v>
      </c>
      <c r="M49" s="54" t="n">
        <v>73.7</v>
      </c>
      <c r="N49" s="51" t="n">
        <v>2.532507</v>
      </c>
      <c r="O49" s="55" t="n">
        <v>15.385</v>
      </c>
      <c r="P49" s="51" t="n">
        <v>39.98</v>
      </c>
      <c r="Q49" s="49" t="s">
        <v>2098</v>
      </c>
      <c r="R49" s="49" t="s">
        <v>2099</v>
      </c>
      <c r="S49" s="53" t="n">
        <v>0.5</v>
      </c>
      <c r="T49" s="51" t="n">
        <v>160</v>
      </c>
      <c r="U49" s="56" t="n">
        <f aca="false">I49*O49</f>
        <v>307.85385</v>
      </c>
      <c r="V49" s="56" t="n">
        <f aca="false">J49*O49</f>
        <v>923.4077</v>
      </c>
      <c r="W49" s="56" t="n">
        <f aca="false">((I49+J49)/2)*O49</f>
        <v>615.630775</v>
      </c>
      <c r="X49" s="56" t="n">
        <f aca="false">H49*O49</f>
        <v>1538.5</v>
      </c>
    </row>
    <row r="50" customFormat="false" ht="22.35" hidden="false" customHeight="false" outlineLevel="0" collapsed="false">
      <c r="A50" s="48" t="s">
        <v>2061</v>
      </c>
      <c r="B50" s="7" t="s">
        <v>2184</v>
      </c>
      <c r="C50" s="7" t="s">
        <v>2185</v>
      </c>
      <c r="D50" s="7" t="s">
        <v>2101</v>
      </c>
      <c r="E50" s="57" t="s">
        <v>2102</v>
      </c>
      <c r="F50" s="7" t="s">
        <v>2097</v>
      </c>
      <c r="G50" s="7" t="s">
        <v>2097</v>
      </c>
      <c r="H50" s="9" t="n">
        <v>3005</v>
      </c>
      <c r="I50" s="9" t="n">
        <v>3927.63</v>
      </c>
      <c r="J50" s="9" t="n">
        <v>11782.89</v>
      </c>
      <c r="K50" s="52" t="n">
        <v>12000</v>
      </c>
      <c r="L50" s="58" t="n">
        <v>76.1</v>
      </c>
      <c r="M50" s="59" t="n">
        <v>78.3</v>
      </c>
      <c r="N50" s="9" t="n">
        <v>103.222908</v>
      </c>
      <c r="O50" s="8" t="n">
        <v>2.162</v>
      </c>
      <c r="P50" s="9" t="n">
        <v>-8777.89</v>
      </c>
      <c r="Q50" s="7" t="s">
        <v>2103</v>
      </c>
      <c r="R50" s="7" t="s">
        <v>2099</v>
      </c>
      <c r="S50" s="58" t="n">
        <v>0.5</v>
      </c>
      <c r="T50" s="9" t="n">
        <v>4000</v>
      </c>
      <c r="U50" s="56" t="n">
        <f aca="false">I50*O50</f>
        <v>8491.53606</v>
      </c>
      <c r="V50" s="56" t="n">
        <f aca="false">J50*O50</f>
        <v>25474.60818</v>
      </c>
      <c r="W50" s="56" t="n">
        <f aca="false">((I50+J50)/2)*O50</f>
        <v>16983.07212</v>
      </c>
      <c r="X50" s="56" t="n">
        <f aca="false">H50*O50</f>
        <v>6496.81</v>
      </c>
    </row>
    <row r="51" customFormat="false" ht="22.35" hidden="false" customHeight="false" outlineLevel="0" collapsed="false">
      <c r="A51" s="48" t="s">
        <v>2061</v>
      </c>
      <c r="B51" s="49" t="s">
        <v>2186</v>
      </c>
      <c r="C51" s="49" t="s">
        <v>1531</v>
      </c>
      <c r="D51" s="49" t="s">
        <v>2101</v>
      </c>
      <c r="E51" s="57" t="s">
        <v>2102</v>
      </c>
      <c r="F51" s="49" t="s">
        <v>2097</v>
      </c>
      <c r="G51" s="49" t="s">
        <v>2097</v>
      </c>
      <c r="H51" s="51" t="n">
        <v>190</v>
      </c>
      <c r="I51" s="51" t="n">
        <v>95.71</v>
      </c>
      <c r="J51" s="51" t="n">
        <v>287.13</v>
      </c>
      <c r="K51" s="52" t="n">
        <v>300</v>
      </c>
      <c r="L51" s="53" t="n">
        <v>31.3</v>
      </c>
      <c r="M51" s="54" t="n">
        <v>77.8</v>
      </c>
      <c r="N51" s="51" t="n">
        <v>6.115656</v>
      </c>
      <c r="O51" s="55" t="n">
        <v>4.96</v>
      </c>
      <c r="P51" s="51" t="n">
        <v>-97.13</v>
      </c>
      <c r="Q51" s="49" t="s">
        <v>2103</v>
      </c>
      <c r="R51" s="49" t="s">
        <v>2099</v>
      </c>
      <c r="S51" s="53" t="n">
        <v>0.5</v>
      </c>
      <c r="T51" s="51" t="n">
        <v>100</v>
      </c>
      <c r="U51" s="56" t="n">
        <f aca="false">I51*O51</f>
        <v>474.7216</v>
      </c>
      <c r="V51" s="56" t="n">
        <f aca="false">J51*O51</f>
        <v>1424.1648</v>
      </c>
      <c r="W51" s="56" t="n">
        <f aca="false">((I51+J51)/2)*O51</f>
        <v>949.4432</v>
      </c>
      <c r="X51" s="56" t="n">
        <f aca="false">H51*O51</f>
        <v>942.4</v>
      </c>
    </row>
    <row r="52" customFormat="false" ht="15" hidden="false" customHeight="false" outlineLevel="0" collapsed="false">
      <c r="A52" s="48" t="s">
        <v>2061</v>
      </c>
      <c r="B52" s="7" t="s">
        <v>2187</v>
      </c>
      <c r="C52" s="7" t="s">
        <v>1531</v>
      </c>
      <c r="D52" s="7" t="s">
        <v>2101</v>
      </c>
      <c r="E52" s="50" t="s">
        <v>2096</v>
      </c>
      <c r="F52" s="7" t="s">
        <v>2097</v>
      </c>
      <c r="G52" s="7" t="s">
        <v>2097</v>
      </c>
      <c r="H52" s="9" t="n">
        <v>342</v>
      </c>
      <c r="I52" s="9" t="n">
        <v>75.36</v>
      </c>
      <c r="J52" s="9" t="n">
        <v>226.08</v>
      </c>
      <c r="K52" s="52" t="n">
        <v>240</v>
      </c>
      <c r="L52" s="58" t="n">
        <v>32.6</v>
      </c>
      <c r="M52" s="59" t="n">
        <v>50</v>
      </c>
      <c r="N52" s="9" t="n">
        <v>4.623233</v>
      </c>
      <c r="O52" s="8" t="n">
        <v>7.58</v>
      </c>
      <c r="P52" s="9" t="n">
        <v>115.92</v>
      </c>
      <c r="Q52" s="7" t="s">
        <v>2098</v>
      </c>
      <c r="R52" s="7" t="s">
        <v>2099</v>
      </c>
      <c r="S52" s="58" t="n">
        <v>0.5</v>
      </c>
      <c r="T52" s="9" t="n">
        <v>40</v>
      </c>
      <c r="U52" s="56" t="n">
        <f aca="false">I52*O52</f>
        <v>571.2288</v>
      </c>
      <c r="V52" s="56" t="n">
        <f aca="false">J52*O52</f>
        <v>1713.6864</v>
      </c>
      <c r="W52" s="56" t="n">
        <f aca="false">((I52+J52)/2)*O52</f>
        <v>1142.4576</v>
      </c>
      <c r="X52" s="56" t="n">
        <f aca="false">H52*O52</f>
        <v>2592.36</v>
      </c>
    </row>
    <row r="53" customFormat="false" ht="22.35" hidden="false" customHeight="false" outlineLevel="0" collapsed="false">
      <c r="A53" s="48" t="s">
        <v>2061</v>
      </c>
      <c r="B53" s="49" t="s">
        <v>2188</v>
      </c>
      <c r="C53" s="49" t="s">
        <v>1624</v>
      </c>
      <c r="D53" s="49" t="s">
        <v>2101</v>
      </c>
      <c r="E53" s="57" t="s">
        <v>2102</v>
      </c>
      <c r="F53" s="49" t="s">
        <v>2097</v>
      </c>
      <c r="G53" s="49" t="s">
        <v>2097</v>
      </c>
      <c r="H53" s="51" t="n">
        <v>1928</v>
      </c>
      <c r="I53" s="51" t="n">
        <v>1240.25</v>
      </c>
      <c r="J53" s="51" t="n">
        <v>3720.76</v>
      </c>
      <c r="K53" s="52" t="n">
        <v>4200</v>
      </c>
      <c r="L53" s="53" t="n">
        <v>34</v>
      </c>
      <c r="M53" s="54" t="n">
        <v>82</v>
      </c>
      <c r="N53" s="51" t="n">
        <v>72.956041</v>
      </c>
      <c r="O53" s="55" t="n">
        <v>3.54</v>
      </c>
      <c r="P53" s="51" t="n">
        <v>-1792.76</v>
      </c>
      <c r="Q53" s="49" t="s">
        <v>2103</v>
      </c>
      <c r="R53" s="49" t="s">
        <v>2099</v>
      </c>
      <c r="S53" s="53" t="n">
        <v>0.5</v>
      </c>
      <c r="T53" s="51" t="n">
        <v>840</v>
      </c>
      <c r="U53" s="56" t="n">
        <f aca="false">I53*O53</f>
        <v>4390.485</v>
      </c>
      <c r="V53" s="56" t="n">
        <f aca="false">J53*O53</f>
        <v>13171.4904</v>
      </c>
      <c r="W53" s="56" t="n">
        <f aca="false">((I53+J53)/2)*O53</f>
        <v>8780.9877</v>
      </c>
      <c r="X53" s="56" t="n">
        <f aca="false">H53*O53</f>
        <v>6825.12</v>
      </c>
    </row>
    <row r="54" customFormat="false" ht="15" hidden="false" customHeight="false" outlineLevel="0" collapsed="false">
      <c r="A54" s="48" t="s">
        <v>2061</v>
      </c>
      <c r="B54" s="7" t="s">
        <v>2189</v>
      </c>
      <c r="C54" s="7" t="s">
        <v>2190</v>
      </c>
      <c r="D54" s="7" t="s">
        <v>2101</v>
      </c>
      <c r="E54" s="50" t="s">
        <v>2096</v>
      </c>
      <c r="F54" s="7" t="s">
        <v>2097</v>
      </c>
      <c r="G54" s="7" t="s">
        <v>2097</v>
      </c>
      <c r="H54" s="9" t="n">
        <v>205</v>
      </c>
      <c r="I54" s="9" t="n">
        <v>37.39</v>
      </c>
      <c r="J54" s="9" t="n">
        <v>112.16</v>
      </c>
      <c r="K54" s="52" t="n">
        <v>375</v>
      </c>
      <c r="L54" s="58" t="n">
        <v>21.5</v>
      </c>
      <c r="M54" s="59" t="n">
        <v>80</v>
      </c>
      <c r="N54" s="9" t="n">
        <v>3.477699</v>
      </c>
      <c r="O54" s="8" t="n">
        <v>4.007</v>
      </c>
      <c r="P54" s="9" t="n">
        <v>92.84</v>
      </c>
      <c r="Q54" s="7" t="s">
        <v>2098</v>
      </c>
      <c r="R54" s="7" t="s">
        <v>2099</v>
      </c>
      <c r="S54" s="58" t="n">
        <v>0.5</v>
      </c>
      <c r="T54" s="9" t="n">
        <v>375</v>
      </c>
      <c r="U54" s="56" t="n">
        <f aca="false">I54*O54</f>
        <v>149.82173</v>
      </c>
      <c r="V54" s="56" t="n">
        <f aca="false">J54*O54</f>
        <v>449.42512</v>
      </c>
      <c r="W54" s="56" t="n">
        <f aca="false">((I54+J54)/2)*O54</f>
        <v>299.623425</v>
      </c>
      <c r="X54" s="56" t="n">
        <f aca="false">H54*O54</f>
        <v>821.435</v>
      </c>
    </row>
    <row r="55" customFormat="false" ht="22.35" hidden="false" customHeight="false" outlineLevel="0" collapsed="false">
      <c r="A55" s="48" t="s">
        <v>2061</v>
      </c>
      <c r="B55" s="4" t="s">
        <v>2191</v>
      </c>
      <c r="C55" s="4" t="s">
        <v>2192</v>
      </c>
      <c r="D55" s="4" t="s">
        <v>2101</v>
      </c>
      <c r="E55" s="70" t="s">
        <v>2193</v>
      </c>
      <c r="F55" s="4" t="s">
        <v>2097</v>
      </c>
      <c r="G55" s="71" t="s">
        <v>2194</v>
      </c>
      <c r="H55" s="6" t="n">
        <v>100</v>
      </c>
      <c r="I55" s="6" t="n">
        <v>0</v>
      </c>
      <c r="J55" s="6" t="n">
        <v>0</v>
      </c>
      <c r="K55" s="52" t="n">
        <v>0</v>
      </c>
      <c r="L55" s="72" t="n">
        <v>43.6</v>
      </c>
      <c r="M55" s="73" t="n">
        <v>66.7</v>
      </c>
      <c r="N55" s="6" t="n">
        <v>3.106903</v>
      </c>
      <c r="O55" s="5" t="n">
        <v>8.1411</v>
      </c>
      <c r="P55" s="6" t="n">
        <v>100</v>
      </c>
      <c r="Q55" s="4" t="s">
        <v>2098</v>
      </c>
      <c r="R55" s="4" t="s">
        <v>2195</v>
      </c>
      <c r="S55" s="72" t="n">
        <v>0</v>
      </c>
      <c r="T55" s="6" t="n">
        <v>40</v>
      </c>
      <c r="U55" s="56" t="n">
        <f aca="false">I55*O55</f>
        <v>0</v>
      </c>
      <c r="V55" s="56" t="n">
        <f aca="false">J55*O55</f>
        <v>0</v>
      </c>
      <c r="W55" s="56" t="n">
        <f aca="false">((I55+J55)/2)*O55</f>
        <v>0</v>
      </c>
      <c r="X55" s="56" t="n">
        <f aca="false">H55*O55</f>
        <v>814.11</v>
      </c>
    </row>
    <row r="56" customFormat="false" ht="15" hidden="false" customHeight="false" outlineLevel="0" collapsed="false">
      <c r="A56" s="48" t="s">
        <v>2061</v>
      </c>
      <c r="B56" s="7" t="s">
        <v>2196</v>
      </c>
      <c r="C56" s="7" t="s">
        <v>1617</v>
      </c>
      <c r="D56" s="7" t="s">
        <v>2101</v>
      </c>
      <c r="E56" s="50" t="s">
        <v>2096</v>
      </c>
      <c r="F56" s="7" t="s">
        <v>2097</v>
      </c>
      <c r="G56" s="7" t="s">
        <v>2097</v>
      </c>
      <c r="H56" s="9" t="n">
        <v>100</v>
      </c>
      <c r="I56" s="9" t="n">
        <v>2.8</v>
      </c>
      <c r="J56" s="9" t="n">
        <v>8.39</v>
      </c>
      <c r="K56" s="52" t="n">
        <v>440</v>
      </c>
      <c r="L56" s="58" t="n">
        <v>13.3</v>
      </c>
      <c r="M56" s="59" t="n">
        <v>100</v>
      </c>
      <c r="N56" s="9" t="n">
        <v>0.420548</v>
      </c>
      <c r="O56" s="8" t="n">
        <v>2.71</v>
      </c>
      <c r="P56" s="9" t="n">
        <v>91.61</v>
      </c>
      <c r="Q56" s="7" t="s">
        <v>2098</v>
      </c>
      <c r="R56" s="7" t="s">
        <v>2099</v>
      </c>
      <c r="S56" s="58" t="n">
        <v>0.5</v>
      </c>
      <c r="T56" s="9" t="n">
        <v>440</v>
      </c>
      <c r="U56" s="56" t="n">
        <f aca="false">I56*O56</f>
        <v>7.588</v>
      </c>
      <c r="V56" s="56" t="n">
        <f aca="false">J56*O56</f>
        <v>22.7369</v>
      </c>
      <c r="W56" s="56" t="n">
        <f aca="false">((I56+J56)/2)*O56</f>
        <v>15.16245</v>
      </c>
      <c r="X56" s="56" t="n">
        <f aca="false">H56*O56</f>
        <v>271</v>
      </c>
    </row>
    <row r="57" customFormat="false" ht="22.35" hidden="false" customHeight="false" outlineLevel="0" collapsed="false">
      <c r="A57" s="48" t="s">
        <v>2061</v>
      </c>
      <c r="B57" s="49" t="s">
        <v>2197</v>
      </c>
      <c r="C57" s="49" t="s">
        <v>1624</v>
      </c>
      <c r="D57" s="49" t="s">
        <v>2101</v>
      </c>
      <c r="E57" s="57" t="s">
        <v>2102</v>
      </c>
      <c r="F57" s="49" t="s">
        <v>2097</v>
      </c>
      <c r="G57" s="49" t="s">
        <v>2097</v>
      </c>
      <c r="H57" s="51" t="n">
        <v>100</v>
      </c>
      <c r="I57" s="51" t="n">
        <v>48.45</v>
      </c>
      <c r="J57" s="51" t="n">
        <v>145.36</v>
      </c>
      <c r="K57" s="52" t="n">
        <v>324</v>
      </c>
      <c r="L57" s="53" t="n">
        <v>33.7</v>
      </c>
      <c r="M57" s="54" t="n">
        <v>68</v>
      </c>
      <c r="N57" s="51" t="n">
        <v>2.875548</v>
      </c>
      <c r="O57" s="55" t="n">
        <v>1.77</v>
      </c>
      <c r="P57" s="51" t="n">
        <v>-45.36</v>
      </c>
      <c r="Q57" s="49" t="s">
        <v>2103</v>
      </c>
      <c r="R57" s="49" t="s">
        <v>2099</v>
      </c>
      <c r="S57" s="53" t="n">
        <v>0.5</v>
      </c>
      <c r="T57" s="51" t="n">
        <v>324</v>
      </c>
      <c r="U57" s="56" t="n">
        <f aca="false">I57*O57</f>
        <v>85.7565</v>
      </c>
      <c r="V57" s="56" t="n">
        <f aca="false">J57*O57</f>
        <v>257.2872</v>
      </c>
      <c r="W57" s="56" t="n">
        <f aca="false">((I57+J57)/2)*O57</f>
        <v>171.52185</v>
      </c>
      <c r="X57" s="56" t="n">
        <f aca="false">H57*O57</f>
        <v>177</v>
      </c>
    </row>
    <row r="58" customFormat="false" ht="15" hidden="false" customHeight="false" outlineLevel="0" collapsed="false">
      <c r="A58" s="48" t="s">
        <v>2061</v>
      </c>
      <c r="B58" s="7" t="s">
        <v>2198</v>
      </c>
      <c r="C58" s="7" t="s">
        <v>1531</v>
      </c>
      <c r="D58" s="7" t="s">
        <v>2101</v>
      </c>
      <c r="E58" s="50" t="s">
        <v>2096</v>
      </c>
      <c r="F58" s="7" t="s">
        <v>2097</v>
      </c>
      <c r="G58" s="7" t="s">
        <v>2097</v>
      </c>
      <c r="H58" s="9" t="n">
        <v>100</v>
      </c>
      <c r="I58" s="9" t="n">
        <v>9.88</v>
      </c>
      <c r="J58" s="9" t="n">
        <v>29.64</v>
      </c>
      <c r="K58" s="52" t="n">
        <v>150</v>
      </c>
      <c r="L58" s="58" t="n">
        <v>45.6</v>
      </c>
      <c r="M58" s="59" t="n">
        <v>7.1</v>
      </c>
      <c r="N58" s="9" t="n">
        <v>0.433438</v>
      </c>
      <c r="O58" s="8" t="n">
        <v>4.613</v>
      </c>
      <c r="P58" s="9" t="n">
        <v>70.36</v>
      </c>
      <c r="Q58" s="7" t="s">
        <v>2098</v>
      </c>
      <c r="R58" s="7" t="s">
        <v>2099</v>
      </c>
      <c r="S58" s="58" t="n">
        <v>0.5</v>
      </c>
      <c r="T58" s="9" t="n">
        <v>150</v>
      </c>
      <c r="U58" s="56" t="n">
        <f aca="false">I58*O58</f>
        <v>45.57644</v>
      </c>
      <c r="V58" s="56" t="n">
        <f aca="false">J58*O58</f>
        <v>136.72932</v>
      </c>
      <c r="W58" s="56" t="n">
        <f aca="false">((I58+J58)/2)*O58</f>
        <v>91.15288</v>
      </c>
      <c r="X58" s="56" t="n">
        <f aca="false">H58*O58</f>
        <v>461.3</v>
      </c>
    </row>
    <row r="59" customFormat="false" ht="22.35" hidden="false" customHeight="false" outlineLevel="0" collapsed="false">
      <c r="A59" s="48" t="s">
        <v>2061</v>
      </c>
      <c r="B59" s="49" t="s">
        <v>2199</v>
      </c>
      <c r="C59" s="49" t="s">
        <v>2200</v>
      </c>
      <c r="D59" s="49" t="s">
        <v>2101</v>
      </c>
      <c r="E59" s="57" t="s">
        <v>2102</v>
      </c>
      <c r="F59" s="49" t="s">
        <v>2097</v>
      </c>
      <c r="G59" s="49" t="s">
        <v>2097</v>
      </c>
      <c r="H59" s="51" t="n">
        <v>2211</v>
      </c>
      <c r="I59" s="51" t="n">
        <v>966.02</v>
      </c>
      <c r="J59" s="51" t="n">
        <v>2898.07</v>
      </c>
      <c r="K59" s="52" t="n">
        <v>4000</v>
      </c>
      <c r="L59" s="53" t="n">
        <v>31.9</v>
      </c>
      <c r="M59" s="54" t="n">
        <v>63.2</v>
      </c>
      <c r="N59" s="51" t="n">
        <v>60.565712</v>
      </c>
      <c r="O59" s="55" t="n">
        <v>4.686</v>
      </c>
      <c r="P59" s="51" t="n">
        <v>-687.07</v>
      </c>
      <c r="Q59" s="49" t="s">
        <v>2103</v>
      </c>
      <c r="R59" s="49" t="s">
        <v>2099</v>
      </c>
      <c r="S59" s="53" t="n">
        <v>0.5</v>
      </c>
      <c r="T59" s="51" t="n">
        <v>2000</v>
      </c>
      <c r="U59" s="56" t="n">
        <f aca="false">I59*O59</f>
        <v>4526.76972</v>
      </c>
      <c r="V59" s="56" t="n">
        <f aca="false">J59*O59</f>
        <v>13580.35602</v>
      </c>
      <c r="W59" s="56" t="n">
        <f aca="false">((I59+J59)/2)*O59</f>
        <v>9053.56287</v>
      </c>
      <c r="X59" s="56" t="n">
        <f aca="false">H59*O59</f>
        <v>10360.746</v>
      </c>
    </row>
    <row r="60" customFormat="false" ht="22.35" hidden="false" customHeight="false" outlineLevel="0" collapsed="false">
      <c r="A60" s="48" t="s">
        <v>2061</v>
      </c>
      <c r="B60" s="7" t="s">
        <v>2201</v>
      </c>
      <c r="C60" s="7" t="s">
        <v>1554</v>
      </c>
      <c r="D60" s="7" t="s">
        <v>2101</v>
      </c>
      <c r="E60" s="57" t="s">
        <v>2102</v>
      </c>
      <c r="F60" s="7" t="s">
        <v>2097</v>
      </c>
      <c r="G60" s="7" t="s">
        <v>2097</v>
      </c>
      <c r="H60" s="9" t="n">
        <v>1001</v>
      </c>
      <c r="I60" s="9" t="n">
        <v>651.17</v>
      </c>
      <c r="J60" s="9" t="n">
        <v>1953.51</v>
      </c>
      <c r="K60" s="52" t="n">
        <v>2098</v>
      </c>
      <c r="L60" s="58" t="n">
        <v>40.4</v>
      </c>
      <c r="M60" s="59" t="n">
        <v>95</v>
      </c>
      <c r="N60" s="9" t="n">
        <v>32.236151</v>
      </c>
      <c r="O60" s="8" t="n">
        <v>1.3</v>
      </c>
      <c r="P60" s="9" t="n">
        <v>-952.51</v>
      </c>
      <c r="Q60" s="7" t="s">
        <v>2103</v>
      </c>
      <c r="R60" s="7" t="s">
        <v>2099</v>
      </c>
      <c r="S60" s="58" t="n">
        <v>0.5</v>
      </c>
      <c r="T60" s="9" t="n">
        <v>1049</v>
      </c>
      <c r="U60" s="56" t="n">
        <f aca="false">I60*O60</f>
        <v>846.521</v>
      </c>
      <c r="V60" s="56" t="n">
        <f aca="false">J60*O60</f>
        <v>2539.563</v>
      </c>
      <c r="W60" s="56" t="n">
        <f aca="false">((I60+J60)/2)*O60</f>
        <v>1693.042</v>
      </c>
      <c r="X60" s="56" t="n">
        <f aca="false">H60*O60</f>
        <v>1301.3</v>
      </c>
    </row>
    <row r="61" customFormat="false" ht="15" hidden="false" customHeight="false" outlineLevel="0" collapsed="false">
      <c r="A61" s="48" t="s">
        <v>2061</v>
      </c>
      <c r="B61" s="49" t="s">
        <v>2202</v>
      </c>
      <c r="C61" s="49" t="s">
        <v>2203</v>
      </c>
      <c r="D61" s="49" t="s">
        <v>2101</v>
      </c>
      <c r="E61" s="50" t="s">
        <v>2096</v>
      </c>
      <c r="F61" s="49" t="s">
        <v>2097</v>
      </c>
      <c r="G61" s="49" t="s">
        <v>2097</v>
      </c>
      <c r="H61" s="51" t="n">
        <v>161</v>
      </c>
      <c r="I61" s="51" t="n">
        <v>38.14</v>
      </c>
      <c r="J61" s="51" t="n">
        <v>114.41</v>
      </c>
      <c r="K61" s="52" t="n">
        <v>418.88</v>
      </c>
      <c r="L61" s="53" t="n">
        <v>34.6</v>
      </c>
      <c r="M61" s="54" t="n">
        <v>57.7</v>
      </c>
      <c r="N61" s="51" t="n">
        <v>2.204425</v>
      </c>
      <c r="O61" s="55" t="n">
        <v>3.35</v>
      </c>
      <c r="P61" s="51" t="n">
        <v>46.59</v>
      </c>
      <c r="Q61" s="49" t="s">
        <v>2098</v>
      </c>
      <c r="R61" s="49" t="s">
        <v>2099</v>
      </c>
      <c r="S61" s="53" t="n">
        <v>0.5</v>
      </c>
      <c r="T61" s="51" t="n">
        <v>418.88</v>
      </c>
      <c r="U61" s="56" t="n">
        <f aca="false">I61*O61</f>
        <v>127.769</v>
      </c>
      <c r="V61" s="56" t="n">
        <f aca="false">J61*O61</f>
        <v>383.2735</v>
      </c>
      <c r="W61" s="56" t="n">
        <f aca="false">((I61+J61)/2)*O61</f>
        <v>255.52125</v>
      </c>
      <c r="X61" s="56" t="n">
        <f aca="false">H61*O61</f>
        <v>539.35</v>
      </c>
    </row>
    <row r="62" customFormat="false" ht="22.35" hidden="false" customHeight="false" outlineLevel="0" collapsed="false">
      <c r="A62" s="48" t="s">
        <v>2061</v>
      </c>
      <c r="B62" s="7" t="s">
        <v>2204</v>
      </c>
      <c r="C62" s="7" t="s">
        <v>2205</v>
      </c>
      <c r="D62" s="7" t="s">
        <v>2101</v>
      </c>
      <c r="E62" s="57" t="s">
        <v>2102</v>
      </c>
      <c r="F62" s="7" t="s">
        <v>2097</v>
      </c>
      <c r="G62" s="7" t="s">
        <v>2097</v>
      </c>
      <c r="H62" s="9" t="n">
        <v>114</v>
      </c>
      <c r="I62" s="9" t="n">
        <v>46.12</v>
      </c>
      <c r="J62" s="9" t="n">
        <v>138.35</v>
      </c>
      <c r="K62" s="52" t="n">
        <v>399.4</v>
      </c>
      <c r="L62" s="58" t="n">
        <v>23.3</v>
      </c>
      <c r="M62" s="59" t="n">
        <v>72.2</v>
      </c>
      <c r="N62" s="9" t="n">
        <v>3.958493</v>
      </c>
      <c r="O62" s="8" t="n">
        <v>12.3487</v>
      </c>
      <c r="P62" s="9" t="n">
        <v>-24.35</v>
      </c>
      <c r="Q62" s="7" t="s">
        <v>2103</v>
      </c>
      <c r="R62" s="7" t="s">
        <v>2099</v>
      </c>
      <c r="S62" s="58" t="n">
        <v>0.5</v>
      </c>
      <c r="T62" s="9" t="n">
        <v>399.4</v>
      </c>
      <c r="U62" s="56" t="n">
        <f aca="false">I62*O62</f>
        <v>569.522044</v>
      </c>
      <c r="V62" s="56" t="n">
        <f aca="false">J62*O62</f>
        <v>1708.442645</v>
      </c>
      <c r="W62" s="56" t="n">
        <f aca="false">((I62+J62)/2)*O62</f>
        <v>1138.9823445</v>
      </c>
      <c r="X62" s="56" t="n">
        <f aca="false">H62*O62</f>
        <v>1407.7518</v>
      </c>
    </row>
    <row r="63" customFormat="false" ht="22.35" hidden="false" customHeight="false" outlineLevel="0" collapsed="false">
      <c r="A63" s="48" t="s">
        <v>2061</v>
      </c>
      <c r="B63" s="49" t="s">
        <v>2206</v>
      </c>
      <c r="C63" s="49" t="s">
        <v>2207</v>
      </c>
      <c r="D63" s="49" t="s">
        <v>2101</v>
      </c>
      <c r="E63" s="57" t="s">
        <v>2102</v>
      </c>
      <c r="F63" s="49" t="s">
        <v>2097</v>
      </c>
      <c r="G63" s="49" t="s">
        <v>2097</v>
      </c>
      <c r="H63" s="51" t="n">
        <v>190</v>
      </c>
      <c r="I63" s="51" t="n">
        <v>110.16</v>
      </c>
      <c r="J63" s="51" t="n">
        <v>330.48</v>
      </c>
      <c r="K63" s="52" t="n">
        <v>480</v>
      </c>
      <c r="L63" s="53" t="n">
        <v>35.9</v>
      </c>
      <c r="M63" s="54" t="n">
        <v>92.9</v>
      </c>
      <c r="N63" s="51" t="n">
        <v>6.137137</v>
      </c>
      <c r="O63" s="55" t="n">
        <v>3.8737</v>
      </c>
      <c r="P63" s="51" t="n">
        <v>-140.48</v>
      </c>
      <c r="Q63" s="49" t="s">
        <v>2103</v>
      </c>
      <c r="R63" s="49" t="s">
        <v>2099</v>
      </c>
      <c r="S63" s="53" t="n">
        <v>0.5</v>
      </c>
      <c r="T63" s="51" t="n">
        <v>480</v>
      </c>
      <c r="U63" s="56" t="n">
        <f aca="false">I63*O63</f>
        <v>426.726792</v>
      </c>
      <c r="V63" s="56" t="n">
        <f aca="false">J63*O63</f>
        <v>1280.180376</v>
      </c>
      <c r="W63" s="56" t="n">
        <f aca="false">((I63+J63)/2)*O63</f>
        <v>853.453584</v>
      </c>
      <c r="X63" s="56" t="n">
        <f aca="false">H63*O63</f>
        <v>736.003</v>
      </c>
    </row>
    <row r="64" customFormat="false" ht="22.35" hidden="false" customHeight="false" outlineLevel="0" collapsed="false">
      <c r="A64" s="48" t="s">
        <v>2061</v>
      </c>
      <c r="B64" s="7" t="s">
        <v>2208</v>
      </c>
      <c r="C64" s="7" t="s">
        <v>2209</v>
      </c>
      <c r="D64" s="7" t="s">
        <v>2101</v>
      </c>
      <c r="E64" s="57" t="s">
        <v>2102</v>
      </c>
      <c r="F64" s="7" t="s">
        <v>2097</v>
      </c>
      <c r="G64" s="7" t="s">
        <v>2097</v>
      </c>
      <c r="H64" s="9" t="n">
        <v>178</v>
      </c>
      <c r="I64" s="9" t="n">
        <v>67.98</v>
      </c>
      <c r="J64" s="9" t="n">
        <v>203.94</v>
      </c>
      <c r="K64" s="52" t="n">
        <v>440.9</v>
      </c>
      <c r="L64" s="58" t="n">
        <v>18.3</v>
      </c>
      <c r="M64" s="59" t="n">
        <v>81.6</v>
      </c>
      <c r="N64" s="9" t="n">
        <v>7.429616</v>
      </c>
      <c r="O64" s="8" t="n">
        <v>6.81</v>
      </c>
      <c r="P64" s="9" t="n">
        <v>-25.94</v>
      </c>
      <c r="Q64" s="7" t="s">
        <v>2103</v>
      </c>
      <c r="R64" s="7" t="s">
        <v>2099</v>
      </c>
      <c r="S64" s="58" t="n">
        <v>0.5</v>
      </c>
      <c r="T64" s="9" t="n">
        <v>440.9</v>
      </c>
      <c r="U64" s="56" t="n">
        <f aca="false">I64*O64</f>
        <v>462.9438</v>
      </c>
      <c r="V64" s="56" t="n">
        <f aca="false">J64*O64</f>
        <v>1388.8314</v>
      </c>
      <c r="W64" s="56" t="n">
        <f aca="false">((I64+J64)/2)*O64</f>
        <v>925.8876</v>
      </c>
      <c r="X64" s="56" t="n">
        <f aca="false">H64*O64</f>
        <v>1212.18</v>
      </c>
    </row>
    <row r="65" customFormat="false" ht="22.35" hidden="false" customHeight="false" outlineLevel="0" collapsed="false">
      <c r="A65" s="48" t="s">
        <v>2061</v>
      </c>
      <c r="B65" s="49" t="s">
        <v>2210</v>
      </c>
      <c r="C65" s="49" t="s">
        <v>1531</v>
      </c>
      <c r="D65" s="49" t="s">
        <v>2101</v>
      </c>
      <c r="E65" s="57" t="s">
        <v>2102</v>
      </c>
      <c r="F65" s="49" t="s">
        <v>2097</v>
      </c>
      <c r="G65" s="49" t="s">
        <v>2097</v>
      </c>
      <c r="H65" s="51" t="n">
        <v>333</v>
      </c>
      <c r="I65" s="51" t="n">
        <v>143</v>
      </c>
      <c r="J65" s="51" t="n">
        <v>429.01</v>
      </c>
      <c r="K65" s="52" t="n">
        <v>800</v>
      </c>
      <c r="L65" s="53" t="n">
        <v>23.6</v>
      </c>
      <c r="M65" s="54" t="n">
        <v>79.3</v>
      </c>
      <c r="N65" s="51" t="n">
        <v>12.118973</v>
      </c>
      <c r="O65" s="55" t="n">
        <v>23.24</v>
      </c>
      <c r="P65" s="51" t="n">
        <v>-96.01</v>
      </c>
      <c r="Q65" s="49" t="s">
        <v>2103</v>
      </c>
      <c r="R65" s="49" t="s">
        <v>2099</v>
      </c>
      <c r="S65" s="53" t="n">
        <v>0.5</v>
      </c>
      <c r="T65" s="51" t="n">
        <v>400</v>
      </c>
      <c r="U65" s="56" t="n">
        <f aca="false">I65*O65</f>
        <v>3323.32</v>
      </c>
      <c r="V65" s="56" t="n">
        <f aca="false">J65*O65</f>
        <v>9970.1924</v>
      </c>
      <c r="W65" s="56" t="n">
        <f aca="false">((I65+J65)/2)*O65</f>
        <v>6646.7562</v>
      </c>
      <c r="X65" s="56" t="n">
        <f aca="false">H65*O65</f>
        <v>7738.92</v>
      </c>
    </row>
    <row r="66" customFormat="false" ht="22.35" hidden="false" customHeight="false" outlineLevel="0" collapsed="false">
      <c r="A66" s="48" t="s">
        <v>2061</v>
      </c>
      <c r="B66" s="4" t="s">
        <v>2211</v>
      </c>
      <c r="C66" s="4" t="s">
        <v>1531</v>
      </c>
      <c r="D66" s="4" t="s">
        <v>2101</v>
      </c>
      <c r="E66" s="70" t="s">
        <v>2193</v>
      </c>
      <c r="F66" s="4" t="s">
        <v>2097</v>
      </c>
      <c r="G66" s="71" t="s">
        <v>2194</v>
      </c>
      <c r="H66" s="6" t="n">
        <v>100</v>
      </c>
      <c r="I66" s="6" t="n">
        <v>0</v>
      </c>
      <c r="J66" s="6" t="n">
        <v>0</v>
      </c>
      <c r="K66" s="52" t="n">
        <v>0</v>
      </c>
      <c r="L66" s="72" t="n">
        <v>9.7</v>
      </c>
      <c r="M66" s="73" t="n">
        <v>66.7</v>
      </c>
      <c r="N66" s="6" t="n">
        <v>0.144753</v>
      </c>
      <c r="O66" s="5" t="n">
        <v>20.091</v>
      </c>
      <c r="P66" s="6" t="n">
        <v>100</v>
      </c>
      <c r="Q66" s="4" t="s">
        <v>2098</v>
      </c>
      <c r="R66" s="4" t="s">
        <v>2195</v>
      </c>
      <c r="S66" s="72" t="n">
        <v>0</v>
      </c>
      <c r="T66" s="6" t="n">
        <v>132.27</v>
      </c>
      <c r="U66" s="56" t="n">
        <f aca="false">I66*O66</f>
        <v>0</v>
      </c>
      <c r="V66" s="56" t="n">
        <f aca="false">J66*O66</f>
        <v>0</v>
      </c>
      <c r="W66" s="56" t="n">
        <f aca="false">((I66+J66)/2)*O66</f>
        <v>0</v>
      </c>
      <c r="X66" s="56" t="n">
        <f aca="false">H66*O66</f>
        <v>2009.1</v>
      </c>
    </row>
    <row r="67" customFormat="false" ht="15" hidden="false" customHeight="false" outlineLevel="0" collapsed="false">
      <c r="A67" s="48" t="s">
        <v>2061</v>
      </c>
      <c r="B67" s="49" t="s">
        <v>2212</v>
      </c>
      <c r="C67" s="49" t="s">
        <v>1531</v>
      </c>
      <c r="D67" s="49" t="s">
        <v>2101</v>
      </c>
      <c r="E67" s="50" t="s">
        <v>2096</v>
      </c>
      <c r="F67" s="49" t="s">
        <v>2097</v>
      </c>
      <c r="G67" s="49" t="s">
        <v>2097</v>
      </c>
      <c r="H67" s="51" t="n">
        <v>100</v>
      </c>
      <c r="I67" s="51" t="n">
        <v>13</v>
      </c>
      <c r="J67" s="51" t="n">
        <v>38.99</v>
      </c>
      <c r="K67" s="52" t="n">
        <v>440.92</v>
      </c>
      <c r="L67" s="53" t="n">
        <v>28.5</v>
      </c>
      <c r="M67" s="54" t="n">
        <v>30</v>
      </c>
      <c r="N67" s="51" t="n">
        <v>0.912014</v>
      </c>
      <c r="O67" s="55" t="n">
        <v>12.209</v>
      </c>
      <c r="P67" s="51" t="n">
        <v>61.01</v>
      </c>
      <c r="Q67" s="49" t="s">
        <v>2098</v>
      </c>
      <c r="R67" s="49" t="s">
        <v>2099</v>
      </c>
      <c r="S67" s="53" t="n">
        <v>0.5</v>
      </c>
      <c r="T67" s="51" t="n">
        <v>440.92</v>
      </c>
      <c r="U67" s="56" t="n">
        <f aca="false">I67*O67</f>
        <v>158.717</v>
      </c>
      <c r="V67" s="56" t="n">
        <f aca="false">J67*O67</f>
        <v>476.02891</v>
      </c>
      <c r="W67" s="56" t="n">
        <f aca="false">((I67+J67)/2)*O67</f>
        <v>317.372955</v>
      </c>
      <c r="X67" s="56" t="n">
        <f aca="false">H67*O67</f>
        <v>1220.9</v>
      </c>
    </row>
    <row r="68" customFormat="false" ht="22.35" hidden="false" customHeight="false" outlineLevel="0" collapsed="false">
      <c r="A68" s="48" t="s">
        <v>2061</v>
      </c>
      <c r="B68" s="7" t="s">
        <v>2213</v>
      </c>
      <c r="C68" s="7" t="s">
        <v>1617</v>
      </c>
      <c r="D68" s="7" t="s">
        <v>2101</v>
      </c>
      <c r="E68" s="57" t="s">
        <v>2102</v>
      </c>
      <c r="F68" s="7" t="s">
        <v>2097</v>
      </c>
      <c r="G68" s="7" t="s">
        <v>2097</v>
      </c>
      <c r="H68" s="9" t="n">
        <v>201</v>
      </c>
      <c r="I68" s="9" t="n">
        <v>76.41</v>
      </c>
      <c r="J68" s="9" t="n">
        <v>229.24</v>
      </c>
      <c r="K68" s="52" t="n">
        <v>275.6</v>
      </c>
      <c r="L68" s="58" t="n">
        <v>21.6</v>
      </c>
      <c r="M68" s="59" t="n">
        <v>70</v>
      </c>
      <c r="N68" s="9" t="n">
        <v>7.075384</v>
      </c>
      <c r="O68" s="8" t="n">
        <v>2.169</v>
      </c>
      <c r="P68" s="9" t="n">
        <v>-28.24</v>
      </c>
      <c r="Q68" s="7" t="s">
        <v>2103</v>
      </c>
      <c r="R68" s="7" t="s">
        <v>2099</v>
      </c>
      <c r="S68" s="58" t="n">
        <v>0.5</v>
      </c>
      <c r="T68" s="9" t="n">
        <v>275.6</v>
      </c>
      <c r="U68" s="56" t="n">
        <f aca="false">I68*O68</f>
        <v>165.73329</v>
      </c>
      <c r="V68" s="56" t="n">
        <f aca="false">J68*O68</f>
        <v>497.22156</v>
      </c>
      <c r="W68" s="56" t="n">
        <f aca="false">((I68+J68)/2)*O68</f>
        <v>331.477425</v>
      </c>
      <c r="X68" s="56" t="n">
        <f aca="false">H68*O68</f>
        <v>435.969</v>
      </c>
    </row>
    <row r="69" customFormat="false" ht="22.35" hidden="false" customHeight="false" outlineLevel="0" collapsed="false">
      <c r="A69" s="48" t="s">
        <v>2061</v>
      </c>
      <c r="B69" s="49" t="s">
        <v>2214</v>
      </c>
      <c r="C69" s="49" t="s">
        <v>2215</v>
      </c>
      <c r="D69" s="49" t="s">
        <v>2101</v>
      </c>
      <c r="E69" s="57" t="s">
        <v>2102</v>
      </c>
      <c r="F69" s="49" t="s">
        <v>2097</v>
      </c>
      <c r="G69" s="49" t="s">
        <v>2097</v>
      </c>
      <c r="H69" s="51" t="n">
        <v>301</v>
      </c>
      <c r="I69" s="51" t="n">
        <v>102.88</v>
      </c>
      <c r="J69" s="51" t="n">
        <v>308.64</v>
      </c>
      <c r="K69" s="52" t="n">
        <v>1957.706</v>
      </c>
      <c r="L69" s="53" t="n">
        <v>29</v>
      </c>
      <c r="M69" s="54" t="n">
        <v>73.3</v>
      </c>
      <c r="N69" s="51" t="n">
        <v>7.095329</v>
      </c>
      <c r="O69" s="55" t="n">
        <v>6.74</v>
      </c>
      <c r="P69" s="51" t="n">
        <v>-7.64</v>
      </c>
      <c r="Q69" s="49" t="s">
        <v>2103</v>
      </c>
      <c r="R69" s="49" t="s">
        <v>2099</v>
      </c>
      <c r="S69" s="53" t="n">
        <v>0.5</v>
      </c>
      <c r="T69" s="51" t="n">
        <v>1957.706</v>
      </c>
      <c r="U69" s="56" t="n">
        <f aca="false">I69*O69</f>
        <v>693.4112</v>
      </c>
      <c r="V69" s="56" t="n">
        <f aca="false">J69*O69</f>
        <v>2080.2336</v>
      </c>
      <c r="W69" s="56" t="n">
        <f aca="false">((I69+J69)/2)*O69</f>
        <v>1386.8224</v>
      </c>
      <c r="X69" s="56" t="n">
        <f aca="false">H69*O69</f>
        <v>2028.74</v>
      </c>
    </row>
    <row r="70" customFormat="false" ht="22.35" hidden="false" customHeight="false" outlineLevel="0" collapsed="false">
      <c r="A70" s="48" t="s">
        <v>2061</v>
      </c>
      <c r="B70" s="7" t="s">
        <v>2216</v>
      </c>
      <c r="C70" s="7" t="s">
        <v>2217</v>
      </c>
      <c r="D70" s="7" t="s">
        <v>2095</v>
      </c>
      <c r="E70" s="61" t="s">
        <v>2113</v>
      </c>
      <c r="F70" s="7" t="s">
        <v>2097</v>
      </c>
      <c r="G70" s="7" t="s">
        <v>2097</v>
      </c>
      <c r="H70" s="9" t="n">
        <v>1947</v>
      </c>
      <c r="I70" s="9" t="n">
        <v>2120.87</v>
      </c>
      <c r="J70" s="9" t="n">
        <v>4241.74</v>
      </c>
      <c r="K70" s="52" t="n">
        <v>4409.2</v>
      </c>
      <c r="L70" s="58" t="n">
        <v>31</v>
      </c>
      <c r="M70" s="59" t="n">
        <v>86.7</v>
      </c>
      <c r="N70" s="9" t="n">
        <v>68.415137</v>
      </c>
      <c r="O70" s="8" t="n">
        <v>2.28</v>
      </c>
      <c r="P70" s="9" t="n">
        <v>-2294.74</v>
      </c>
      <c r="Q70" s="7" t="s">
        <v>2103</v>
      </c>
      <c r="R70" s="7" t="s">
        <v>2099</v>
      </c>
      <c r="S70" s="58" t="n">
        <v>1</v>
      </c>
      <c r="T70" s="9" t="n">
        <v>881.84</v>
      </c>
      <c r="U70" s="56" t="n">
        <f aca="false">I70*O70</f>
        <v>4835.5836</v>
      </c>
      <c r="V70" s="56" t="n">
        <f aca="false">J70*O70</f>
        <v>9671.1672</v>
      </c>
      <c r="W70" s="56" t="n">
        <f aca="false">((I70+J70)/2)*O70</f>
        <v>7253.3754</v>
      </c>
      <c r="X70" s="56" t="n">
        <f aca="false">H70*O70</f>
        <v>4439.16</v>
      </c>
    </row>
    <row r="71" customFormat="false" ht="15" hidden="false" customHeight="false" outlineLevel="0" collapsed="false">
      <c r="A71" s="48" t="s">
        <v>2061</v>
      </c>
      <c r="B71" s="49" t="s">
        <v>2218</v>
      </c>
      <c r="C71" s="49" t="s">
        <v>1531</v>
      </c>
      <c r="D71" s="49" t="s">
        <v>2101</v>
      </c>
      <c r="E71" s="50" t="s">
        <v>2096</v>
      </c>
      <c r="F71" s="49" t="s">
        <v>2097</v>
      </c>
      <c r="G71" s="49" t="s">
        <v>2097</v>
      </c>
      <c r="H71" s="51" t="n">
        <v>100</v>
      </c>
      <c r="I71" s="51" t="n">
        <v>22.89</v>
      </c>
      <c r="J71" s="51" t="n">
        <v>68.66</v>
      </c>
      <c r="K71" s="52" t="n">
        <v>80</v>
      </c>
      <c r="L71" s="53" t="n">
        <v>32.8</v>
      </c>
      <c r="M71" s="54" t="n">
        <v>70</v>
      </c>
      <c r="N71" s="51" t="n">
        <v>1.395466</v>
      </c>
      <c r="O71" s="55" t="n">
        <v>21.43</v>
      </c>
      <c r="P71" s="51" t="n">
        <v>31.34</v>
      </c>
      <c r="Q71" s="49" t="s">
        <v>2098</v>
      </c>
      <c r="R71" s="49" t="s">
        <v>2099</v>
      </c>
      <c r="S71" s="53" t="n">
        <v>0.5</v>
      </c>
      <c r="T71" s="51" t="n">
        <v>80</v>
      </c>
      <c r="U71" s="56" t="n">
        <f aca="false">I71*O71</f>
        <v>490.5327</v>
      </c>
      <c r="V71" s="56" t="n">
        <f aca="false">J71*O71</f>
        <v>1471.3838</v>
      </c>
      <c r="W71" s="56" t="n">
        <f aca="false">((I71+J71)/2)*O71</f>
        <v>980.95825</v>
      </c>
      <c r="X71" s="56" t="n">
        <f aca="false">H71*O71</f>
        <v>2143</v>
      </c>
    </row>
    <row r="72" customFormat="false" ht="15" hidden="false" customHeight="false" outlineLevel="0" collapsed="false">
      <c r="A72" s="48" t="s">
        <v>2061</v>
      </c>
      <c r="B72" s="7" t="s">
        <v>2219</v>
      </c>
      <c r="C72" s="7" t="s">
        <v>2205</v>
      </c>
      <c r="D72" s="7" t="s">
        <v>2101</v>
      </c>
      <c r="E72" s="50" t="s">
        <v>2096</v>
      </c>
      <c r="F72" s="7" t="s">
        <v>2097</v>
      </c>
      <c r="G72" s="7" t="s">
        <v>2097</v>
      </c>
      <c r="H72" s="9" t="n">
        <v>100</v>
      </c>
      <c r="I72" s="9" t="n">
        <v>17.96</v>
      </c>
      <c r="J72" s="9" t="n">
        <v>53.88</v>
      </c>
      <c r="K72" s="52" t="n">
        <v>400</v>
      </c>
      <c r="L72" s="58" t="n">
        <v>29</v>
      </c>
      <c r="M72" s="59" t="n">
        <v>66.7</v>
      </c>
      <c r="N72" s="9" t="n">
        <v>1.238699</v>
      </c>
      <c r="O72" s="8" t="n">
        <v>7.07</v>
      </c>
      <c r="P72" s="9" t="n">
        <v>46.12</v>
      </c>
      <c r="Q72" s="7" t="s">
        <v>2098</v>
      </c>
      <c r="R72" s="7" t="s">
        <v>2099</v>
      </c>
      <c r="S72" s="58" t="n">
        <v>0.5</v>
      </c>
      <c r="T72" s="9" t="n">
        <v>400</v>
      </c>
      <c r="U72" s="56" t="n">
        <f aca="false">I72*O72</f>
        <v>126.9772</v>
      </c>
      <c r="V72" s="56" t="n">
        <f aca="false">J72*O72</f>
        <v>380.9316</v>
      </c>
      <c r="W72" s="56" t="n">
        <f aca="false">((I72+J72)/2)*O72</f>
        <v>253.9544</v>
      </c>
      <c r="X72" s="56" t="n">
        <f aca="false">H72*O72</f>
        <v>707</v>
      </c>
    </row>
    <row r="73" customFormat="false" ht="22.35" hidden="false" customHeight="false" outlineLevel="0" collapsed="false">
      <c r="A73" s="48" t="s">
        <v>2061</v>
      </c>
      <c r="B73" s="49" t="s">
        <v>2220</v>
      </c>
      <c r="C73" s="49" t="s">
        <v>2205</v>
      </c>
      <c r="D73" s="49" t="s">
        <v>2101</v>
      </c>
      <c r="E73" s="57" t="s">
        <v>2102</v>
      </c>
      <c r="F73" s="49" t="s">
        <v>2097</v>
      </c>
      <c r="G73" s="49" t="s">
        <v>2097</v>
      </c>
      <c r="H73" s="51" t="n">
        <v>199</v>
      </c>
      <c r="I73" s="51" t="n">
        <v>100.55</v>
      </c>
      <c r="J73" s="51" t="n">
        <v>301.66</v>
      </c>
      <c r="K73" s="52" t="n">
        <v>374.7</v>
      </c>
      <c r="L73" s="53" t="n">
        <v>27.4</v>
      </c>
      <c r="M73" s="54" t="n">
        <v>61.9</v>
      </c>
      <c r="N73" s="51" t="n">
        <v>7.339603</v>
      </c>
      <c r="O73" s="55" t="n">
        <v>6</v>
      </c>
      <c r="P73" s="51" t="n">
        <v>-102.66</v>
      </c>
      <c r="Q73" s="49" t="s">
        <v>2103</v>
      </c>
      <c r="R73" s="49" t="s">
        <v>2099</v>
      </c>
      <c r="S73" s="53" t="n">
        <v>0.5</v>
      </c>
      <c r="T73" s="51" t="n">
        <v>374.7</v>
      </c>
      <c r="U73" s="56" t="n">
        <f aca="false">I73*O73</f>
        <v>603.3</v>
      </c>
      <c r="V73" s="56" t="n">
        <f aca="false">J73*O73</f>
        <v>1809.96</v>
      </c>
      <c r="W73" s="56" t="n">
        <f aca="false">((I73+J73)/2)*O73</f>
        <v>1206.63</v>
      </c>
      <c r="X73" s="56" t="n">
        <f aca="false">H73*O73</f>
        <v>1194</v>
      </c>
    </row>
    <row r="74" customFormat="false" ht="15" hidden="false" customHeight="false" outlineLevel="0" collapsed="false">
      <c r="A74" s="48" t="s">
        <v>2061</v>
      </c>
      <c r="B74" s="7" t="s">
        <v>2221</v>
      </c>
      <c r="C74" s="7" t="s">
        <v>2173</v>
      </c>
      <c r="D74" s="7" t="s">
        <v>2101</v>
      </c>
      <c r="E74" s="50" t="s">
        <v>2096</v>
      </c>
      <c r="F74" s="7" t="s">
        <v>2097</v>
      </c>
      <c r="G74" s="7" t="s">
        <v>2097</v>
      </c>
      <c r="H74" s="9" t="n">
        <v>102</v>
      </c>
      <c r="I74" s="9" t="n">
        <v>29.33</v>
      </c>
      <c r="J74" s="9" t="n">
        <v>88</v>
      </c>
      <c r="K74" s="52" t="n">
        <v>118.8</v>
      </c>
      <c r="L74" s="58" t="n">
        <v>16.8</v>
      </c>
      <c r="M74" s="59" t="n">
        <v>85.7</v>
      </c>
      <c r="N74" s="9" t="n">
        <v>3.492096</v>
      </c>
      <c r="O74" s="8" t="n">
        <v>3.852</v>
      </c>
      <c r="P74" s="9" t="n">
        <v>14</v>
      </c>
      <c r="Q74" s="7" t="s">
        <v>2098</v>
      </c>
      <c r="R74" s="7" t="s">
        <v>2099</v>
      </c>
      <c r="S74" s="58" t="n">
        <v>0.5</v>
      </c>
      <c r="T74" s="9" t="n">
        <v>118.8</v>
      </c>
      <c r="U74" s="56" t="n">
        <f aca="false">I74*O74</f>
        <v>112.97916</v>
      </c>
      <c r="V74" s="56" t="n">
        <f aca="false">J74*O74</f>
        <v>338.976</v>
      </c>
      <c r="W74" s="56" t="n">
        <f aca="false">((I74+J74)/2)*O74</f>
        <v>225.97758</v>
      </c>
      <c r="X74" s="56" t="n">
        <f aca="false">H74*O74</f>
        <v>392.904</v>
      </c>
    </row>
    <row r="75" customFormat="false" ht="15" hidden="false" customHeight="false" outlineLevel="0" collapsed="false">
      <c r="A75" s="48" t="s">
        <v>2061</v>
      </c>
      <c r="B75" s="49" t="s">
        <v>2222</v>
      </c>
      <c r="C75" s="49" t="s">
        <v>2223</v>
      </c>
      <c r="D75" s="49" t="s">
        <v>2101</v>
      </c>
      <c r="E75" s="50" t="s">
        <v>2096</v>
      </c>
      <c r="F75" s="49" t="s">
        <v>2097</v>
      </c>
      <c r="G75" s="49" t="s">
        <v>2097</v>
      </c>
      <c r="H75" s="51" t="n">
        <v>461</v>
      </c>
      <c r="I75" s="51" t="n">
        <v>137.21</v>
      </c>
      <c r="J75" s="51" t="n">
        <v>411.64</v>
      </c>
      <c r="K75" s="52" t="n">
        <v>441</v>
      </c>
      <c r="L75" s="53" t="n">
        <v>14.3</v>
      </c>
      <c r="M75" s="54" t="n">
        <v>59.3</v>
      </c>
      <c r="N75" s="51" t="n">
        <v>19.190671</v>
      </c>
      <c r="O75" s="55" t="n">
        <v>5.85</v>
      </c>
      <c r="P75" s="51" t="n">
        <v>49.36</v>
      </c>
      <c r="Q75" s="49" t="s">
        <v>2098</v>
      </c>
      <c r="R75" s="49" t="s">
        <v>2099</v>
      </c>
      <c r="S75" s="53" t="n">
        <v>0.5</v>
      </c>
      <c r="T75" s="51" t="n">
        <v>441</v>
      </c>
      <c r="U75" s="56" t="n">
        <f aca="false">I75*O75</f>
        <v>802.6785</v>
      </c>
      <c r="V75" s="56" t="n">
        <f aca="false">J75*O75</f>
        <v>2408.094</v>
      </c>
      <c r="W75" s="56" t="n">
        <f aca="false">((I75+J75)/2)*O75</f>
        <v>1605.38625</v>
      </c>
      <c r="X75" s="56" t="n">
        <f aca="false">H75*O75</f>
        <v>2696.85</v>
      </c>
    </row>
    <row r="76" customFormat="false" ht="22.35" hidden="false" customHeight="false" outlineLevel="0" collapsed="false">
      <c r="A76" s="48" t="s">
        <v>2061</v>
      </c>
      <c r="B76" s="7" t="s">
        <v>2224</v>
      </c>
      <c r="C76" s="7" t="s">
        <v>2225</v>
      </c>
      <c r="D76" s="7" t="s">
        <v>2095</v>
      </c>
      <c r="E76" s="61" t="s">
        <v>2113</v>
      </c>
      <c r="F76" s="7" t="s">
        <v>2097</v>
      </c>
      <c r="G76" s="7" t="s">
        <v>2097</v>
      </c>
      <c r="H76" s="9" t="n">
        <v>6000</v>
      </c>
      <c r="I76" s="9" t="n">
        <v>8770.68</v>
      </c>
      <c r="J76" s="9" t="n">
        <v>17541.36</v>
      </c>
      <c r="K76" s="52" t="n">
        <v>18240</v>
      </c>
      <c r="L76" s="58" t="n">
        <v>33.2</v>
      </c>
      <c r="M76" s="59" t="n">
        <v>81.8</v>
      </c>
      <c r="N76" s="9" t="n">
        <v>264.176986</v>
      </c>
      <c r="O76" s="8" t="n">
        <v>3.96</v>
      </c>
      <c r="P76" s="9" t="n">
        <v>-11541.36</v>
      </c>
      <c r="Q76" s="7" t="s">
        <v>2103</v>
      </c>
      <c r="R76" s="7" t="s">
        <v>2099</v>
      </c>
      <c r="S76" s="58" t="n">
        <v>1</v>
      </c>
      <c r="T76" s="9" t="n">
        <v>3040</v>
      </c>
      <c r="U76" s="56" t="n">
        <f aca="false">I76*O76</f>
        <v>34731.8928</v>
      </c>
      <c r="V76" s="56" t="n">
        <f aca="false">J76*O76</f>
        <v>69463.7856</v>
      </c>
      <c r="W76" s="56" t="n">
        <f aca="false">((I76+J76)/2)*O76</f>
        <v>52097.8392</v>
      </c>
      <c r="X76" s="56" t="n">
        <f aca="false">H76*O76</f>
        <v>23760</v>
      </c>
    </row>
    <row r="77" customFormat="false" ht="22.35" hidden="false" customHeight="false" outlineLevel="0" collapsed="false">
      <c r="A77" s="48" t="s">
        <v>2061</v>
      </c>
      <c r="B77" s="49" t="s">
        <v>2226</v>
      </c>
      <c r="C77" s="49" t="s">
        <v>2227</v>
      </c>
      <c r="D77" s="49" t="s">
        <v>2101</v>
      </c>
      <c r="E77" s="57" t="s">
        <v>2102</v>
      </c>
      <c r="F77" s="49" t="s">
        <v>2097</v>
      </c>
      <c r="G77" s="49" t="s">
        <v>2097</v>
      </c>
      <c r="H77" s="51" t="n">
        <v>1906</v>
      </c>
      <c r="I77" s="51" t="n">
        <v>1078.06</v>
      </c>
      <c r="J77" s="51" t="n">
        <v>3234.18</v>
      </c>
      <c r="K77" s="52" t="n">
        <v>3307.2</v>
      </c>
      <c r="L77" s="53" t="n">
        <v>31.4</v>
      </c>
      <c r="M77" s="54" t="n">
        <v>83.8</v>
      </c>
      <c r="N77" s="51" t="n">
        <v>68.666219</v>
      </c>
      <c r="O77" s="55" t="n">
        <v>3.1</v>
      </c>
      <c r="P77" s="51" t="n">
        <v>-1328.18</v>
      </c>
      <c r="Q77" s="49" t="s">
        <v>2103</v>
      </c>
      <c r="R77" s="49" t="s">
        <v>2099</v>
      </c>
      <c r="S77" s="53" t="n">
        <v>0.5</v>
      </c>
      <c r="T77" s="51" t="n">
        <v>1653.6</v>
      </c>
      <c r="U77" s="56" t="n">
        <f aca="false">I77*O77</f>
        <v>3341.986</v>
      </c>
      <c r="V77" s="56" t="n">
        <f aca="false">J77*O77</f>
        <v>10025.958</v>
      </c>
      <c r="W77" s="56" t="n">
        <f aca="false">((I77+J77)/2)*O77</f>
        <v>6683.972</v>
      </c>
      <c r="X77" s="56" t="n">
        <f aca="false">H77*O77</f>
        <v>5908.6</v>
      </c>
    </row>
    <row r="78" customFormat="false" ht="22.35" hidden="false" customHeight="false" outlineLevel="0" collapsed="false">
      <c r="A78" s="48" t="s">
        <v>2061</v>
      </c>
      <c r="B78" s="7" t="s">
        <v>2228</v>
      </c>
      <c r="C78" s="7" t="s">
        <v>1542</v>
      </c>
      <c r="D78" s="7" t="s">
        <v>2101</v>
      </c>
      <c r="E78" s="57" t="s">
        <v>2102</v>
      </c>
      <c r="F78" s="7" t="s">
        <v>2097</v>
      </c>
      <c r="G78" s="7" t="s">
        <v>2097</v>
      </c>
      <c r="H78" s="9" t="n">
        <v>292</v>
      </c>
      <c r="I78" s="9" t="n">
        <v>149.23</v>
      </c>
      <c r="J78" s="9" t="n">
        <v>447.69</v>
      </c>
      <c r="K78" s="52" t="n">
        <v>661.38</v>
      </c>
      <c r="L78" s="58" t="n">
        <v>24.1</v>
      </c>
      <c r="M78" s="59" t="n">
        <v>78</v>
      </c>
      <c r="N78" s="9" t="n">
        <v>12.384189</v>
      </c>
      <c r="O78" s="8" t="n">
        <v>11.224</v>
      </c>
      <c r="P78" s="9" t="n">
        <v>-155.69</v>
      </c>
      <c r="Q78" s="7" t="s">
        <v>2103</v>
      </c>
      <c r="R78" s="7" t="s">
        <v>2099</v>
      </c>
      <c r="S78" s="58" t="n">
        <v>0.5</v>
      </c>
      <c r="T78" s="9" t="n">
        <v>330.69</v>
      </c>
      <c r="U78" s="56" t="n">
        <f aca="false">I78*O78</f>
        <v>1674.95752</v>
      </c>
      <c r="V78" s="56" t="n">
        <f aca="false">J78*O78</f>
        <v>5024.87256</v>
      </c>
      <c r="W78" s="56" t="n">
        <f aca="false">((I78+J78)/2)*O78</f>
        <v>3349.91504</v>
      </c>
      <c r="X78" s="56" t="n">
        <f aca="false">H78*O78</f>
        <v>3277.408</v>
      </c>
    </row>
    <row r="79" customFormat="false" ht="22.35" hidden="false" customHeight="false" outlineLevel="0" collapsed="false">
      <c r="A79" s="48" t="s">
        <v>2061</v>
      </c>
      <c r="B79" s="49" t="s">
        <v>2229</v>
      </c>
      <c r="C79" s="49" t="s">
        <v>2230</v>
      </c>
      <c r="D79" s="49" t="s">
        <v>2101</v>
      </c>
      <c r="E79" s="57" t="s">
        <v>2102</v>
      </c>
      <c r="F79" s="49" t="s">
        <v>2097</v>
      </c>
      <c r="G79" s="49" t="s">
        <v>2097</v>
      </c>
      <c r="H79" s="51" t="n">
        <v>139</v>
      </c>
      <c r="I79" s="51" t="n">
        <v>75.91</v>
      </c>
      <c r="J79" s="51" t="n">
        <v>227.72</v>
      </c>
      <c r="K79" s="52" t="n">
        <v>440</v>
      </c>
      <c r="L79" s="53" t="n">
        <v>28.3</v>
      </c>
      <c r="M79" s="54" t="n">
        <v>79.2</v>
      </c>
      <c r="N79" s="51" t="n">
        <v>5.364384</v>
      </c>
      <c r="O79" s="55" t="n">
        <v>4.1845</v>
      </c>
      <c r="P79" s="51" t="n">
        <v>-88.72</v>
      </c>
      <c r="Q79" s="49" t="s">
        <v>2103</v>
      </c>
      <c r="R79" s="49" t="s">
        <v>2099</v>
      </c>
      <c r="S79" s="53" t="n">
        <v>0.5</v>
      </c>
      <c r="T79" s="51" t="n">
        <v>440</v>
      </c>
      <c r="U79" s="56" t="n">
        <f aca="false">I79*O79</f>
        <v>317.645395</v>
      </c>
      <c r="V79" s="56" t="n">
        <f aca="false">J79*O79</f>
        <v>952.89434</v>
      </c>
      <c r="W79" s="56" t="n">
        <f aca="false">((I79+J79)/2)*O79</f>
        <v>635.2698675</v>
      </c>
      <c r="X79" s="56" t="n">
        <f aca="false">H79*O79</f>
        <v>581.6455</v>
      </c>
    </row>
    <row r="80" customFormat="false" ht="15" hidden="false" customHeight="false" outlineLevel="0" collapsed="false">
      <c r="A80" s="48" t="s">
        <v>2061</v>
      </c>
      <c r="B80" s="7" t="s">
        <v>2231</v>
      </c>
      <c r="C80" s="7" t="s">
        <v>1615</v>
      </c>
      <c r="D80" s="7" t="s">
        <v>2095</v>
      </c>
      <c r="E80" s="50" t="s">
        <v>2096</v>
      </c>
      <c r="F80" s="7" t="s">
        <v>2097</v>
      </c>
      <c r="G80" s="7" t="s">
        <v>2097</v>
      </c>
      <c r="H80" s="9" t="n">
        <v>3130</v>
      </c>
      <c r="I80" s="9" t="n">
        <v>1414.81</v>
      </c>
      <c r="J80" s="9" t="n">
        <v>2829.62</v>
      </c>
      <c r="K80" s="52" t="n">
        <v>11022.5</v>
      </c>
      <c r="L80" s="58" t="n">
        <v>30.9</v>
      </c>
      <c r="M80" s="59" t="n">
        <v>76.7</v>
      </c>
      <c r="N80" s="9" t="n">
        <v>45.786644</v>
      </c>
      <c r="O80" s="8" t="n">
        <v>2.96</v>
      </c>
      <c r="P80" s="9" t="n">
        <v>300.38</v>
      </c>
      <c r="Q80" s="7" t="s">
        <v>2098</v>
      </c>
      <c r="R80" s="7" t="s">
        <v>2099</v>
      </c>
      <c r="S80" s="58" t="n">
        <v>1</v>
      </c>
      <c r="T80" s="9" t="n">
        <v>11022.5</v>
      </c>
      <c r="U80" s="56" t="n">
        <f aca="false">I80*O80</f>
        <v>4187.8376</v>
      </c>
      <c r="V80" s="56" t="n">
        <f aca="false">J80*O80</f>
        <v>8375.6752</v>
      </c>
      <c r="W80" s="56" t="n">
        <f aca="false">((I80+J80)/2)*O80</f>
        <v>6281.7564</v>
      </c>
      <c r="X80" s="56" t="n">
        <f aca="false">H80*O80</f>
        <v>9264.8</v>
      </c>
    </row>
    <row r="81" customFormat="false" ht="22.35" hidden="false" customHeight="false" outlineLevel="0" collapsed="false">
      <c r="A81" s="48" t="s">
        <v>2061</v>
      </c>
      <c r="B81" s="49" t="s">
        <v>2232</v>
      </c>
      <c r="C81" s="49" t="s">
        <v>2233</v>
      </c>
      <c r="D81" s="49" t="s">
        <v>2101</v>
      </c>
      <c r="E81" s="57" t="s">
        <v>2102</v>
      </c>
      <c r="F81" s="49" t="s">
        <v>2097</v>
      </c>
      <c r="G81" s="49" t="s">
        <v>2097</v>
      </c>
      <c r="H81" s="51" t="n">
        <v>831</v>
      </c>
      <c r="I81" s="51" t="n">
        <v>445.46</v>
      </c>
      <c r="J81" s="51" t="n">
        <v>1336.39</v>
      </c>
      <c r="K81" s="52" t="n">
        <v>1587.2</v>
      </c>
      <c r="L81" s="53" t="n">
        <v>36.4</v>
      </c>
      <c r="M81" s="54" t="n">
        <v>71.7</v>
      </c>
      <c r="N81" s="51" t="n">
        <v>24.476053</v>
      </c>
      <c r="O81" s="55" t="n">
        <v>3.1</v>
      </c>
      <c r="P81" s="51" t="n">
        <v>-505.39</v>
      </c>
      <c r="Q81" s="49" t="s">
        <v>2103</v>
      </c>
      <c r="R81" s="49" t="s">
        <v>2099</v>
      </c>
      <c r="S81" s="53" t="n">
        <v>0.5</v>
      </c>
      <c r="T81" s="51" t="n">
        <v>396.8</v>
      </c>
      <c r="U81" s="56" t="n">
        <f aca="false">I81*O81</f>
        <v>1380.926</v>
      </c>
      <c r="V81" s="56" t="n">
        <f aca="false">J81*O81</f>
        <v>4142.809</v>
      </c>
      <c r="W81" s="56" t="n">
        <f aca="false">((I81+J81)/2)*O81</f>
        <v>2761.8675</v>
      </c>
      <c r="X81" s="56" t="n">
        <f aca="false">H81*O81</f>
        <v>2576.1</v>
      </c>
    </row>
    <row r="82" customFormat="false" ht="15" hidden="false" customHeight="false" outlineLevel="0" collapsed="false">
      <c r="A82" s="48" t="s">
        <v>2061</v>
      </c>
      <c r="B82" s="7" t="s">
        <v>2234</v>
      </c>
      <c r="C82" s="7" t="s">
        <v>1517</v>
      </c>
      <c r="D82" s="7" t="s">
        <v>2101</v>
      </c>
      <c r="E82" s="50" t="s">
        <v>2096</v>
      </c>
      <c r="F82" s="7" t="s">
        <v>2097</v>
      </c>
      <c r="G82" s="7" t="s">
        <v>2097</v>
      </c>
      <c r="H82" s="9" t="n">
        <v>100</v>
      </c>
      <c r="I82" s="9" t="n">
        <v>12.6</v>
      </c>
      <c r="J82" s="9" t="n">
        <v>37.8</v>
      </c>
      <c r="K82" s="52" t="n">
        <v>88.18</v>
      </c>
      <c r="L82" s="58" t="n">
        <v>21.1</v>
      </c>
      <c r="M82" s="59" t="n">
        <v>84.2</v>
      </c>
      <c r="N82" s="9" t="n">
        <v>1.194123</v>
      </c>
      <c r="O82" s="8" t="n">
        <v>34.25</v>
      </c>
      <c r="P82" s="9" t="n">
        <v>62.2</v>
      </c>
      <c r="Q82" s="7" t="s">
        <v>2098</v>
      </c>
      <c r="R82" s="7" t="s">
        <v>2099</v>
      </c>
      <c r="S82" s="58" t="n">
        <v>0.5</v>
      </c>
      <c r="T82" s="9" t="n">
        <v>88.18</v>
      </c>
      <c r="U82" s="56" t="n">
        <f aca="false">I82*O82</f>
        <v>431.55</v>
      </c>
      <c r="V82" s="56" t="n">
        <f aca="false">J82*O82</f>
        <v>1294.65</v>
      </c>
      <c r="W82" s="56" t="n">
        <f aca="false">((I82+J82)/2)*O82</f>
        <v>863.1</v>
      </c>
      <c r="X82" s="56" t="n">
        <f aca="false">H82*O82</f>
        <v>3425</v>
      </c>
    </row>
    <row r="83" customFormat="false" ht="22.35" hidden="false" customHeight="false" outlineLevel="0" collapsed="false">
      <c r="A83" s="48" t="s">
        <v>2061</v>
      </c>
      <c r="B83" s="49" t="s">
        <v>2235</v>
      </c>
      <c r="C83" s="49" t="s">
        <v>1624</v>
      </c>
      <c r="D83" s="49" t="s">
        <v>2101</v>
      </c>
      <c r="E83" s="57" t="s">
        <v>2102</v>
      </c>
      <c r="F83" s="49" t="s">
        <v>2097</v>
      </c>
      <c r="G83" s="49" t="s">
        <v>2097</v>
      </c>
      <c r="H83" s="51" t="n">
        <v>231</v>
      </c>
      <c r="I83" s="51" t="n">
        <v>107.39</v>
      </c>
      <c r="J83" s="51" t="n">
        <v>322.17</v>
      </c>
      <c r="K83" s="52" t="n">
        <v>440.96</v>
      </c>
      <c r="L83" s="53" t="n">
        <v>23</v>
      </c>
      <c r="M83" s="54" t="n">
        <v>68.2</v>
      </c>
      <c r="N83" s="51" t="n">
        <v>9.338288</v>
      </c>
      <c r="O83" s="55" t="n">
        <v>18.32</v>
      </c>
      <c r="P83" s="51" t="n">
        <v>-91.17</v>
      </c>
      <c r="Q83" s="49" t="s">
        <v>2103</v>
      </c>
      <c r="R83" s="49" t="s">
        <v>2099</v>
      </c>
      <c r="S83" s="53" t="n">
        <v>0.5</v>
      </c>
      <c r="T83" s="51" t="n">
        <v>440.96</v>
      </c>
      <c r="U83" s="56" t="n">
        <f aca="false">I83*O83</f>
        <v>1967.3848</v>
      </c>
      <c r="V83" s="56" t="n">
        <f aca="false">J83*O83</f>
        <v>5902.1544</v>
      </c>
      <c r="W83" s="56" t="n">
        <f aca="false">((I83+J83)/2)*O83</f>
        <v>3934.7696</v>
      </c>
      <c r="X83" s="56" t="n">
        <f aca="false">H83*O83</f>
        <v>4231.92</v>
      </c>
    </row>
    <row r="84" customFormat="false" ht="22.35" hidden="false" customHeight="false" outlineLevel="0" collapsed="false">
      <c r="A84" s="48" t="s">
        <v>2061</v>
      </c>
      <c r="B84" s="7" t="s">
        <v>2236</v>
      </c>
      <c r="C84" s="7" t="s">
        <v>2237</v>
      </c>
      <c r="D84" s="7" t="s">
        <v>2101</v>
      </c>
      <c r="E84" s="57" t="s">
        <v>2102</v>
      </c>
      <c r="F84" s="7" t="s">
        <v>2097</v>
      </c>
      <c r="G84" s="7" t="s">
        <v>2097</v>
      </c>
      <c r="H84" s="9" t="n">
        <v>103</v>
      </c>
      <c r="I84" s="9" t="n">
        <v>65.53</v>
      </c>
      <c r="J84" s="9" t="n">
        <v>196.59</v>
      </c>
      <c r="K84" s="52" t="n">
        <v>399</v>
      </c>
      <c r="L84" s="58" t="n">
        <v>34.8</v>
      </c>
      <c r="M84" s="59" t="n">
        <v>92.3</v>
      </c>
      <c r="N84" s="9" t="n">
        <v>3.766106</v>
      </c>
      <c r="O84" s="8" t="n">
        <v>3.2327</v>
      </c>
      <c r="P84" s="9" t="n">
        <v>-93.59</v>
      </c>
      <c r="Q84" s="7" t="s">
        <v>2103</v>
      </c>
      <c r="R84" s="7" t="s">
        <v>2099</v>
      </c>
      <c r="S84" s="58" t="n">
        <v>0.5</v>
      </c>
      <c r="T84" s="9" t="n">
        <v>399</v>
      </c>
      <c r="U84" s="56" t="n">
        <f aca="false">I84*O84</f>
        <v>211.838831</v>
      </c>
      <c r="V84" s="56" t="n">
        <f aca="false">J84*O84</f>
        <v>635.516493</v>
      </c>
      <c r="W84" s="56" t="n">
        <f aca="false">((I84+J84)/2)*O84</f>
        <v>423.677662</v>
      </c>
      <c r="X84" s="56" t="n">
        <f aca="false">H84*O84</f>
        <v>332.9681</v>
      </c>
    </row>
    <row r="85" customFormat="false" ht="22.35" hidden="false" customHeight="false" outlineLevel="0" collapsed="false">
      <c r="A85" s="48" t="s">
        <v>2061</v>
      </c>
      <c r="B85" s="4" t="s">
        <v>2238</v>
      </c>
      <c r="C85" s="4" t="s">
        <v>1547</v>
      </c>
      <c r="D85" s="4" t="s">
        <v>2101</v>
      </c>
      <c r="E85" s="70" t="s">
        <v>2193</v>
      </c>
      <c r="F85" s="4" t="s">
        <v>2097</v>
      </c>
      <c r="G85" s="71" t="s">
        <v>2194</v>
      </c>
      <c r="H85" s="6" t="n">
        <v>100</v>
      </c>
      <c r="I85" s="6" t="n">
        <v>0</v>
      </c>
      <c r="J85" s="6" t="n">
        <v>0</v>
      </c>
      <c r="K85" s="52" t="n">
        <v>0</v>
      </c>
      <c r="L85" s="72" t="n">
        <v>44.7</v>
      </c>
      <c r="M85" s="73" t="n">
        <v>66.7</v>
      </c>
      <c r="N85" s="6" t="n">
        <v>0.128288</v>
      </c>
      <c r="O85" s="5" t="n">
        <v>11.2249</v>
      </c>
      <c r="P85" s="6" t="n">
        <v>100</v>
      </c>
      <c r="Q85" s="4" t="s">
        <v>2098</v>
      </c>
      <c r="R85" s="4" t="s">
        <v>2195</v>
      </c>
      <c r="S85" s="72" t="n">
        <v>0</v>
      </c>
      <c r="T85" s="6" t="n">
        <v>55.1</v>
      </c>
      <c r="U85" s="56" t="n">
        <f aca="false">I85*O85</f>
        <v>0</v>
      </c>
      <c r="V85" s="56" t="n">
        <f aca="false">J85*O85</f>
        <v>0</v>
      </c>
      <c r="W85" s="56" t="n">
        <f aca="false">((I85+J85)/2)*O85</f>
        <v>0</v>
      </c>
      <c r="X85" s="56" t="n">
        <f aca="false">H85*O85</f>
        <v>1122.49</v>
      </c>
    </row>
    <row r="86" customFormat="false" ht="22.35" hidden="false" customHeight="false" outlineLevel="0" collapsed="false">
      <c r="A86" s="48" t="s">
        <v>2061</v>
      </c>
      <c r="B86" s="7" t="s">
        <v>2239</v>
      </c>
      <c r="C86" s="7" t="s">
        <v>2240</v>
      </c>
      <c r="D86" s="7" t="s">
        <v>2101</v>
      </c>
      <c r="E86" s="57" t="s">
        <v>2102</v>
      </c>
      <c r="F86" s="7" t="s">
        <v>2097</v>
      </c>
      <c r="G86" s="7" t="s">
        <v>2097</v>
      </c>
      <c r="H86" s="9" t="n">
        <v>100</v>
      </c>
      <c r="I86" s="9" t="n">
        <v>38.89</v>
      </c>
      <c r="J86" s="9" t="n">
        <v>116.66</v>
      </c>
      <c r="K86" s="52" t="n">
        <v>449.74</v>
      </c>
      <c r="L86" s="58" t="n">
        <v>81.2</v>
      </c>
      <c r="M86" s="59" t="n">
        <v>100</v>
      </c>
      <c r="N86" s="9" t="n">
        <v>0.957795</v>
      </c>
      <c r="O86" s="8" t="n">
        <v>1.9989</v>
      </c>
      <c r="P86" s="9" t="n">
        <v>-16.66</v>
      </c>
      <c r="Q86" s="7" t="s">
        <v>2103</v>
      </c>
      <c r="R86" s="7" t="s">
        <v>2099</v>
      </c>
      <c r="S86" s="58" t="n">
        <v>0.5</v>
      </c>
      <c r="T86" s="9" t="n">
        <v>449.74</v>
      </c>
      <c r="U86" s="56" t="n">
        <f aca="false">I86*O86</f>
        <v>77.737221</v>
      </c>
      <c r="V86" s="56" t="n">
        <f aca="false">J86*O86</f>
        <v>233.191674</v>
      </c>
      <c r="W86" s="56" t="n">
        <f aca="false">((I86+J86)/2)*O86</f>
        <v>155.4644475</v>
      </c>
      <c r="X86" s="56" t="n">
        <f aca="false">H86*O86</f>
        <v>199.89</v>
      </c>
    </row>
    <row r="87" customFormat="false" ht="15" hidden="false" customHeight="false" outlineLevel="0" collapsed="false">
      <c r="A87" s="48" t="s">
        <v>2061</v>
      </c>
      <c r="B87" s="49" t="s">
        <v>2241</v>
      </c>
      <c r="C87" s="49" t="s">
        <v>2205</v>
      </c>
      <c r="D87" s="49" t="s">
        <v>2101</v>
      </c>
      <c r="E87" s="50" t="s">
        <v>2096</v>
      </c>
      <c r="F87" s="49" t="s">
        <v>2097</v>
      </c>
      <c r="G87" s="49" t="s">
        <v>2097</v>
      </c>
      <c r="H87" s="51" t="n">
        <v>100</v>
      </c>
      <c r="I87" s="51" t="n">
        <v>17.87</v>
      </c>
      <c r="J87" s="51" t="n">
        <v>53.6</v>
      </c>
      <c r="K87" s="52" t="n">
        <v>408</v>
      </c>
      <c r="L87" s="53" t="n">
        <v>30.1</v>
      </c>
      <c r="M87" s="54" t="n">
        <v>70.8</v>
      </c>
      <c r="N87" s="51" t="n">
        <v>1.187192</v>
      </c>
      <c r="O87" s="55" t="n">
        <v>3.52</v>
      </c>
      <c r="P87" s="51" t="n">
        <v>46.4</v>
      </c>
      <c r="Q87" s="49" t="s">
        <v>2098</v>
      </c>
      <c r="R87" s="49" t="s">
        <v>2099</v>
      </c>
      <c r="S87" s="53" t="n">
        <v>0.5</v>
      </c>
      <c r="T87" s="51" t="n">
        <v>408</v>
      </c>
      <c r="U87" s="56" t="n">
        <f aca="false">I87*O87</f>
        <v>62.9024</v>
      </c>
      <c r="V87" s="56" t="n">
        <f aca="false">J87*O87</f>
        <v>188.672</v>
      </c>
      <c r="W87" s="56" t="n">
        <f aca="false">((I87+J87)/2)*O87</f>
        <v>125.7872</v>
      </c>
      <c r="X87" s="56" t="n">
        <f aca="false">H87*O87</f>
        <v>352</v>
      </c>
    </row>
    <row r="88" customFormat="false" ht="22.35" hidden="false" customHeight="false" outlineLevel="0" collapsed="false">
      <c r="A88" s="48" t="s">
        <v>2061</v>
      </c>
      <c r="B88" s="7" t="s">
        <v>2242</v>
      </c>
      <c r="C88" s="7" t="s">
        <v>2243</v>
      </c>
      <c r="D88" s="7" t="s">
        <v>2101</v>
      </c>
      <c r="E88" s="57" t="s">
        <v>2102</v>
      </c>
      <c r="F88" s="7" t="s">
        <v>2097</v>
      </c>
      <c r="G88" s="7" t="s">
        <v>2097</v>
      </c>
      <c r="H88" s="9" t="n">
        <v>237</v>
      </c>
      <c r="I88" s="9" t="n">
        <v>316.31</v>
      </c>
      <c r="J88" s="9" t="n">
        <v>948.92</v>
      </c>
      <c r="K88" s="52" t="n">
        <v>1058.16</v>
      </c>
      <c r="L88" s="58" t="n">
        <v>80</v>
      </c>
      <c r="M88" s="59" t="n">
        <v>62.2</v>
      </c>
      <c r="N88" s="9" t="n">
        <v>7.907658</v>
      </c>
      <c r="O88" s="8" t="n">
        <v>6.075</v>
      </c>
      <c r="P88" s="9" t="n">
        <v>-711.92</v>
      </c>
      <c r="Q88" s="7" t="s">
        <v>2103</v>
      </c>
      <c r="R88" s="7" t="s">
        <v>2099</v>
      </c>
      <c r="S88" s="58" t="n">
        <v>0.5</v>
      </c>
      <c r="T88" s="9" t="n">
        <v>176.36</v>
      </c>
      <c r="U88" s="56" t="n">
        <f aca="false">I88*O88</f>
        <v>1921.58325</v>
      </c>
      <c r="V88" s="56" t="n">
        <f aca="false">J88*O88</f>
        <v>5764.689</v>
      </c>
      <c r="W88" s="56" t="n">
        <f aca="false">((I88+J88)/2)*O88</f>
        <v>3843.136125</v>
      </c>
      <c r="X88" s="56" t="n">
        <f aca="false">H88*O88</f>
        <v>1439.775</v>
      </c>
    </row>
    <row r="89" customFormat="false" ht="22.35" hidden="false" customHeight="false" outlineLevel="0" collapsed="false">
      <c r="A89" s="48" t="s">
        <v>2061</v>
      </c>
      <c r="B89" s="49" t="s">
        <v>2244</v>
      </c>
      <c r="C89" s="49" t="s">
        <v>2245</v>
      </c>
      <c r="D89" s="49" t="s">
        <v>2095</v>
      </c>
      <c r="E89" s="61" t="s">
        <v>2113</v>
      </c>
      <c r="F89" s="49" t="s">
        <v>2097</v>
      </c>
      <c r="G89" s="49" t="s">
        <v>2097</v>
      </c>
      <c r="H89" s="51" t="n">
        <v>1814</v>
      </c>
      <c r="I89" s="51" t="n">
        <v>1119.19</v>
      </c>
      <c r="J89" s="51" t="n">
        <v>2238.38</v>
      </c>
      <c r="K89" s="52" t="n">
        <v>4408</v>
      </c>
      <c r="L89" s="53" t="n">
        <v>21.4</v>
      </c>
      <c r="M89" s="54" t="n">
        <v>77.4</v>
      </c>
      <c r="N89" s="51" t="n">
        <v>52.298548</v>
      </c>
      <c r="O89" s="55" t="n">
        <v>1.3465</v>
      </c>
      <c r="P89" s="51" t="n">
        <v>-424.38</v>
      </c>
      <c r="Q89" s="49" t="s">
        <v>2103</v>
      </c>
      <c r="R89" s="49" t="s">
        <v>2099</v>
      </c>
      <c r="S89" s="53" t="n">
        <v>1</v>
      </c>
      <c r="T89" s="51" t="n">
        <v>2204</v>
      </c>
      <c r="U89" s="56" t="n">
        <f aca="false">I89*O89</f>
        <v>1506.989335</v>
      </c>
      <c r="V89" s="56" t="n">
        <f aca="false">J89*O89</f>
        <v>3013.97867</v>
      </c>
      <c r="W89" s="56" t="n">
        <f aca="false">((I89+J89)/2)*O89</f>
        <v>2260.4840025</v>
      </c>
      <c r="X89" s="56" t="n">
        <f aca="false">H89*O89</f>
        <v>2442.551</v>
      </c>
    </row>
    <row r="90" customFormat="false" ht="22.35" hidden="false" customHeight="false" outlineLevel="0" collapsed="false">
      <c r="A90" s="48" t="s">
        <v>2061</v>
      </c>
      <c r="B90" s="7" t="s">
        <v>2246</v>
      </c>
      <c r="C90" s="7" t="s">
        <v>2247</v>
      </c>
      <c r="D90" s="7" t="s">
        <v>2095</v>
      </c>
      <c r="E90" s="61" t="s">
        <v>2113</v>
      </c>
      <c r="F90" s="7" t="s">
        <v>2097</v>
      </c>
      <c r="G90" s="7" t="s">
        <v>2097</v>
      </c>
      <c r="H90" s="9" t="n">
        <v>3030</v>
      </c>
      <c r="I90" s="9" t="n">
        <v>5449.22</v>
      </c>
      <c r="J90" s="9" t="n">
        <v>10898.44</v>
      </c>
      <c r="K90" s="52" t="n">
        <v>11400</v>
      </c>
      <c r="L90" s="58" t="n">
        <v>46.2</v>
      </c>
      <c r="M90" s="59" t="n">
        <v>91.6</v>
      </c>
      <c r="N90" s="9" t="n">
        <v>117.948478</v>
      </c>
      <c r="O90" s="8" t="n">
        <v>4.29</v>
      </c>
      <c r="P90" s="9" t="n">
        <v>-7868.44</v>
      </c>
      <c r="Q90" s="7" t="s">
        <v>2103</v>
      </c>
      <c r="R90" s="7" t="s">
        <v>2099</v>
      </c>
      <c r="S90" s="58" t="n">
        <v>1</v>
      </c>
      <c r="T90" s="9" t="n">
        <v>760</v>
      </c>
      <c r="U90" s="56" t="n">
        <f aca="false">I90*O90</f>
        <v>23377.1538</v>
      </c>
      <c r="V90" s="56" t="n">
        <f aca="false">J90*O90</f>
        <v>46754.3076</v>
      </c>
      <c r="W90" s="56" t="n">
        <f aca="false">((I90+J90)/2)*O90</f>
        <v>35065.7307</v>
      </c>
      <c r="X90" s="56" t="n">
        <f aca="false">H90*O90</f>
        <v>12998.7</v>
      </c>
    </row>
    <row r="91" customFormat="false" ht="22.35" hidden="false" customHeight="false" outlineLevel="0" collapsed="false">
      <c r="A91" s="48" t="s">
        <v>2061</v>
      </c>
      <c r="B91" s="49" t="s">
        <v>2248</v>
      </c>
      <c r="C91" s="49" t="s">
        <v>2249</v>
      </c>
      <c r="D91" s="49" t="s">
        <v>2101</v>
      </c>
      <c r="E91" s="57" t="s">
        <v>2102</v>
      </c>
      <c r="F91" s="49" t="s">
        <v>2097</v>
      </c>
      <c r="G91" s="49" t="s">
        <v>2097</v>
      </c>
      <c r="H91" s="51" t="n">
        <v>321</v>
      </c>
      <c r="I91" s="51" t="n">
        <v>174.92</v>
      </c>
      <c r="J91" s="51" t="n">
        <v>524.76</v>
      </c>
      <c r="K91" s="52" t="n">
        <v>820</v>
      </c>
      <c r="L91" s="53" t="n">
        <v>20</v>
      </c>
      <c r="M91" s="54" t="n">
        <v>80</v>
      </c>
      <c r="N91" s="51" t="n">
        <v>17.491753</v>
      </c>
      <c r="O91" s="55" t="n">
        <v>4.47</v>
      </c>
      <c r="P91" s="51" t="n">
        <v>-203.76</v>
      </c>
      <c r="Q91" s="49" t="s">
        <v>2103</v>
      </c>
      <c r="R91" s="49" t="s">
        <v>2099</v>
      </c>
      <c r="S91" s="53" t="n">
        <v>0.5</v>
      </c>
      <c r="T91" s="51" t="n">
        <v>820</v>
      </c>
      <c r="U91" s="56" t="n">
        <f aca="false">I91*O91</f>
        <v>781.8924</v>
      </c>
      <c r="V91" s="56" t="n">
        <f aca="false">J91*O91</f>
        <v>2345.6772</v>
      </c>
      <c r="W91" s="56" t="n">
        <f aca="false">((I91+J91)/2)*O91</f>
        <v>1563.7848</v>
      </c>
      <c r="X91" s="56" t="n">
        <f aca="false">H91*O91</f>
        <v>1434.87</v>
      </c>
    </row>
    <row r="92" customFormat="false" ht="15" hidden="false" customHeight="false" outlineLevel="0" collapsed="false">
      <c r="A92" s="48" t="s">
        <v>2061</v>
      </c>
      <c r="B92" s="7" t="s">
        <v>2250</v>
      </c>
      <c r="C92" s="7" t="s">
        <v>2237</v>
      </c>
      <c r="D92" s="7" t="s">
        <v>2101</v>
      </c>
      <c r="E92" s="50" t="s">
        <v>2096</v>
      </c>
      <c r="F92" s="7" t="s">
        <v>2097</v>
      </c>
      <c r="G92" s="7" t="s">
        <v>2097</v>
      </c>
      <c r="H92" s="9" t="n">
        <v>100</v>
      </c>
      <c r="I92" s="9" t="n">
        <v>3.31</v>
      </c>
      <c r="J92" s="9" t="n">
        <v>9.94</v>
      </c>
      <c r="K92" s="52" t="n">
        <v>158.4</v>
      </c>
      <c r="L92" s="58" t="n">
        <v>20.4</v>
      </c>
      <c r="M92" s="59" t="n">
        <v>100</v>
      </c>
      <c r="N92" s="9" t="n">
        <v>0.324986</v>
      </c>
      <c r="O92" s="8" t="n">
        <v>5.43</v>
      </c>
      <c r="P92" s="9" t="n">
        <v>90.06</v>
      </c>
      <c r="Q92" s="7" t="s">
        <v>2098</v>
      </c>
      <c r="R92" s="7" t="s">
        <v>2099</v>
      </c>
      <c r="S92" s="58" t="n">
        <v>0.5</v>
      </c>
      <c r="T92" s="9" t="n">
        <v>158.4</v>
      </c>
      <c r="U92" s="56" t="n">
        <f aca="false">I92*O92</f>
        <v>17.9733</v>
      </c>
      <c r="V92" s="56" t="n">
        <f aca="false">J92*O92</f>
        <v>53.9742</v>
      </c>
      <c r="W92" s="56" t="n">
        <f aca="false">((I92+J92)/2)*O92</f>
        <v>35.97375</v>
      </c>
      <c r="X92" s="56" t="n">
        <f aca="false">H92*O92</f>
        <v>543</v>
      </c>
    </row>
    <row r="93" customFormat="false" ht="22.35" hidden="false" customHeight="false" outlineLevel="0" collapsed="false">
      <c r="A93" s="48" t="s">
        <v>2061</v>
      </c>
      <c r="B93" s="49" t="s">
        <v>2251</v>
      </c>
      <c r="C93" s="49" t="s">
        <v>1615</v>
      </c>
      <c r="D93" s="49" t="s">
        <v>2101</v>
      </c>
      <c r="E93" s="57" t="s">
        <v>2102</v>
      </c>
      <c r="F93" s="49" t="s">
        <v>2097</v>
      </c>
      <c r="G93" s="49" t="s">
        <v>2097</v>
      </c>
      <c r="H93" s="51" t="n">
        <v>301</v>
      </c>
      <c r="I93" s="51" t="n">
        <v>160.95</v>
      </c>
      <c r="J93" s="51" t="n">
        <v>482.86</v>
      </c>
      <c r="K93" s="52" t="n">
        <v>899.48</v>
      </c>
      <c r="L93" s="53" t="n">
        <v>33.4</v>
      </c>
      <c r="M93" s="54" t="n">
        <v>86.4</v>
      </c>
      <c r="N93" s="51" t="n">
        <v>9.637904</v>
      </c>
      <c r="O93" s="55" t="n">
        <v>4.2302</v>
      </c>
      <c r="P93" s="51" t="n">
        <v>-181.86</v>
      </c>
      <c r="Q93" s="49" t="s">
        <v>2103</v>
      </c>
      <c r="R93" s="49" t="s">
        <v>2099</v>
      </c>
      <c r="S93" s="53" t="n">
        <v>0.5</v>
      </c>
      <c r="T93" s="51" t="n">
        <v>449.74</v>
      </c>
      <c r="U93" s="56" t="n">
        <f aca="false">I93*O93</f>
        <v>680.85069</v>
      </c>
      <c r="V93" s="56" t="n">
        <f aca="false">J93*O93</f>
        <v>2042.594372</v>
      </c>
      <c r="W93" s="56" t="n">
        <f aca="false">((I93+J93)/2)*O93</f>
        <v>1361.722531</v>
      </c>
      <c r="X93" s="56" t="n">
        <f aca="false">H93*O93</f>
        <v>1273.2902</v>
      </c>
    </row>
    <row r="94" customFormat="false" ht="22.35" hidden="false" customHeight="false" outlineLevel="0" collapsed="false">
      <c r="A94" s="48" t="s">
        <v>2061</v>
      </c>
      <c r="B94" s="7" t="s">
        <v>2252</v>
      </c>
      <c r="C94" s="7" t="s">
        <v>1628</v>
      </c>
      <c r="D94" s="7" t="s">
        <v>2101</v>
      </c>
      <c r="E94" s="57" t="s">
        <v>2102</v>
      </c>
      <c r="F94" s="7" t="s">
        <v>2097</v>
      </c>
      <c r="G94" s="7" t="s">
        <v>2097</v>
      </c>
      <c r="H94" s="9" t="n">
        <v>1295</v>
      </c>
      <c r="I94" s="9" t="n">
        <v>774.1</v>
      </c>
      <c r="J94" s="9" t="n">
        <v>2322.31</v>
      </c>
      <c r="K94" s="52" t="n">
        <v>2475</v>
      </c>
      <c r="L94" s="58" t="n">
        <v>37.5</v>
      </c>
      <c r="M94" s="59" t="n">
        <v>82.6</v>
      </c>
      <c r="N94" s="9" t="n">
        <v>41.285507</v>
      </c>
      <c r="O94" s="8" t="n">
        <v>2.64</v>
      </c>
      <c r="P94" s="9" t="n">
        <v>-1027.31</v>
      </c>
      <c r="Q94" s="7" t="s">
        <v>2103</v>
      </c>
      <c r="R94" s="7" t="s">
        <v>2099</v>
      </c>
      <c r="S94" s="58" t="n">
        <v>0.5</v>
      </c>
      <c r="T94" s="9" t="n">
        <v>825</v>
      </c>
      <c r="U94" s="56" t="n">
        <f aca="false">I94*O94</f>
        <v>2043.624</v>
      </c>
      <c r="V94" s="56" t="n">
        <f aca="false">J94*O94</f>
        <v>6130.8984</v>
      </c>
      <c r="W94" s="56" t="n">
        <f aca="false">((I94+J94)/2)*O94</f>
        <v>4087.2612</v>
      </c>
      <c r="X94" s="56" t="n">
        <f aca="false">H94*O94</f>
        <v>3418.8</v>
      </c>
    </row>
    <row r="95" customFormat="false" ht="22.35" hidden="false" customHeight="false" outlineLevel="0" collapsed="false">
      <c r="A95" s="48" t="s">
        <v>2061</v>
      </c>
      <c r="B95" s="49" t="s">
        <v>2253</v>
      </c>
      <c r="C95" s="49" t="s">
        <v>2254</v>
      </c>
      <c r="D95" s="49" t="s">
        <v>2101</v>
      </c>
      <c r="E95" s="57" t="s">
        <v>2102</v>
      </c>
      <c r="F95" s="49" t="s">
        <v>2097</v>
      </c>
      <c r="G95" s="49" t="s">
        <v>2097</v>
      </c>
      <c r="H95" s="51" t="n">
        <v>594</v>
      </c>
      <c r="I95" s="51" t="n">
        <v>386.22</v>
      </c>
      <c r="J95" s="51" t="n">
        <v>1158.66</v>
      </c>
      <c r="K95" s="52" t="n">
        <v>1496</v>
      </c>
      <c r="L95" s="53" t="n">
        <v>45.6</v>
      </c>
      <c r="M95" s="54" t="n">
        <v>68.4</v>
      </c>
      <c r="N95" s="51" t="n">
        <v>16.939384</v>
      </c>
      <c r="O95" s="55" t="n">
        <v>10.29</v>
      </c>
      <c r="P95" s="51" t="n">
        <v>-564.66</v>
      </c>
      <c r="Q95" s="49" t="s">
        <v>2103</v>
      </c>
      <c r="R95" s="49" t="s">
        <v>2099</v>
      </c>
      <c r="S95" s="53" t="n">
        <v>0.5</v>
      </c>
      <c r="T95" s="51" t="n">
        <v>374</v>
      </c>
      <c r="U95" s="56" t="n">
        <f aca="false">I95*O95</f>
        <v>3974.2038</v>
      </c>
      <c r="V95" s="56" t="n">
        <f aca="false">J95*O95</f>
        <v>11922.6114</v>
      </c>
      <c r="W95" s="56" t="n">
        <f aca="false">((I95+J95)/2)*O95</f>
        <v>7948.4076</v>
      </c>
      <c r="X95" s="56" t="n">
        <f aca="false">H95*O95</f>
        <v>6112.26</v>
      </c>
    </row>
    <row r="96" customFormat="false" ht="22.35" hidden="false" customHeight="false" outlineLevel="0" collapsed="false">
      <c r="A96" s="48" t="s">
        <v>2061</v>
      </c>
      <c r="B96" s="7" t="s">
        <v>2255</v>
      </c>
      <c r="C96" s="7" t="s">
        <v>2173</v>
      </c>
      <c r="D96" s="7" t="s">
        <v>2101</v>
      </c>
      <c r="E96" s="57" t="s">
        <v>2102</v>
      </c>
      <c r="F96" s="7" t="s">
        <v>2097</v>
      </c>
      <c r="G96" s="7" t="s">
        <v>2097</v>
      </c>
      <c r="H96" s="9" t="n">
        <v>719</v>
      </c>
      <c r="I96" s="9" t="n">
        <v>351.45</v>
      </c>
      <c r="J96" s="9" t="n">
        <v>1054.35</v>
      </c>
      <c r="K96" s="52" t="n">
        <v>1190.4</v>
      </c>
      <c r="L96" s="58" t="n">
        <v>33.6</v>
      </c>
      <c r="M96" s="59" t="n">
        <v>72.1</v>
      </c>
      <c r="N96" s="9" t="n">
        <v>20.919575</v>
      </c>
      <c r="O96" s="8" t="n">
        <v>4.56</v>
      </c>
      <c r="P96" s="9" t="n">
        <v>-335.35</v>
      </c>
      <c r="Q96" s="7" t="s">
        <v>2103</v>
      </c>
      <c r="R96" s="7" t="s">
        <v>2099</v>
      </c>
      <c r="S96" s="58" t="n">
        <v>0.5</v>
      </c>
      <c r="T96" s="9" t="n">
        <v>396.8</v>
      </c>
      <c r="U96" s="56" t="n">
        <f aca="false">I96*O96</f>
        <v>1602.612</v>
      </c>
      <c r="V96" s="56" t="n">
        <f aca="false">J96*O96</f>
        <v>4807.836</v>
      </c>
      <c r="W96" s="56" t="n">
        <f aca="false">((I96+J96)/2)*O96</f>
        <v>3205.224</v>
      </c>
      <c r="X96" s="56" t="n">
        <f aca="false">H96*O96</f>
        <v>3278.64</v>
      </c>
    </row>
    <row r="97" customFormat="false" ht="22.35" hidden="false" customHeight="false" outlineLevel="0" collapsed="false">
      <c r="A97" s="48" t="s">
        <v>2061</v>
      </c>
      <c r="B97" s="49" t="s">
        <v>2256</v>
      </c>
      <c r="C97" s="49" t="s">
        <v>1617</v>
      </c>
      <c r="D97" s="49" t="s">
        <v>2101</v>
      </c>
      <c r="E97" s="57" t="s">
        <v>2102</v>
      </c>
      <c r="F97" s="49" t="s">
        <v>2097</v>
      </c>
      <c r="G97" s="49" t="s">
        <v>2097</v>
      </c>
      <c r="H97" s="51" t="n">
        <v>564</v>
      </c>
      <c r="I97" s="51" t="n">
        <v>395.75</v>
      </c>
      <c r="J97" s="51" t="n">
        <v>1187.25</v>
      </c>
      <c r="K97" s="52" t="n">
        <v>1190.52</v>
      </c>
      <c r="L97" s="53" t="n">
        <v>32.3</v>
      </c>
      <c r="M97" s="54" t="n">
        <v>83.3</v>
      </c>
      <c r="N97" s="51" t="n">
        <v>24.504596</v>
      </c>
      <c r="O97" s="55" t="n">
        <v>10.099</v>
      </c>
      <c r="P97" s="51" t="n">
        <v>-623.25</v>
      </c>
      <c r="Q97" s="49" t="s">
        <v>2103</v>
      </c>
      <c r="R97" s="49" t="s">
        <v>2099</v>
      </c>
      <c r="S97" s="53" t="n">
        <v>0.5</v>
      </c>
      <c r="T97" s="51" t="n">
        <v>396.84</v>
      </c>
      <c r="U97" s="56" t="n">
        <f aca="false">I97*O97</f>
        <v>3996.67925</v>
      </c>
      <c r="V97" s="56" t="n">
        <f aca="false">J97*O97</f>
        <v>11990.03775</v>
      </c>
      <c r="W97" s="56" t="n">
        <f aca="false">((I97+J97)/2)*O97</f>
        <v>7993.3585</v>
      </c>
      <c r="X97" s="56" t="n">
        <f aca="false">H97*O97</f>
        <v>5695.836</v>
      </c>
    </row>
    <row r="98" customFormat="false" ht="22.35" hidden="false" customHeight="false" outlineLevel="0" collapsed="false">
      <c r="A98" s="48" t="s">
        <v>2061</v>
      </c>
      <c r="B98" s="4" t="s">
        <v>2257</v>
      </c>
      <c r="C98" s="4" t="s">
        <v>2258</v>
      </c>
      <c r="D98" s="4" t="s">
        <v>2101</v>
      </c>
      <c r="E98" s="70" t="s">
        <v>2193</v>
      </c>
      <c r="F98" s="4" t="s">
        <v>2097</v>
      </c>
      <c r="G98" s="71" t="s">
        <v>2194</v>
      </c>
      <c r="H98" s="6" t="n">
        <v>100</v>
      </c>
      <c r="I98" s="6" t="n">
        <v>0</v>
      </c>
      <c r="J98" s="6" t="n">
        <v>0</v>
      </c>
      <c r="K98" s="52" t="n">
        <v>0</v>
      </c>
      <c r="L98" s="72" t="n">
        <v>20.8</v>
      </c>
      <c r="M98" s="73" t="n">
        <v>83.3</v>
      </c>
      <c r="N98" s="6" t="n">
        <v>0.739753</v>
      </c>
      <c r="O98" s="5" t="n">
        <v>11.562</v>
      </c>
      <c r="P98" s="6" t="n">
        <v>100</v>
      </c>
      <c r="Q98" s="4" t="s">
        <v>2098</v>
      </c>
      <c r="R98" s="4" t="s">
        <v>2195</v>
      </c>
      <c r="S98" s="72" t="n">
        <v>0</v>
      </c>
      <c r="T98" s="6" t="n">
        <v>79.2</v>
      </c>
      <c r="U98" s="56" t="n">
        <f aca="false">I98*O98</f>
        <v>0</v>
      </c>
      <c r="V98" s="56" t="n">
        <f aca="false">J98*O98</f>
        <v>0</v>
      </c>
      <c r="W98" s="56" t="n">
        <f aca="false">((I98+J98)/2)*O98</f>
        <v>0</v>
      </c>
      <c r="X98" s="56" t="n">
        <f aca="false">H98*O98</f>
        <v>1156.2</v>
      </c>
    </row>
    <row r="99" customFormat="false" ht="22.35" hidden="false" customHeight="false" outlineLevel="0" collapsed="false">
      <c r="A99" s="48" t="s">
        <v>2061</v>
      </c>
      <c r="B99" s="49" t="s">
        <v>2259</v>
      </c>
      <c r="C99" s="49" t="s">
        <v>2192</v>
      </c>
      <c r="D99" s="49" t="s">
        <v>2101</v>
      </c>
      <c r="E99" s="57" t="s">
        <v>2102</v>
      </c>
      <c r="F99" s="49" t="s">
        <v>2097</v>
      </c>
      <c r="G99" s="49" t="s">
        <v>2097</v>
      </c>
      <c r="H99" s="51" t="n">
        <v>1850</v>
      </c>
      <c r="I99" s="51" t="n">
        <v>799.55</v>
      </c>
      <c r="J99" s="51" t="n">
        <v>2398.65</v>
      </c>
      <c r="K99" s="52" t="n">
        <v>2640</v>
      </c>
      <c r="L99" s="53" t="n">
        <v>23.5</v>
      </c>
      <c r="M99" s="54" t="n">
        <v>82.1</v>
      </c>
      <c r="N99" s="51" t="n">
        <v>68.046616</v>
      </c>
      <c r="O99" s="55" t="n">
        <v>4.1</v>
      </c>
      <c r="P99" s="51" t="n">
        <v>-548.65</v>
      </c>
      <c r="Q99" s="49" t="s">
        <v>2103</v>
      </c>
      <c r="R99" s="49" t="s">
        <v>2099</v>
      </c>
      <c r="S99" s="53" t="n">
        <v>0.5</v>
      </c>
      <c r="T99" s="51" t="n">
        <v>880</v>
      </c>
      <c r="U99" s="56" t="n">
        <f aca="false">I99*O99</f>
        <v>3278.155</v>
      </c>
      <c r="V99" s="56" t="n">
        <f aca="false">J99*O99</f>
        <v>9834.465</v>
      </c>
      <c r="W99" s="56" t="n">
        <f aca="false">((I99+J99)/2)*O99</f>
        <v>6556.31</v>
      </c>
      <c r="X99" s="56" t="n">
        <f aca="false">H99*O99</f>
        <v>7585</v>
      </c>
    </row>
    <row r="100" customFormat="false" ht="22.35" hidden="false" customHeight="false" outlineLevel="0" collapsed="false">
      <c r="A100" s="48" t="s">
        <v>2061</v>
      </c>
      <c r="B100" s="4" t="s">
        <v>2260</v>
      </c>
      <c r="C100" s="4" t="s">
        <v>2173</v>
      </c>
      <c r="D100" s="4" t="s">
        <v>2101</v>
      </c>
      <c r="E100" s="70" t="s">
        <v>2193</v>
      </c>
      <c r="F100" s="4" t="s">
        <v>2097</v>
      </c>
      <c r="G100" s="71" t="s">
        <v>2194</v>
      </c>
      <c r="H100" s="6" t="n">
        <v>100</v>
      </c>
      <c r="I100" s="6" t="n">
        <v>0</v>
      </c>
      <c r="J100" s="6" t="n">
        <v>0</v>
      </c>
      <c r="K100" s="52" t="n">
        <v>0</v>
      </c>
      <c r="L100" s="72" t="n">
        <v>48</v>
      </c>
      <c r="M100" s="73" t="n">
        <v>50</v>
      </c>
      <c r="N100" s="6" t="n">
        <v>1.170219</v>
      </c>
      <c r="O100" s="5" t="n">
        <v>3.447</v>
      </c>
      <c r="P100" s="6" t="n">
        <v>100</v>
      </c>
      <c r="Q100" s="4" t="s">
        <v>2098</v>
      </c>
      <c r="R100" s="4" t="s">
        <v>2195</v>
      </c>
      <c r="S100" s="72" t="n">
        <v>0</v>
      </c>
      <c r="T100" s="6" t="n">
        <v>440</v>
      </c>
      <c r="U100" s="56" t="n">
        <f aca="false">I100*O100</f>
        <v>0</v>
      </c>
      <c r="V100" s="56" t="n">
        <f aca="false">J100*O100</f>
        <v>0</v>
      </c>
      <c r="W100" s="56" t="n">
        <f aca="false">((I100+J100)/2)*O100</f>
        <v>0</v>
      </c>
      <c r="X100" s="56" t="n">
        <f aca="false">H100*O100</f>
        <v>344.7</v>
      </c>
    </row>
    <row r="101" customFormat="false" ht="15" hidden="false" customHeight="false" outlineLevel="0" collapsed="false">
      <c r="A101" s="48" t="s">
        <v>2061</v>
      </c>
      <c r="B101" s="49" t="s">
        <v>2261</v>
      </c>
      <c r="C101" s="49" t="s">
        <v>2262</v>
      </c>
      <c r="D101" s="49" t="s">
        <v>2101</v>
      </c>
      <c r="E101" s="50" t="s">
        <v>2096</v>
      </c>
      <c r="F101" s="49" t="s">
        <v>2097</v>
      </c>
      <c r="G101" s="49" t="s">
        <v>2097</v>
      </c>
      <c r="H101" s="51" t="n">
        <v>100</v>
      </c>
      <c r="I101" s="51" t="n">
        <v>4.18</v>
      </c>
      <c r="J101" s="51" t="n">
        <v>12.54</v>
      </c>
      <c r="K101" s="52" t="n">
        <v>440.92</v>
      </c>
      <c r="L101" s="53" t="n">
        <v>24.8</v>
      </c>
      <c r="M101" s="54" t="n">
        <v>60</v>
      </c>
      <c r="N101" s="51" t="n">
        <v>0.337192</v>
      </c>
      <c r="O101" s="55" t="n">
        <v>3.84</v>
      </c>
      <c r="P101" s="51" t="n">
        <v>87.46</v>
      </c>
      <c r="Q101" s="49" t="s">
        <v>2098</v>
      </c>
      <c r="R101" s="49" t="s">
        <v>2099</v>
      </c>
      <c r="S101" s="53" t="n">
        <v>0.5</v>
      </c>
      <c r="T101" s="51" t="n">
        <v>440.92</v>
      </c>
      <c r="U101" s="56" t="n">
        <f aca="false">I101*O101</f>
        <v>16.0512</v>
      </c>
      <c r="V101" s="56" t="n">
        <f aca="false">J101*O101</f>
        <v>48.1536</v>
      </c>
      <c r="W101" s="56" t="n">
        <f aca="false">((I101+J101)/2)*O101</f>
        <v>32.1024</v>
      </c>
      <c r="X101" s="56" t="n">
        <f aca="false">H101*O101</f>
        <v>384</v>
      </c>
    </row>
    <row r="102" customFormat="false" ht="22.35" hidden="false" customHeight="false" outlineLevel="0" collapsed="false">
      <c r="A102" s="48" t="s">
        <v>2061</v>
      </c>
      <c r="B102" s="7" t="s">
        <v>2263</v>
      </c>
      <c r="C102" s="7" t="s">
        <v>2035</v>
      </c>
      <c r="D102" s="7" t="s">
        <v>2109</v>
      </c>
      <c r="E102" s="60" t="s">
        <v>2110</v>
      </c>
      <c r="F102" s="7" t="s">
        <v>2097</v>
      </c>
      <c r="G102" s="7" t="s">
        <v>2097</v>
      </c>
      <c r="H102" s="9" t="n">
        <v>80000</v>
      </c>
      <c r="I102" s="9" t="n">
        <v>428978.67</v>
      </c>
      <c r="J102" s="9" t="n">
        <v>714964.45</v>
      </c>
      <c r="K102" s="52" t="n">
        <v>723174.4</v>
      </c>
      <c r="L102" s="58" t="n">
        <v>82.8</v>
      </c>
      <c r="M102" s="59" t="n">
        <v>81.6</v>
      </c>
      <c r="N102" s="9" t="n">
        <v>3453.934502</v>
      </c>
      <c r="O102" s="8" t="n">
        <v>2.636</v>
      </c>
      <c r="P102" s="9" t="n">
        <v>-634964.45</v>
      </c>
      <c r="Q102" s="7" t="s">
        <v>2103</v>
      </c>
      <c r="R102" s="7" t="s">
        <v>2099</v>
      </c>
      <c r="S102" s="58" t="n">
        <v>1.5</v>
      </c>
      <c r="T102" s="9" t="n">
        <v>17638.4</v>
      </c>
      <c r="U102" s="56" t="n">
        <f aca="false">I102*O102</f>
        <v>1130787.77412</v>
      </c>
      <c r="V102" s="56" t="n">
        <f aca="false">J102*O102</f>
        <v>1884646.2902</v>
      </c>
      <c r="W102" s="56" t="n">
        <f aca="false">((I102+J102)/2)*O102</f>
        <v>1507717.03216</v>
      </c>
      <c r="X102" s="56" t="n">
        <f aca="false">H102*O102</f>
        <v>210880</v>
      </c>
    </row>
    <row r="103" customFormat="false" ht="22.35" hidden="false" customHeight="false" outlineLevel="0" collapsed="false">
      <c r="A103" s="48" t="s">
        <v>2061</v>
      </c>
      <c r="B103" s="49" t="s">
        <v>2264</v>
      </c>
      <c r="C103" s="49" t="s">
        <v>2265</v>
      </c>
      <c r="D103" s="49" t="s">
        <v>2109</v>
      </c>
      <c r="E103" s="60" t="s">
        <v>2110</v>
      </c>
      <c r="F103" s="49" t="s">
        <v>2097</v>
      </c>
      <c r="G103" s="49" t="s">
        <v>2097</v>
      </c>
      <c r="H103" s="51" t="n">
        <v>40000</v>
      </c>
      <c r="I103" s="51" t="n">
        <v>149166.84</v>
      </c>
      <c r="J103" s="51" t="n">
        <v>248611.4</v>
      </c>
      <c r="K103" s="52" t="n">
        <v>248611.4</v>
      </c>
      <c r="L103" s="53" t="n">
        <v>75.3</v>
      </c>
      <c r="M103" s="54" t="n">
        <v>87.8</v>
      </c>
      <c r="N103" s="51" t="n">
        <v>1320.644927</v>
      </c>
      <c r="O103" s="55" t="n">
        <v>1.93</v>
      </c>
      <c r="P103" s="51" t="n">
        <v>-208611.4</v>
      </c>
      <c r="Q103" s="49" t="s">
        <v>2103</v>
      </c>
      <c r="R103" s="49" t="s">
        <v>2099</v>
      </c>
      <c r="S103" s="53" t="n">
        <v>1.5</v>
      </c>
      <c r="T103" s="51" t="n">
        <v>1</v>
      </c>
      <c r="U103" s="56" t="n">
        <f aca="false">I103*O103</f>
        <v>287892.0012</v>
      </c>
      <c r="V103" s="56" t="n">
        <f aca="false">J103*O103</f>
        <v>479820.002</v>
      </c>
      <c r="W103" s="56" t="n">
        <f aca="false">((I103+J103)/2)*O103</f>
        <v>383856.0016</v>
      </c>
      <c r="X103" s="56" t="n">
        <f aca="false">H103*O103</f>
        <v>77200</v>
      </c>
    </row>
    <row r="104" customFormat="false" ht="22.35" hidden="false" customHeight="false" outlineLevel="0" collapsed="false">
      <c r="A104" s="48" t="s">
        <v>2061</v>
      </c>
      <c r="B104" s="7" t="s">
        <v>2266</v>
      </c>
      <c r="C104" s="7" t="s">
        <v>2173</v>
      </c>
      <c r="D104" s="7" t="s">
        <v>2101</v>
      </c>
      <c r="E104" s="57" t="s">
        <v>2102</v>
      </c>
      <c r="F104" s="7" t="s">
        <v>2097</v>
      </c>
      <c r="G104" s="7" t="s">
        <v>2097</v>
      </c>
      <c r="H104" s="9" t="n">
        <v>288</v>
      </c>
      <c r="I104" s="9" t="n">
        <v>164.44</v>
      </c>
      <c r="J104" s="9" t="n">
        <v>493.32</v>
      </c>
      <c r="K104" s="52" t="n">
        <v>798</v>
      </c>
      <c r="L104" s="58" t="n">
        <v>34.8</v>
      </c>
      <c r="M104" s="59" t="n">
        <v>71.9</v>
      </c>
      <c r="N104" s="9" t="n">
        <v>9.450694</v>
      </c>
      <c r="O104" s="8" t="n">
        <v>3.09</v>
      </c>
      <c r="P104" s="9" t="n">
        <v>-205.32</v>
      </c>
      <c r="Q104" s="7" t="s">
        <v>2103</v>
      </c>
      <c r="R104" s="7" t="s">
        <v>2099</v>
      </c>
      <c r="S104" s="58" t="n">
        <v>0.5</v>
      </c>
      <c r="T104" s="9" t="n">
        <v>399</v>
      </c>
      <c r="U104" s="56" t="n">
        <f aca="false">I104*O104</f>
        <v>508.1196</v>
      </c>
      <c r="V104" s="56" t="n">
        <f aca="false">J104*O104</f>
        <v>1524.3588</v>
      </c>
      <c r="W104" s="56" t="n">
        <f aca="false">((I104+J104)/2)*O104</f>
        <v>1016.2392</v>
      </c>
      <c r="X104" s="56" t="n">
        <f aca="false">H104*O104</f>
        <v>889.92</v>
      </c>
    </row>
    <row r="105" customFormat="false" ht="22.35" hidden="false" customHeight="false" outlineLevel="0" collapsed="false">
      <c r="A105" s="48" t="s">
        <v>2061</v>
      </c>
      <c r="B105" s="49" t="s">
        <v>2267</v>
      </c>
      <c r="C105" s="49" t="s">
        <v>1615</v>
      </c>
      <c r="D105" s="49" t="s">
        <v>2109</v>
      </c>
      <c r="E105" s="60" t="s">
        <v>2110</v>
      </c>
      <c r="F105" s="49" t="s">
        <v>2097</v>
      </c>
      <c r="G105" s="49" t="s">
        <v>2097</v>
      </c>
      <c r="H105" s="51" t="n">
        <v>25740</v>
      </c>
      <c r="I105" s="51" t="n">
        <v>51478.4</v>
      </c>
      <c r="J105" s="51" t="n">
        <v>91067.04</v>
      </c>
      <c r="K105" s="52" t="n">
        <v>91067.04</v>
      </c>
      <c r="L105" s="53" t="n">
        <v>34</v>
      </c>
      <c r="M105" s="54" t="n">
        <v>74.7</v>
      </c>
      <c r="N105" s="51" t="n">
        <v>1164.371699</v>
      </c>
      <c r="O105" s="55" t="n">
        <v>2.568</v>
      </c>
      <c r="P105" s="51" t="n">
        <v>-65327.04</v>
      </c>
      <c r="Q105" s="49" t="s">
        <v>2103</v>
      </c>
      <c r="R105" s="49" t="s">
        <v>2268</v>
      </c>
      <c r="S105" s="53" t="n">
        <v>1.5</v>
      </c>
      <c r="T105" s="51" t="n">
        <v>1</v>
      </c>
      <c r="U105" s="56" t="n">
        <f aca="false">I105*O105</f>
        <v>132196.5312</v>
      </c>
      <c r="V105" s="56" t="n">
        <f aca="false">J105*O105</f>
        <v>233860.15872</v>
      </c>
      <c r="W105" s="56" t="n">
        <f aca="false">((I105+J105)/2)*O105</f>
        <v>183028.34496</v>
      </c>
      <c r="X105" s="56" t="n">
        <f aca="false">H105*O105</f>
        <v>66100.32</v>
      </c>
    </row>
    <row r="106" customFormat="false" ht="22.35" hidden="false" customHeight="false" outlineLevel="0" collapsed="false">
      <c r="A106" s="48" t="s">
        <v>2061</v>
      </c>
      <c r="B106" s="7" t="s">
        <v>2269</v>
      </c>
      <c r="C106" s="7" t="s">
        <v>2270</v>
      </c>
      <c r="D106" s="7" t="s">
        <v>2095</v>
      </c>
      <c r="E106" s="61" t="s">
        <v>2113</v>
      </c>
      <c r="F106" s="7" t="s">
        <v>2097</v>
      </c>
      <c r="G106" s="7" t="s">
        <v>2097</v>
      </c>
      <c r="H106" s="9" t="n">
        <v>616</v>
      </c>
      <c r="I106" s="9" t="n">
        <v>866.3</v>
      </c>
      <c r="J106" s="9" t="n">
        <v>1732.6</v>
      </c>
      <c r="K106" s="52" t="n">
        <v>1763.68</v>
      </c>
      <c r="L106" s="58" t="n">
        <v>60.8</v>
      </c>
      <c r="M106" s="59" t="n">
        <v>90</v>
      </c>
      <c r="N106" s="9" t="n">
        <v>14.248342</v>
      </c>
      <c r="O106" s="8" t="n">
        <v>1.98</v>
      </c>
      <c r="P106" s="9" t="n">
        <v>-1116.6</v>
      </c>
      <c r="Q106" s="7" t="s">
        <v>2103</v>
      </c>
      <c r="R106" s="7" t="s">
        <v>2099</v>
      </c>
      <c r="S106" s="58" t="n">
        <v>1</v>
      </c>
      <c r="T106" s="9" t="n">
        <v>881.84</v>
      </c>
      <c r="U106" s="56" t="n">
        <f aca="false">I106*O106</f>
        <v>1715.274</v>
      </c>
      <c r="V106" s="56" t="n">
        <f aca="false">J106*O106</f>
        <v>3430.548</v>
      </c>
      <c r="W106" s="56" t="n">
        <f aca="false">((I106+J106)/2)*O106</f>
        <v>2572.911</v>
      </c>
      <c r="X106" s="56" t="n">
        <f aca="false">H106*O106</f>
        <v>1219.68</v>
      </c>
    </row>
    <row r="107" customFormat="false" ht="22.35" hidden="false" customHeight="false" outlineLevel="0" collapsed="false">
      <c r="A107" s="48" t="s">
        <v>2061</v>
      </c>
      <c r="B107" s="4" t="s">
        <v>2271</v>
      </c>
      <c r="C107" s="4" t="s">
        <v>1517</v>
      </c>
      <c r="D107" s="4" t="s">
        <v>2101</v>
      </c>
      <c r="E107" s="70" t="s">
        <v>2193</v>
      </c>
      <c r="F107" s="4" t="s">
        <v>2097</v>
      </c>
      <c r="G107" s="71" t="s">
        <v>2194</v>
      </c>
      <c r="H107" s="6" t="n">
        <v>100</v>
      </c>
      <c r="I107" s="6" t="n">
        <v>0</v>
      </c>
      <c r="J107" s="6" t="n">
        <v>0</v>
      </c>
      <c r="K107" s="52" t="n">
        <v>0</v>
      </c>
      <c r="L107" s="72" t="n">
        <v>10.3</v>
      </c>
      <c r="M107" s="73" t="n">
        <v>33.3</v>
      </c>
      <c r="N107" s="6" t="n">
        <v>0.19211</v>
      </c>
      <c r="O107" s="5" t="n">
        <v>4.764</v>
      </c>
      <c r="P107" s="6" t="n">
        <v>100</v>
      </c>
      <c r="Q107" s="4" t="s">
        <v>2098</v>
      </c>
      <c r="R107" s="4" t="s">
        <v>2195</v>
      </c>
      <c r="S107" s="72" t="n">
        <v>0</v>
      </c>
      <c r="T107" s="6" t="n">
        <v>79.2</v>
      </c>
      <c r="U107" s="56" t="n">
        <f aca="false">I107*O107</f>
        <v>0</v>
      </c>
      <c r="V107" s="56" t="n">
        <f aca="false">J107*O107</f>
        <v>0</v>
      </c>
      <c r="W107" s="56" t="n">
        <f aca="false">((I107+J107)/2)*O107</f>
        <v>0</v>
      </c>
      <c r="X107" s="56" t="n">
        <f aca="false">H107*O107</f>
        <v>476.4</v>
      </c>
    </row>
    <row r="108" customFormat="false" ht="22.35" hidden="false" customHeight="false" outlineLevel="0" collapsed="false">
      <c r="A108" s="48" t="s">
        <v>2061</v>
      </c>
      <c r="B108" s="4" t="s">
        <v>2272</v>
      </c>
      <c r="C108" s="4" t="s">
        <v>1542</v>
      </c>
      <c r="D108" s="4" t="s">
        <v>2101</v>
      </c>
      <c r="E108" s="70" t="s">
        <v>2193</v>
      </c>
      <c r="F108" s="4" t="s">
        <v>2097</v>
      </c>
      <c r="G108" s="71" t="s">
        <v>2194</v>
      </c>
      <c r="H108" s="6" t="n">
        <v>100</v>
      </c>
      <c r="I108" s="6" t="n">
        <v>0</v>
      </c>
      <c r="J108" s="6" t="n">
        <v>0</v>
      </c>
      <c r="K108" s="52" t="n">
        <v>0</v>
      </c>
      <c r="L108" s="72" t="n">
        <v>20</v>
      </c>
      <c r="M108" s="73" t="n">
        <v>60</v>
      </c>
      <c r="N108" s="6" t="n">
        <v>0.289699</v>
      </c>
      <c r="O108" s="5" t="n">
        <v>4.7134</v>
      </c>
      <c r="P108" s="6" t="n">
        <v>100</v>
      </c>
      <c r="Q108" s="4" t="s">
        <v>2098</v>
      </c>
      <c r="R108" s="4" t="s">
        <v>2195</v>
      </c>
      <c r="S108" s="72" t="n">
        <v>0</v>
      </c>
      <c r="T108" s="6" t="n">
        <v>40</v>
      </c>
      <c r="U108" s="56" t="n">
        <f aca="false">I108*O108</f>
        <v>0</v>
      </c>
      <c r="V108" s="56" t="n">
        <f aca="false">J108*O108</f>
        <v>0</v>
      </c>
      <c r="W108" s="56" t="n">
        <f aca="false">((I108+J108)/2)*O108</f>
        <v>0</v>
      </c>
      <c r="X108" s="56" t="n">
        <f aca="false">H108*O108</f>
        <v>471.34</v>
      </c>
    </row>
    <row r="109" customFormat="false" ht="22.35" hidden="false" customHeight="false" outlineLevel="0" collapsed="false">
      <c r="A109" s="48" t="s">
        <v>2061</v>
      </c>
      <c r="B109" s="49" t="s">
        <v>2273</v>
      </c>
      <c r="C109" s="49" t="s">
        <v>2274</v>
      </c>
      <c r="D109" s="49" t="s">
        <v>2095</v>
      </c>
      <c r="E109" s="61" t="s">
        <v>2113</v>
      </c>
      <c r="F109" s="49" t="s">
        <v>2097</v>
      </c>
      <c r="G109" s="49" t="s">
        <v>2097</v>
      </c>
      <c r="H109" s="51" t="n">
        <v>2146</v>
      </c>
      <c r="I109" s="51" t="n">
        <v>2818.9</v>
      </c>
      <c r="J109" s="51" t="n">
        <v>5637.8</v>
      </c>
      <c r="K109" s="52" t="n">
        <v>7650</v>
      </c>
      <c r="L109" s="53" t="n">
        <v>41</v>
      </c>
      <c r="M109" s="54" t="n">
        <v>48.1</v>
      </c>
      <c r="N109" s="51" t="n">
        <v>68.753616</v>
      </c>
      <c r="O109" s="55" t="n">
        <v>7.253</v>
      </c>
      <c r="P109" s="51" t="n">
        <v>-3491.8</v>
      </c>
      <c r="Q109" s="49" t="s">
        <v>2103</v>
      </c>
      <c r="R109" s="49" t="s">
        <v>2099</v>
      </c>
      <c r="S109" s="53" t="n">
        <v>1</v>
      </c>
      <c r="T109" s="51" t="n">
        <v>3825</v>
      </c>
      <c r="U109" s="56" t="n">
        <f aca="false">I109*O109</f>
        <v>20445.4817</v>
      </c>
      <c r="V109" s="56" t="n">
        <f aca="false">J109*O109</f>
        <v>40890.9634</v>
      </c>
      <c r="W109" s="56" t="n">
        <f aca="false">((I109+J109)/2)*O109</f>
        <v>30668.22255</v>
      </c>
      <c r="X109" s="56" t="n">
        <f aca="false">H109*O109</f>
        <v>15564.938</v>
      </c>
    </row>
    <row r="110" customFormat="false" ht="22.35" hidden="false" customHeight="false" outlineLevel="0" collapsed="false">
      <c r="A110" s="48" t="s">
        <v>2061</v>
      </c>
      <c r="B110" s="7" t="s">
        <v>2275</v>
      </c>
      <c r="C110" s="7" t="s">
        <v>1615</v>
      </c>
      <c r="D110" s="7" t="s">
        <v>2101</v>
      </c>
      <c r="E110" s="57" t="s">
        <v>2102</v>
      </c>
      <c r="F110" s="7" t="s">
        <v>2097</v>
      </c>
      <c r="G110" s="7" t="s">
        <v>2097</v>
      </c>
      <c r="H110" s="9" t="n">
        <v>3048</v>
      </c>
      <c r="I110" s="9" t="n">
        <v>2270.1</v>
      </c>
      <c r="J110" s="9" t="n">
        <v>6810.31</v>
      </c>
      <c r="K110" s="52" t="n">
        <v>8820</v>
      </c>
      <c r="L110" s="58" t="n">
        <v>46.5</v>
      </c>
      <c r="M110" s="59" t="n">
        <v>95.6</v>
      </c>
      <c r="N110" s="9" t="n">
        <v>97.638822</v>
      </c>
      <c r="O110" s="8" t="n">
        <v>10.282</v>
      </c>
      <c r="P110" s="9" t="n">
        <v>-3762.31</v>
      </c>
      <c r="Q110" s="7" t="s">
        <v>2103</v>
      </c>
      <c r="R110" s="7" t="s">
        <v>2099</v>
      </c>
      <c r="S110" s="58" t="n">
        <v>0.5</v>
      </c>
      <c r="T110" s="9" t="n">
        <v>2205</v>
      </c>
      <c r="U110" s="56" t="n">
        <f aca="false">I110*O110</f>
        <v>23341.1682</v>
      </c>
      <c r="V110" s="56" t="n">
        <f aca="false">J110*O110</f>
        <v>70023.60742</v>
      </c>
      <c r="W110" s="56" t="n">
        <f aca="false">((I110+J110)/2)*O110</f>
        <v>46682.38781</v>
      </c>
      <c r="X110" s="56" t="n">
        <f aca="false">H110*O110</f>
        <v>31339.536</v>
      </c>
    </row>
    <row r="111" customFormat="false" ht="22.35" hidden="false" customHeight="false" outlineLevel="0" collapsed="false">
      <c r="A111" s="48" t="s">
        <v>2061</v>
      </c>
      <c r="B111" s="49" t="s">
        <v>2276</v>
      </c>
      <c r="C111" s="49" t="s">
        <v>2277</v>
      </c>
      <c r="D111" s="49" t="s">
        <v>2095</v>
      </c>
      <c r="E111" s="61" t="s">
        <v>2113</v>
      </c>
      <c r="F111" s="49" t="s">
        <v>2097</v>
      </c>
      <c r="G111" s="49" t="s">
        <v>2097</v>
      </c>
      <c r="H111" s="51" t="n">
        <v>4585</v>
      </c>
      <c r="I111" s="51" t="n">
        <v>5617.68</v>
      </c>
      <c r="J111" s="51" t="n">
        <v>11235.36</v>
      </c>
      <c r="K111" s="52" t="n">
        <v>12000</v>
      </c>
      <c r="L111" s="53" t="n">
        <v>37.9</v>
      </c>
      <c r="M111" s="54" t="n">
        <v>80.6</v>
      </c>
      <c r="N111" s="51" t="n">
        <v>148.223672</v>
      </c>
      <c r="O111" s="55" t="n">
        <v>3.65</v>
      </c>
      <c r="P111" s="51" t="n">
        <v>-6650.36</v>
      </c>
      <c r="Q111" s="49" t="s">
        <v>2103</v>
      </c>
      <c r="R111" s="49" t="s">
        <v>2099</v>
      </c>
      <c r="S111" s="53" t="n">
        <v>1</v>
      </c>
      <c r="T111" s="51" t="n">
        <v>2400</v>
      </c>
      <c r="U111" s="56" t="n">
        <f aca="false">I111*O111</f>
        <v>20504.532</v>
      </c>
      <c r="V111" s="56" t="n">
        <f aca="false">J111*O111</f>
        <v>41009.064</v>
      </c>
      <c r="W111" s="56" t="n">
        <f aca="false">((I111+J111)/2)*O111</f>
        <v>30756.798</v>
      </c>
      <c r="X111" s="56" t="n">
        <f aca="false">H111*O111</f>
        <v>16735.25</v>
      </c>
    </row>
    <row r="112" customFormat="false" ht="15" hidden="false" customHeight="false" outlineLevel="0" collapsed="false">
      <c r="A112" s="48" t="s">
        <v>2061</v>
      </c>
      <c r="B112" s="7" t="s">
        <v>2278</v>
      </c>
      <c r="C112" s="7" t="s">
        <v>2240</v>
      </c>
      <c r="D112" s="7" t="s">
        <v>2101</v>
      </c>
      <c r="E112" s="50" t="s">
        <v>2096</v>
      </c>
      <c r="F112" s="7" t="s">
        <v>2097</v>
      </c>
      <c r="G112" s="7" t="s">
        <v>2097</v>
      </c>
      <c r="H112" s="9" t="n">
        <v>100</v>
      </c>
      <c r="I112" s="9" t="n">
        <v>11.43</v>
      </c>
      <c r="J112" s="9" t="n">
        <v>34.28</v>
      </c>
      <c r="K112" s="52" t="n">
        <v>440</v>
      </c>
      <c r="L112" s="58" t="n">
        <v>18.1</v>
      </c>
      <c r="M112" s="59" t="n">
        <v>85.7</v>
      </c>
      <c r="N112" s="9" t="n">
        <v>1.262623</v>
      </c>
      <c r="O112" s="8" t="n">
        <v>2.95</v>
      </c>
      <c r="P112" s="9" t="n">
        <v>65.72</v>
      </c>
      <c r="Q112" s="7" t="s">
        <v>2098</v>
      </c>
      <c r="R112" s="7" t="s">
        <v>2099</v>
      </c>
      <c r="S112" s="58" t="n">
        <v>0.5</v>
      </c>
      <c r="T112" s="9" t="n">
        <v>440</v>
      </c>
      <c r="U112" s="56" t="n">
        <f aca="false">I112*O112</f>
        <v>33.7185</v>
      </c>
      <c r="V112" s="56" t="n">
        <f aca="false">J112*O112</f>
        <v>101.126</v>
      </c>
      <c r="W112" s="56" t="n">
        <f aca="false">((I112+J112)/2)*O112</f>
        <v>67.42225</v>
      </c>
      <c r="X112" s="56" t="n">
        <f aca="false">H112*O112</f>
        <v>295</v>
      </c>
    </row>
    <row r="113" customFormat="false" ht="22.35" hidden="false" customHeight="false" outlineLevel="0" collapsed="false">
      <c r="A113" s="48" t="s">
        <v>2061</v>
      </c>
      <c r="B113" s="4" t="s">
        <v>2279</v>
      </c>
      <c r="C113" s="4" t="s">
        <v>2280</v>
      </c>
      <c r="D113" s="4" t="s">
        <v>2101</v>
      </c>
      <c r="E113" s="70" t="s">
        <v>2193</v>
      </c>
      <c r="F113" s="4" t="s">
        <v>2097</v>
      </c>
      <c r="G113" s="71" t="s">
        <v>2194</v>
      </c>
      <c r="H113" s="6" t="n">
        <v>148</v>
      </c>
      <c r="I113" s="6" t="n">
        <v>0</v>
      </c>
      <c r="J113" s="6" t="n">
        <v>0</v>
      </c>
      <c r="K113" s="52" t="n">
        <v>0</v>
      </c>
      <c r="L113" s="72" t="n">
        <v>45.3</v>
      </c>
      <c r="M113" s="73" t="n">
        <v>66.7</v>
      </c>
      <c r="N113" s="6" t="n">
        <v>3.390315</v>
      </c>
      <c r="O113" s="5" t="n">
        <v>2.8393</v>
      </c>
      <c r="P113" s="6" t="n">
        <v>148</v>
      </c>
      <c r="Q113" s="4" t="s">
        <v>2098</v>
      </c>
      <c r="R113" s="4" t="s">
        <v>2195</v>
      </c>
      <c r="S113" s="72" t="n">
        <v>0</v>
      </c>
      <c r="T113" s="6" t="n">
        <v>40</v>
      </c>
      <c r="U113" s="56" t="n">
        <f aca="false">I113*O113</f>
        <v>0</v>
      </c>
      <c r="V113" s="56" t="n">
        <f aca="false">J113*O113</f>
        <v>0</v>
      </c>
      <c r="W113" s="56" t="n">
        <f aca="false">((I113+J113)/2)*O113</f>
        <v>0</v>
      </c>
      <c r="X113" s="56" t="n">
        <f aca="false">H113*O113</f>
        <v>420.2164</v>
      </c>
    </row>
    <row r="114" customFormat="false" ht="15" hidden="false" customHeight="false" outlineLevel="0" collapsed="false">
      <c r="A114" s="48" t="s">
        <v>2061</v>
      </c>
      <c r="B114" s="7" t="s">
        <v>2281</v>
      </c>
      <c r="C114" s="7" t="s">
        <v>1542</v>
      </c>
      <c r="D114" s="7" t="s">
        <v>2101</v>
      </c>
      <c r="E114" s="50" t="s">
        <v>2096</v>
      </c>
      <c r="F114" s="7" t="s">
        <v>2097</v>
      </c>
      <c r="G114" s="7" t="s">
        <v>2097</v>
      </c>
      <c r="H114" s="9" t="n">
        <v>100</v>
      </c>
      <c r="I114" s="9" t="n">
        <v>1.84</v>
      </c>
      <c r="J114" s="9" t="n">
        <v>5.53</v>
      </c>
      <c r="K114" s="52" t="n">
        <v>79.2</v>
      </c>
      <c r="L114" s="58" t="n">
        <v>23.8</v>
      </c>
      <c r="M114" s="59" t="n">
        <v>83.3</v>
      </c>
      <c r="N114" s="9" t="n">
        <v>0.155014</v>
      </c>
      <c r="O114" s="8" t="n">
        <v>3.1771</v>
      </c>
      <c r="P114" s="9" t="n">
        <v>94.47</v>
      </c>
      <c r="Q114" s="7" t="s">
        <v>2098</v>
      </c>
      <c r="R114" s="7" t="s">
        <v>2099</v>
      </c>
      <c r="S114" s="58" t="n">
        <v>0.5</v>
      </c>
      <c r="T114" s="9" t="n">
        <v>79.2</v>
      </c>
      <c r="U114" s="56" t="n">
        <f aca="false">I114*O114</f>
        <v>5.845864</v>
      </c>
      <c r="V114" s="56" t="n">
        <f aca="false">J114*O114</f>
        <v>17.569363</v>
      </c>
      <c r="W114" s="56" t="n">
        <f aca="false">((I114+J114)/2)*O114</f>
        <v>11.7076135</v>
      </c>
      <c r="X114" s="56" t="n">
        <f aca="false">H114*O114</f>
        <v>317.71</v>
      </c>
    </row>
    <row r="115" customFormat="false" ht="22.35" hidden="false" customHeight="false" outlineLevel="0" collapsed="false">
      <c r="A115" s="48" t="s">
        <v>2061</v>
      </c>
      <c r="B115" s="49" t="s">
        <v>2282</v>
      </c>
      <c r="C115" s="49" t="s">
        <v>2035</v>
      </c>
      <c r="D115" s="49" t="s">
        <v>2101</v>
      </c>
      <c r="E115" s="57" t="s">
        <v>2102</v>
      </c>
      <c r="F115" s="49" t="s">
        <v>2097</v>
      </c>
      <c r="G115" s="49" t="s">
        <v>2097</v>
      </c>
      <c r="H115" s="51" t="n">
        <v>1528</v>
      </c>
      <c r="I115" s="51" t="n">
        <v>1490.68</v>
      </c>
      <c r="J115" s="51" t="n">
        <v>4472.03</v>
      </c>
      <c r="K115" s="52" t="n">
        <v>6614.4</v>
      </c>
      <c r="L115" s="53" t="n">
        <v>39.3</v>
      </c>
      <c r="M115" s="54" t="n">
        <v>66.7</v>
      </c>
      <c r="N115" s="51" t="n">
        <v>75.861342</v>
      </c>
      <c r="O115" s="55" t="n">
        <v>2.0999</v>
      </c>
      <c r="P115" s="51" t="n">
        <v>-2944.03</v>
      </c>
      <c r="Q115" s="49" t="s">
        <v>2103</v>
      </c>
      <c r="R115" s="49" t="s">
        <v>2099</v>
      </c>
      <c r="S115" s="53" t="n">
        <v>0.5</v>
      </c>
      <c r="T115" s="51" t="n">
        <v>2204.8</v>
      </c>
      <c r="U115" s="56" t="n">
        <f aca="false">I115*O115</f>
        <v>3130.278932</v>
      </c>
      <c r="V115" s="56" t="n">
        <f aca="false">J115*O115</f>
        <v>9390.815797</v>
      </c>
      <c r="W115" s="56" t="n">
        <f aca="false">((I115+J115)/2)*O115</f>
        <v>6260.5473645</v>
      </c>
      <c r="X115" s="56" t="n">
        <f aca="false">H115*O115</f>
        <v>3208.6472</v>
      </c>
    </row>
    <row r="116" customFormat="false" ht="22.35" hidden="false" customHeight="false" outlineLevel="0" collapsed="false">
      <c r="A116" s="48" t="s">
        <v>2061</v>
      </c>
      <c r="B116" s="7" t="s">
        <v>2283</v>
      </c>
      <c r="C116" s="7" t="s">
        <v>1655</v>
      </c>
      <c r="D116" s="7" t="s">
        <v>2101</v>
      </c>
      <c r="E116" s="57" t="s">
        <v>2102</v>
      </c>
      <c r="F116" s="7" t="s">
        <v>2097</v>
      </c>
      <c r="G116" s="7" t="s">
        <v>2097</v>
      </c>
      <c r="H116" s="9" t="n">
        <v>303</v>
      </c>
      <c r="I116" s="9" t="n">
        <v>189.21</v>
      </c>
      <c r="J116" s="9" t="n">
        <v>567.63</v>
      </c>
      <c r="K116" s="52" t="n">
        <v>600</v>
      </c>
      <c r="L116" s="58" t="n">
        <v>38.9</v>
      </c>
      <c r="M116" s="59" t="n">
        <v>76.2</v>
      </c>
      <c r="N116" s="9" t="n">
        <v>9.728092</v>
      </c>
      <c r="O116" s="8" t="n">
        <v>9.93</v>
      </c>
      <c r="P116" s="9" t="n">
        <v>-264.63</v>
      </c>
      <c r="Q116" s="7" t="s">
        <v>2103</v>
      </c>
      <c r="R116" s="7" t="s">
        <v>2099</v>
      </c>
      <c r="S116" s="58" t="n">
        <v>0.5</v>
      </c>
      <c r="T116" s="9" t="n">
        <v>200</v>
      </c>
      <c r="U116" s="56" t="n">
        <f aca="false">I116*O116</f>
        <v>1878.8553</v>
      </c>
      <c r="V116" s="56" t="n">
        <f aca="false">J116*O116</f>
        <v>5636.5659</v>
      </c>
      <c r="W116" s="56" t="n">
        <f aca="false">((I116+J116)/2)*O116</f>
        <v>3757.7106</v>
      </c>
      <c r="X116" s="56" t="n">
        <f aca="false">H116*O116</f>
        <v>3008.79</v>
      </c>
    </row>
    <row r="117" customFormat="false" ht="22.35" hidden="false" customHeight="false" outlineLevel="0" collapsed="false">
      <c r="A117" s="48" t="s">
        <v>2061</v>
      </c>
      <c r="B117" s="49" t="s">
        <v>2284</v>
      </c>
      <c r="C117" s="49" t="s">
        <v>1497</v>
      </c>
      <c r="D117" s="49" t="s">
        <v>2101</v>
      </c>
      <c r="E117" s="57" t="s">
        <v>2102</v>
      </c>
      <c r="F117" s="49" t="s">
        <v>2097</v>
      </c>
      <c r="G117" s="49" t="s">
        <v>2097</v>
      </c>
      <c r="H117" s="51" t="n">
        <v>380</v>
      </c>
      <c r="I117" s="51" t="n">
        <v>219.56</v>
      </c>
      <c r="J117" s="51" t="n">
        <v>658.68</v>
      </c>
      <c r="K117" s="52" t="n">
        <v>1000</v>
      </c>
      <c r="L117" s="53" t="n">
        <v>34.9</v>
      </c>
      <c r="M117" s="54" t="n">
        <v>68.4</v>
      </c>
      <c r="N117" s="51" t="n">
        <v>12.582137</v>
      </c>
      <c r="O117" s="55" t="n">
        <v>0.6036</v>
      </c>
      <c r="P117" s="51" t="n">
        <v>-278.68</v>
      </c>
      <c r="Q117" s="49" t="s">
        <v>2103</v>
      </c>
      <c r="R117" s="49" t="s">
        <v>2099</v>
      </c>
      <c r="S117" s="53" t="n">
        <v>0.5</v>
      </c>
      <c r="T117" s="51" t="n">
        <v>500</v>
      </c>
      <c r="U117" s="56" t="n">
        <f aca="false">I117*O117</f>
        <v>132.526416</v>
      </c>
      <c r="V117" s="56" t="n">
        <f aca="false">J117*O117</f>
        <v>397.579248</v>
      </c>
      <c r="W117" s="56" t="n">
        <f aca="false">((I117+J117)/2)*O117</f>
        <v>265.052832</v>
      </c>
      <c r="X117" s="56" t="n">
        <f aca="false">H117*O117</f>
        <v>229.368</v>
      </c>
    </row>
    <row r="118" customFormat="false" ht="22.35" hidden="false" customHeight="false" outlineLevel="0" collapsed="false">
      <c r="A118" s="48" t="s">
        <v>2061</v>
      </c>
      <c r="B118" s="7" t="s">
        <v>2285</v>
      </c>
      <c r="C118" s="7" t="s">
        <v>2265</v>
      </c>
      <c r="D118" s="7" t="s">
        <v>2095</v>
      </c>
      <c r="E118" s="61" t="s">
        <v>2113</v>
      </c>
      <c r="F118" s="7" t="s">
        <v>2097</v>
      </c>
      <c r="G118" s="7" t="s">
        <v>2097</v>
      </c>
      <c r="H118" s="9" t="n">
        <v>10000</v>
      </c>
      <c r="I118" s="9" t="n">
        <v>16864.59</v>
      </c>
      <c r="J118" s="9" t="n">
        <v>33729.18</v>
      </c>
      <c r="K118" s="52" t="n">
        <v>35272</v>
      </c>
      <c r="L118" s="58" t="n">
        <v>49.5</v>
      </c>
      <c r="M118" s="59" t="n">
        <v>83.9</v>
      </c>
      <c r="N118" s="9" t="n">
        <v>340.698762</v>
      </c>
      <c r="O118" s="8" t="n">
        <v>2.56</v>
      </c>
      <c r="P118" s="9" t="n">
        <v>-23729.18</v>
      </c>
      <c r="Q118" s="7" t="s">
        <v>2103</v>
      </c>
      <c r="R118" s="7" t="s">
        <v>2099</v>
      </c>
      <c r="S118" s="58" t="n">
        <v>1</v>
      </c>
      <c r="T118" s="9" t="n">
        <v>4409</v>
      </c>
      <c r="U118" s="56" t="n">
        <f aca="false">I118*O118</f>
        <v>43173.3504</v>
      </c>
      <c r="V118" s="56" t="n">
        <f aca="false">J118*O118</f>
        <v>86346.7008</v>
      </c>
      <c r="W118" s="56" t="n">
        <f aca="false">((I118+J118)/2)*O118</f>
        <v>64760.0256</v>
      </c>
      <c r="X118" s="56" t="n">
        <f aca="false">H118*O118</f>
        <v>25600</v>
      </c>
    </row>
    <row r="119" customFormat="false" ht="15" hidden="false" customHeight="false" outlineLevel="0" collapsed="false">
      <c r="A119" s="48" t="s">
        <v>2061</v>
      </c>
      <c r="B119" s="49" t="s">
        <v>2286</v>
      </c>
      <c r="C119" s="49" t="s">
        <v>1615</v>
      </c>
      <c r="D119" s="49" t="s">
        <v>2101</v>
      </c>
      <c r="E119" s="50" t="s">
        <v>2096</v>
      </c>
      <c r="F119" s="49" t="s">
        <v>2097</v>
      </c>
      <c r="G119" s="49" t="s">
        <v>2097</v>
      </c>
      <c r="H119" s="51" t="n">
        <v>100</v>
      </c>
      <c r="I119" s="51" t="n">
        <v>18.35</v>
      </c>
      <c r="J119" s="51" t="n">
        <v>55.06</v>
      </c>
      <c r="K119" s="52" t="n">
        <v>840</v>
      </c>
      <c r="L119" s="53" t="n">
        <v>20.3</v>
      </c>
      <c r="M119" s="54" t="n">
        <v>38.5</v>
      </c>
      <c r="N119" s="51" t="n">
        <v>1.808219</v>
      </c>
      <c r="O119" s="55" t="n">
        <v>5.167</v>
      </c>
      <c r="P119" s="51" t="n">
        <v>44.94</v>
      </c>
      <c r="Q119" s="49" t="s">
        <v>2098</v>
      </c>
      <c r="R119" s="49" t="s">
        <v>2099</v>
      </c>
      <c r="S119" s="53" t="n">
        <v>0.5</v>
      </c>
      <c r="T119" s="51" t="n">
        <v>840</v>
      </c>
      <c r="U119" s="56" t="n">
        <f aca="false">I119*O119</f>
        <v>94.81445</v>
      </c>
      <c r="V119" s="56" t="n">
        <f aca="false">J119*O119</f>
        <v>284.49502</v>
      </c>
      <c r="W119" s="56" t="n">
        <f aca="false">((I119+J119)/2)*O119</f>
        <v>189.654735</v>
      </c>
      <c r="X119" s="56" t="n">
        <f aca="false">H119*O119</f>
        <v>516.7</v>
      </c>
    </row>
    <row r="120" customFormat="false" ht="22.35" hidden="false" customHeight="false" outlineLevel="0" collapsed="false">
      <c r="A120" s="48" t="s">
        <v>2061</v>
      </c>
      <c r="B120" s="7" t="s">
        <v>2287</v>
      </c>
      <c r="C120" s="7" t="s">
        <v>1531</v>
      </c>
      <c r="D120" s="7" t="s">
        <v>2101</v>
      </c>
      <c r="E120" s="57" t="s">
        <v>2102</v>
      </c>
      <c r="F120" s="7" t="s">
        <v>2097</v>
      </c>
      <c r="G120" s="7" t="s">
        <v>2097</v>
      </c>
      <c r="H120" s="9" t="n">
        <v>1739</v>
      </c>
      <c r="I120" s="9" t="n">
        <v>979.12</v>
      </c>
      <c r="J120" s="9" t="n">
        <v>2937.35</v>
      </c>
      <c r="K120" s="52" t="n">
        <v>3174.72</v>
      </c>
      <c r="L120" s="58" t="n">
        <v>39.9</v>
      </c>
      <c r="M120" s="59" t="n">
        <v>82.7</v>
      </c>
      <c r="N120" s="9" t="n">
        <v>49.078566</v>
      </c>
      <c r="O120" s="8" t="n">
        <v>7.925</v>
      </c>
      <c r="P120" s="9" t="n">
        <v>-1198.35</v>
      </c>
      <c r="Q120" s="7" t="s">
        <v>2103</v>
      </c>
      <c r="R120" s="7" t="s">
        <v>2099</v>
      </c>
      <c r="S120" s="58" t="n">
        <v>0.5</v>
      </c>
      <c r="T120" s="9" t="n">
        <v>1058.24</v>
      </c>
      <c r="U120" s="56" t="n">
        <f aca="false">I120*O120</f>
        <v>7759.526</v>
      </c>
      <c r="V120" s="56" t="n">
        <f aca="false">J120*O120</f>
        <v>23278.49875</v>
      </c>
      <c r="W120" s="56" t="n">
        <f aca="false">((I120+J120)/2)*O120</f>
        <v>15519.012375</v>
      </c>
      <c r="X120" s="56" t="n">
        <f aca="false">H120*O120</f>
        <v>13781.575</v>
      </c>
    </row>
    <row r="121" customFormat="false" ht="22.35" hidden="false" customHeight="false" outlineLevel="0" collapsed="false">
      <c r="A121" s="48" t="s">
        <v>2061</v>
      </c>
      <c r="B121" s="4" t="s">
        <v>2288</v>
      </c>
      <c r="C121" s="4" t="s">
        <v>2207</v>
      </c>
      <c r="D121" s="4" t="s">
        <v>2101</v>
      </c>
      <c r="E121" s="70" t="s">
        <v>2193</v>
      </c>
      <c r="F121" s="4" t="s">
        <v>2097</v>
      </c>
      <c r="G121" s="71" t="s">
        <v>2194</v>
      </c>
      <c r="H121" s="6" t="n">
        <v>100</v>
      </c>
      <c r="I121" s="6" t="n">
        <v>0</v>
      </c>
      <c r="J121" s="6" t="n">
        <v>0</v>
      </c>
      <c r="K121" s="52" t="n">
        <v>0</v>
      </c>
      <c r="L121" s="72" t="n">
        <v>18.1</v>
      </c>
      <c r="M121" s="73" t="n">
        <v>90</v>
      </c>
      <c r="N121" s="6" t="n">
        <v>2.13111</v>
      </c>
      <c r="O121" s="5" t="n">
        <v>13.52</v>
      </c>
      <c r="P121" s="6" t="n">
        <v>100</v>
      </c>
      <c r="Q121" s="4" t="s">
        <v>2098</v>
      </c>
      <c r="R121" s="4" t="s">
        <v>2195</v>
      </c>
      <c r="S121" s="72" t="n">
        <v>0</v>
      </c>
      <c r="T121" s="6" t="n">
        <v>390.21</v>
      </c>
      <c r="U121" s="56" t="n">
        <f aca="false">I121*O121</f>
        <v>0</v>
      </c>
      <c r="V121" s="56" t="n">
        <f aca="false">J121*O121</f>
        <v>0</v>
      </c>
      <c r="W121" s="56" t="n">
        <f aca="false">((I121+J121)/2)*O121</f>
        <v>0</v>
      </c>
      <c r="X121" s="56" t="n">
        <f aca="false">H121*O121</f>
        <v>1352</v>
      </c>
    </row>
    <row r="122" customFormat="false" ht="22.35" hidden="false" customHeight="false" outlineLevel="0" collapsed="false">
      <c r="A122" s="48" t="s">
        <v>2061</v>
      </c>
      <c r="B122" s="4" t="s">
        <v>2289</v>
      </c>
      <c r="C122" s="4" t="s">
        <v>2290</v>
      </c>
      <c r="D122" s="4" t="s">
        <v>2101</v>
      </c>
      <c r="E122" s="70" t="s">
        <v>2193</v>
      </c>
      <c r="F122" s="4" t="s">
        <v>2097</v>
      </c>
      <c r="G122" s="71" t="s">
        <v>2194</v>
      </c>
      <c r="H122" s="6" t="n">
        <v>100</v>
      </c>
      <c r="I122" s="6" t="n">
        <v>0</v>
      </c>
      <c r="J122" s="6" t="n">
        <v>0</v>
      </c>
      <c r="K122" s="52" t="n">
        <v>0</v>
      </c>
      <c r="L122" s="72" t="n">
        <v>53.2</v>
      </c>
      <c r="M122" s="73" t="n">
        <v>40</v>
      </c>
      <c r="N122" s="6" t="n">
        <v>0.200575</v>
      </c>
      <c r="O122" s="5" t="n">
        <v>7.8276</v>
      </c>
      <c r="P122" s="6" t="n">
        <v>100</v>
      </c>
      <c r="Q122" s="4" t="s">
        <v>2098</v>
      </c>
      <c r="R122" s="4" t="s">
        <v>2195</v>
      </c>
      <c r="S122" s="72" t="n">
        <v>0</v>
      </c>
      <c r="T122" s="6" t="n">
        <v>40</v>
      </c>
      <c r="U122" s="56" t="n">
        <f aca="false">I122*O122</f>
        <v>0</v>
      </c>
      <c r="V122" s="56" t="n">
        <f aca="false">J122*O122</f>
        <v>0</v>
      </c>
      <c r="W122" s="56" t="n">
        <f aca="false">((I122+J122)/2)*O122</f>
        <v>0</v>
      </c>
      <c r="X122" s="56" t="n">
        <f aca="false">H122*O122</f>
        <v>782.76</v>
      </c>
    </row>
    <row r="123" customFormat="false" ht="15" hidden="false" customHeight="false" outlineLevel="0" collapsed="false">
      <c r="A123" s="48" t="s">
        <v>2061</v>
      </c>
      <c r="B123" s="49" t="s">
        <v>2291</v>
      </c>
      <c r="C123" s="49" t="s">
        <v>1615</v>
      </c>
      <c r="D123" s="49" t="s">
        <v>2095</v>
      </c>
      <c r="E123" s="50" t="s">
        <v>2096</v>
      </c>
      <c r="F123" s="49" t="s">
        <v>2097</v>
      </c>
      <c r="G123" s="49" t="s">
        <v>2097</v>
      </c>
      <c r="H123" s="51" t="n">
        <v>26069</v>
      </c>
      <c r="I123" s="51" t="n">
        <v>9114.82</v>
      </c>
      <c r="J123" s="51" t="n">
        <v>18229.64</v>
      </c>
      <c r="K123" s="52" t="n">
        <v>18229.64</v>
      </c>
      <c r="L123" s="53" t="n">
        <v>32.4</v>
      </c>
      <c r="M123" s="54" t="n">
        <v>86.2</v>
      </c>
      <c r="N123" s="51" t="n">
        <v>281.321517</v>
      </c>
      <c r="O123" s="55" t="n">
        <v>3.7</v>
      </c>
      <c r="P123" s="51" t="n">
        <v>7839.36</v>
      </c>
      <c r="Q123" s="49" t="s">
        <v>2098</v>
      </c>
      <c r="R123" s="49" t="s">
        <v>2099</v>
      </c>
      <c r="S123" s="53" t="n">
        <v>1</v>
      </c>
      <c r="T123" s="51" t="n">
        <v>1</v>
      </c>
      <c r="U123" s="56" t="n">
        <f aca="false">I123*O123</f>
        <v>33724.834</v>
      </c>
      <c r="V123" s="56" t="n">
        <f aca="false">J123*O123</f>
        <v>67449.668</v>
      </c>
      <c r="W123" s="56" t="n">
        <f aca="false">((I123+J123)/2)*O123</f>
        <v>50587.251</v>
      </c>
      <c r="X123" s="56" t="n">
        <f aca="false">H123*O123</f>
        <v>96455.3</v>
      </c>
    </row>
    <row r="124" customFormat="false" ht="22.35" hidden="false" customHeight="false" outlineLevel="0" collapsed="false">
      <c r="A124" s="48" t="s">
        <v>2061</v>
      </c>
      <c r="B124" s="62" t="s">
        <v>2292</v>
      </c>
      <c r="C124" s="62" t="s">
        <v>2293</v>
      </c>
      <c r="D124" s="62" t="s">
        <v>2101</v>
      </c>
      <c r="E124" s="63" t="s">
        <v>2169</v>
      </c>
      <c r="F124" s="64" t="s">
        <v>2170</v>
      </c>
      <c r="G124" s="62" t="s">
        <v>2097</v>
      </c>
      <c r="H124" s="65" t="n">
        <v>100</v>
      </c>
      <c r="I124" s="65" t="n">
        <v>8.18</v>
      </c>
      <c r="J124" s="65" t="n">
        <v>24.53</v>
      </c>
      <c r="K124" s="66" t="n">
        <v>2204</v>
      </c>
      <c r="L124" s="67" t="n">
        <v>13</v>
      </c>
      <c r="M124" s="68" t="n">
        <v>50</v>
      </c>
      <c r="N124" s="65" t="n">
        <v>2.336233</v>
      </c>
      <c r="O124" s="69" t="n">
        <v>3.19</v>
      </c>
      <c r="P124" s="65" t="n">
        <v>75.47</v>
      </c>
      <c r="Q124" s="62" t="s">
        <v>2098</v>
      </c>
      <c r="R124" s="62" t="s">
        <v>2294</v>
      </c>
      <c r="S124" s="67" t="n">
        <v>0.5</v>
      </c>
      <c r="T124" s="65" t="n">
        <v>2204</v>
      </c>
      <c r="U124" s="56" t="n">
        <f aca="false">I124*O124</f>
        <v>26.0942</v>
      </c>
      <c r="V124" s="56" t="n">
        <f aca="false">J124*O124</f>
        <v>78.2507</v>
      </c>
      <c r="W124" s="56" t="n">
        <f aca="false">((I124+J124)/2)*O124</f>
        <v>52.17245</v>
      </c>
      <c r="X124" s="56" t="n">
        <f aca="false">H124*O124</f>
        <v>319</v>
      </c>
    </row>
    <row r="125" customFormat="false" ht="22.35" hidden="false" customHeight="false" outlineLevel="0" collapsed="false">
      <c r="A125" s="48" t="s">
        <v>2061</v>
      </c>
      <c r="B125" s="49" t="s">
        <v>2295</v>
      </c>
      <c r="C125" s="49" t="s">
        <v>2293</v>
      </c>
      <c r="D125" s="49" t="s">
        <v>2095</v>
      </c>
      <c r="E125" s="61" t="s">
        <v>2113</v>
      </c>
      <c r="F125" s="49" t="s">
        <v>2097</v>
      </c>
      <c r="G125" s="49" t="s">
        <v>2097</v>
      </c>
      <c r="H125" s="51" t="n">
        <v>5137</v>
      </c>
      <c r="I125" s="51" t="n">
        <v>5765.47</v>
      </c>
      <c r="J125" s="51" t="n">
        <v>11530.94</v>
      </c>
      <c r="K125" s="52" t="n">
        <v>13227.6</v>
      </c>
      <c r="L125" s="53" t="n">
        <v>27.2</v>
      </c>
      <c r="M125" s="54" t="n">
        <v>77.3</v>
      </c>
      <c r="N125" s="51" t="n">
        <v>211.96563</v>
      </c>
      <c r="O125" s="55" t="n">
        <v>4.17</v>
      </c>
      <c r="P125" s="51" t="n">
        <v>-6393.94</v>
      </c>
      <c r="Q125" s="49" t="s">
        <v>2103</v>
      </c>
      <c r="R125" s="49" t="s">
        <v>2099</v>
      </c>
      <c r="S125" s="53" t="n">
        <v>1</v>
      </c>
      <c r="T125" s="51" t="n">
        <v>4409.2</v>
      </c>
      <c r="U125" s="56" t="n">
        <f aca="false">I125*O125</f>
        <v>24042.0099</v>
      </c>
      <c r="V125" s="56" t="n">
        <f aca="false">J125*O125</f>
        <v>48084.0198</v>
      </c>
      <c r="W125" s="56" t="n">
        <f aca="false">((I125+J125)/2)*O125</f>
        <v>36063.01485</v>
      </c>
      <c r="X125" s="56" t="n">
        <f aca="false">H125*O125</f>
        <v>21421.29</v>
      </c>
    </row>
    <row r="126" customFormat="false" ht="15" hidden="false" customHeight="false" outlineLevel="0" collapsed="false">
      <c r="A126" s="48" t="s">
        <v>2061</v>
      </c>
      <c r="B126" s="7" t="s">
        <v>2296</v>
      </c>
      <c r="C126" s="7" t="s">
        <v>2297</v>
      </c>
      <c r="D126" s="7" t="s">
        <v>2101</v>
      </c>
      <c r="E126" s="50" t="s">
        <v>2096</v>
      </c>
      <c r="F126" s="7" t="s">
        <v>2097</v>
      </c>
      <c r="G126" s="7" t="s">
        <v>2097</v>
      </c>
      <c r="H126" s="9" t="n">
        <v>100</v>
      </c>
      <c r="I126" s="9" t="n">
        <v>14.72</v>
      </c>
      <c r="J126" s="9" t="n">
        <v>44.16</v>
      </c>
      <c r="K126" s="52" t="n">
        <v>55.11</v>
      </c>
      <c r="L126" s="58" t="n">
        <v>29.9</v>
      </c>
      <c r="M126" s="59" t="n">
        <v>58.3</v>
      </c>
      <c r="N126" s="9" t="n">
        <v>0.984507</v>
      </c>
      <c r="O126" s="8" t="n">
        <v>13.018</v>
      </c>
      <c r="P126" s="9" t="n">
        <v>55.84</v>
      </c>
      <c r="Q126" s="7" t="s">
        <v>2098</v>
      </c>
      <c r="R126" s="7" t="s">
        <v>2099</v>
      </c>
      <c r="S126" s="58" t="n">
        <v>0.5</v>
      </c>
      <c r="T126" s="9" t="n">
        <v>55.11</v>
      </c>
      <c r="U126" s="56" t="n">
        <f aca="false">I126*O126</f>
        <v>191.62496</v>
      </c>
      <c r="V126" s="56" t="n">
        <f aca="false">J126*O126</f>
        <v>574.87488</v>
      </c>
      <c r="W126" s="56" t="n">
        <f aca="false">((I126+J126)/2)*O126</f>
        <v>383.24992</v>
      </c>
      <c r="X126" s="56" t="n">
        <f aca="false">H126*O126</f>
        <v>1301.8</v>
      </c>
    </row>
    <row r="127" customFormat="false" ht="22.35" hidden="false" customHeight="false" outlineLevel="0" collapsed="false">
      <c r="A127" s="48" t="s">
        <v>2061</v>
      </c>
      <c r="B127" s="49" t="s">
        <v>2298</v>
      </c>
      <c r="C127" s="49" t="s">
        <v>2299</v>
      </c>
      <c r="D127" s="49" t="s">
        <v>2101</v>
      </c>
      <c r="E127" s="57" t="s">
        <v>2102</v>
      </c>
      <c r="F127" s="49" t="s">
        <v>2097</v>
      </c>
      <c r="G127" s="49" t="s">
        <v>2097</v>
      </c>
      <c r="H127" s="51" t="n">
        <v>727</v>
      </c>
      <c r="I127" s="51" t="n">
        <v>369.51</v>
      </c>
      <c r="J127" s="51" t="n">
        <v>1108.54</v>
      </c>
      <c r="K127" s="52" t="n">
        <v>1410.88</v>
      </c>
      <c r="L127" s="53" t="n">
        <v>25</v>
      </c>
      <c r="M127" s="54" t="n">
        <v>86.8</v>
      </c>
      <c r="N127" s="51" t="n">
        <v>29.56111</v>
      </c>
      <c r="O127" s="55" t="n">
        <v>1.89</v>
      </c>
      <c r="P127" s="51" t="n">
        <v>-381.54</v>
      </c>
      <c r="Q127" s="49" t="s">
        <v>2103</v>
      </c>
      <c r="R127" s="49" t="s">
        <v>2099</v>
      </c>
      <c r="S127" s="53" t="n">
        <v>0.5</v>
      </c>
      <c r="T127" s="51" t="n">
        <v>352.72</v>
      </c>
      <c r="U127" s="56" t="n">
        <f aca="false">I127*O127</f>
        <v>698.3739</v>
      </c>
      <c r="V127" s="56" t="n">
        <f aca="false">J127*O127</f>
        <v>2095.1406</v>
      </c>
      <c r="W127" s="56" t="n">
        <f aca="false">((I127+J127)/2)*O127</f>
        <v>1396.75725</v>
      </c>
      <c r="X127" s="56" t="n">
        <f aca="false">H127*O127</f>
        <v>1374.03</v>
      </c>
    </row>
    <row r="128" customFormat="false" ht="15" hidden="false" customHeight="false" outlineLevel="0" collapsed="false">
      <c r="A128" s="48" t="s">
        <v>2061</v>
      </c>
      <c r="B128" s="7" t="s">
        <v>2300</v>
      </c>
      <c r="C128" s="7" t="s">
        <v>1542</v>
      </c>
      <c r="D128" s="7" t="s">
        <v>2101</v>
      </c>
      <c r="E128" s="50" t="s">
        <v>2096</v>
      </c>
      <c r="F128" s="7" t="s">
        <v>2097</v>
      </c>
      <c r="G128" s="7" t="s">
        <v>2097</v>
      </c>
      <c r="H128" s="9" t="n">
        <v>100</v>
      </c>
      <c r="I128" s="9" t="n">
        <v>5.7</v>
      </c>
      <c r="J128" s="9" t="n">
        <v>17.11</v>
      </c>
      <c r="K128" s="52" t="n">
        <v>132.3</v>
      </c>
      <c r="L128" s="58" t="n">
        <v>19.6</v>
      </c>
      <c r="M128" s="59" t="n">
        <v>86.4</v>
      </c>
      <c r="N128" s="9" t="n">
        <v>0.582082</v>
      </c>
      <c r="O128" s="8" t="n">
        <v>5.61</v>
      </c>
      <c r="P128" s="9" t="n">
        <v>82.89</v>
      </c>
      <c r="Q128" s="7" t="s">
        <v>2098</v>
      </c>
      <c r="R128" s="7" t="s">
        <v>2099</v>
      </c>
      <c r="S128" s="58" t="n">
        <v>0.5</v>
      </c>
      <c r="T128" s="9" t="n">
        <v>132.3</v>
      </c>
      <c r="U128" s="56" t="n">
        <f aca="false">I128*O128</f>
        <v>31.977</v>
      </c>
      <c r="V128" s="56" t="n">
        <f aca="false">J128*O128</f>
        <v>95.9871</v>
      </c>
      <c r="W128" s="56" t="n">
        <f aca="false">((I128+J128)/2)*O128</f>
        <v>63.98205</v>
      </c>
      <c r="X128" s="56" t="n">
        <f aca="false">H128*O128</f>
        <v>561</v>
      </c>
    </row>
    <row r="129" customFormat="false" ht="22.35" hidden="false" customHeight="false" outlineLevel="0" collapsed="false">
      <c r="A129" s="48" t="s">
        <v>2061</v>
      </c>
      <c r="B129" s="49" t="s">
        <v>2301</v>
      </c>
      <c r="C129" s="49" t="s">
        <v>2302</v>
      </c>
      <c r="D129" s="49" t="s">
        <v>2101</v>
      </c>
      <c r="E129" s="57" t="s">
        <v>2102</v>
      </c>
      <c r="F129" s="49" t="s">
        <v>2097</v>
      </c>
      <c r="G129" s="49" t="s">
        <v>2097</v>
      </c>
      <c r="H129" s="51" t="n">
        <v>739</v>
      </c>
      <c r="I129" s="51" t="n">
        <v>485.77</v>
      </c>
      <c r="J129" s="51" t="n">
        <v>1457.31</v>
      </c>
      <c r="K129" s="52" t="n">
        <v>2513.22</v>
      </c>
      <c r="L129" s="53" t="n">
        <v>24.1</v>
      </c>
      <c r="M129" s="54" t="n">
        <v>100</v>
      </c>
      <c r="N129" s="51" t="n">
        <v>40.312671</v>
      </c>
      <c r="O129" s="55" t="n">
        <v>2.4201</v>
      </c>
      <c r="P129" s="51" t="n">
        <v>-718.31</v>
      </c>
      <c r="Q129" s="49" t="s">
        <v>2103</v>
      </c>
      <c r="R129" s="49" t="s">
        <v>2099</v>
      </c>
      <c r="S129" s="53" t="n">
        <v>0.5</v>
      </c>
      <c r="T129" s="51" t="n">
        <v>2513.22</v>
      </c>
      <c r="U129" s="56" t="n">
        <f aca="false">I129*O129</f>
        <v>1175.611977</v>
      </c>
      <c r="V129" s="56" t="n">
        <f aca="false">J129*O129</f>
        <v>3526.835931</v>
      </c>
      <c r="W129" s="56" t="n">
        <f aca="false">((I129+J129)/2)*O129</f>
        <v>2351.223954</v>
      </c>
      <c r="X129" s="56" t="n">
        <f aca="false">H129*O129</f>
        <v>1788.4539</v>
      </c>
    </row>
    <row r="130" customFormat="false" ht="15" hidden="false" customHeight="false" outlineLevel="0" collapsed="false">
      <c r="A130" s="48" t="s">
        <v>2061</v>
      </c>
      <c r="B130" s="7" t="s">
        <v>2303</v>
      </c>
      <c r="C130" s="7" t="s">
        <v>2304</v>
      </c>
      <c r="D130" s="7" t="s">
        <v>2101</v>
      </c>
      <c r="E130" s="50" t="s">
        <v>2096</v>
      </c>
      <c r="F130" s="7" t="s">
        <v>2097</v>
      </c>
      <c r="G130" s="7" t="s">
        <v>2097</v>
      </c>
      <c r="H130" s="9" t="n">
        <v>100</v>
      </c>
      <c r="I130" s="9" t="n">
        <v>28.69</v>
      </c>
      <c r="J130" s="9" t="n">
        <v>86.08</v>
      </c>
      <c r="K130" s="52" t="n">
        <v>450</v>
      </c>
      <c r="L130" s="58" t="n">
        <v>22.5</v>
      </c>
      <c r="M130" s="59" t="n">
        <v>84.8</v>
      </c>
      <c r="N130" s="9" t="n">
        <v>2.550562</v>
      </c>
      <c r="O130" s="8" t="n">
        <v>6.56</v>
      </c>
      <c r="P130" s="9" t="n">
        <v>13.92</v>
      </c>
      <c r="Q130" s="7" t="s">
        <v>2098</v>
      </c>
      <c r="R130" s="7" t="s">
        <v>2099</v>
      </c>
      <c r="S130" s="58" t="n">
        <v>0.5</v>
      </c>
      <c r="T130" s="9" t="n">
        <v>450</v>
      </c>
      <c r="U130" s="56" t="n">
        <f aca="false">I130*O130</f>
        <v>188.2064</v>
      </c>
      <c r="V130" s="56" t="n">
        <f aca="false">J130*O130</f>
        <v>564.6848</v>
      </c>
      <c r="W130" s="56" t="n">
        <f aca="false">((I130+J130)/2)*O130</f>
        <v>376.4456</v>
      </c>
      <c r="X130" s="56" t="n">
        <f aca="false">H130*O130</f>
        <v>656</v>
      </c>
    </row>
    <row r="131" customFormat="false" ht="15" hidden="false" customHeight="false" outlineLevel="0" collapsed="false">
      <c r="A131" s="48" t="s">
        <v>2061</v>
      </c>
      <c r="B131" s="49" t="s">
        <v>2305</v>
      </c>
      <c r="C131" s="49" t="s">
        <v>2306</v>
      </c>
      <c r="D131" s="49" t="s">
        <v>2101</v>
      </c>
      <c r="E131" s="50" t="s">
        <v>2096</v>
      </c>
      <c r="F131" s="49" t="s">
        <v>2097</v>
      </c>
      <c r="G131" s="49" t="s">
        <v>2097</v>
      </c>
      <c r="H131" s="51" t="n">
        <v>100</v>
      </c>
      <c r="I131" s="51" t="n">
        <v>8.3</v>
      </c>
      <c r="J131" s="51" t="n">
        <v>24.89</v>
      </c>
      <c r="K131" s="52" t="n">
        <v>660</v>
      </c>
      <c r="L131" s="53" t="n">
        <v>26.1</v>
      </c>
      <c r="M131" s="54" t="n">
        <v>86.7</v>
      </c>
      <c r="N131" s="51" t="n">
        <v>0.635781</v>
      </c>
      <c r="O131" s="55" t="n">
        <v>5.098</v>
      </c>
      <c r="P131" s="51" t="n">
        <v>75.11</v>
      </c>
      <c r="Q131" s="49" t="s">
        <v>2098</v>
      </c>
      <c r="R131" s="49" t="s">
        <v>2099</v>
      </c>
      <c r="S131" s="53" t="n">
        <v>0.5</v>
      </c>
      <c r="T131" s="51" t="n">
        <v>660</v>
      </c>
      <c r="U131" s="56" t="n">
        <f aca="false">I131*O131</f>
        <v>42.3134</v>
      </c>
      <c r="V131" s="56" t="n">
        <f aca="false">J131*O131</f>
        <v>126.88922</v>
      </c>
      <c r="W131" s="56" t="n">
        <f aca="false">((I131+J131)/2)*O131</f>
        <v>84.60131</v>
      </c>
      <c r="X131" s="56" t="n">
        <f aca="false">H131*O131</f>
        <v>509.8</v>
      </c>
    </row>
    <row r="132" customFormat="false" ht="22.35" hidden="false" customHeight="false" outlineLevel="0" collapsed="false">
      <c r="A132" s="48" t="s">
        <v>2061</v>
      </c>
      <c r="B132" s="7" t="s">
        <v>2307</v>
      </c>
      <c r="C132" s="7" t="s">
        <v>2308</v>
      </c>
      <c r="D132" s="7" t="s">
        <v>2101</v>
      </c>
      <c r="E132" s="57" t="s">
        <v>2102</v>
      </c>
      <c r="F132" s="7" t="s">
        <v>2097</v>
      </c>
      <c r="G132" s="7" t="s">
        <v>2097</v>
      </c>
      <c r="H132" s="9" t="n">
        <v>100</v>
      </c>
      <c r="I132" s="9" t="n">
        <v>75.54</v>
      </c>
      <c r="J132" s="9" t="n">
        <v>226.61</v>
      </c>
      <c r="K132" s="52" t="n">
        <v>442.996</v>
      </c>
      <c r="L132" s="58" t="n">
        <v>32.4</v>
      </c>
      <c r="M132" s="59" t="n">
        <v>83.3</v>
      </c>
      <c r="N132" s="9" t="n">
        <v>4.662685</v>
      </c>
      <c r="O132" s="8" t="n">
        <v>2.33</v>
      </c>
      <c r="P132" s="9" t="n">
        <v>-126.61</v>
      </c>
      <c r="Q132" s="7" t="s">
        <v>2103</v>
      </c>
      <c r="R132" s="7" t="s">
        <v>2099</v>
      </c>
      <c r="S132" s="58" t="n">
        <v>0.5</v>
      </c>
      <c r="T132" s="9" t="n">
        <v>442.996</v>
      </c>
      <c r="U132" s="56" t="n">
        <f aca="false">I132*O132</f>
        <v>176.0082</v>
      </c>
      <c r="V132" s="56" t="n">
        <f aca="false">J132*O132</f>
        <v>528.0013</v>
      </c>
      <c r="W132" s="56" t="n">
        <f aca="false">((I132+J132)/2)*O132</f>
        <v>352.00475</v>
      </c>
      <c r="X132" s="56" t="n">
        <f aca="false">H132*O132</f>
        <v>233</v>
      </c>
    </row>
    <row r="133" customFormat="false" ht="15" hidden="false" customHeight="false" outlineLevel="0" collapsed="false">
      <c r="A133" s="48" t="s">
        <v>2061</v>
      </c>
      <c r="B133" s="49" t="s">
        <v>2309</v>
      </c>
      <c r="C133" s="49" t="s">
        <v>2310</v>
      </c>
      <c r="D133" s="49" t="s">
        <v>2101</v>
      </c>
      <c r="E133" s="50" t="s">
        <v>2096</v>
      </c>
      <c r="F133" s="49" t="s">
        <v>2097</v>
      </c>
      <c r="G133" s="49" t="s">
        <v>2097</v>
      </c>
      <c r="H133" s="51" t="n">
        <v>492</v>
      </c>
      <c r="I133" s="51" t="n">
        <v>149.66</v>
      </c>
      <c r="J133" s="51" t="n">
        <v>448.98</v>
      </c>
      <c r="K133" s="52" t="n">
        <v>882</v>
      </c>
      <c r="L133" s="53" t="n">
        <v>14.8</v>
      </c>
      <c r="M133" s="54" t="n">
        <v>95</v>
      </c>
      <c r="N133" s="51" t="n">
        <v>20.224562</v>
      </c>
      <c r="O133" s="55" t="n">
        <v>3.824</v>
      </c>
      <c r="P133" s="51" t="n">
        <v>43.02</v>
      </c>
      <c r="Q133" s="49" t="s">
        <v>2098</v>
      </c>
      <c r="R133" s="49" t="s">
        <v>2099</v>
      </c>
      <c r="S133" s="53" t="n">
        <v>0.5</v>
      </c>
      <c r="T133" s="51" t="n">
        <v>441</v>
      </c>
      <c r="U133" s="56" t="n">
        <f aca="false">I133*O133</f>
        <v>572.29984</v>
      </c>
      <c r="V133" s="56" t="n">
        <f aca="false">J133*O133</f>
        <v>1716.89952</v>
      </c>
      <c r="W133" s="56" t="n">
        <f aca="false">((I133+J133)/2)*O133</f>
        <v>1144.59968</v>
      </c>
      <c r="X133" s="56" t="n">
        <f aca="false">H133*O133</f>
        <v>1881.408</v>
      </c>
    </row>
    <row r="134" customFormat="false" ht="22.35" hidden="false" customHeight="false" outlineLevel="0" collapsed="false">
      <c r="A134" s="48" t="s">
        <v>2061</v>
      </c>
      <c r="B134" s="7" t="s">
        <v>2311</v>
      </c>
      <c r="C134" s="7" t="s">
        <v>2312</v>
      </c>
      <c r="D134" s="7" t="s">
        <v>2101</v>
      </c>
      <c r="E134" s="57" t="s">
        <v>2102</v>
      </c>
      <c r="F134" s="7" t="s">
        <v>2097</v>
      </c>
      <c r="G134" s="7" t="s">
        <v>2097</v>
      </c>
      <c r="H134" s="9" t="n">
        <v>323</v>
      </c>
      <c r="I134" s="9" t="n">
        <v>206.41</v>
      </c>
      <c r="J134" s="9" t="n">
        <v>619.24</v>
      </c>
      <c r="K134" s="52" t="n">
        <v>840</v>
      </c>
      <c r="L134" s="58" t="n">
        <v>39.8</v>
      </c>
      <c r="M134" s="59" t="n">
        <v>66.7</v>
      </c>
      <c r="N134" s="9" t="n">
        <v>10.372507</v>
      </c>
      <c r="O134" s="8" t="n">
        <v>4.2309</v>
      </c>
      <c r="P134" s="9" t="n">
        <v>-296.24</v>
      </c>
      <c r="Q134" s="7" t="s">
        <v>2103</v>
      </c>
      <c r="R134" s="7" t="s">
        <v>2099</v>
      </c>
      <c r="S134" s="58" t="n">
        <v>0.5</v>
      </c>
      <c r="T134" s="9" t="n">
        <v>420</v>
      </c>
      <c r="U134" s="56" t="n">
        <f aca="false">I134*O134</f>
        <v>873.300069</v>
      </c>
      <c r="V134" s="56" t="n">
        <f aca="false">J134*O134</f>
        <v>2619.942516</v>
      </c>
      <c r="W134" s="56" t="n">
        <f aca="false">((I134+J134)/2)*O134</f>
        <v>1746.6212925</v>
      </c>
      <c r="X134" s="56" t="n">
        <f aca="false">H134*O134</f>
        <v>1366.5807</v>
      </c>
    </row>
    <row r="135" customFormat="false" ht="15" hidden="false" customHeight="false" outlineLevel="0" collapsed="false">
      <c r="A135" s="48" t="s">
        <v>2061</v>
      </c>
      <c r="B135" s="49" t="s">
        <v>2313</v>
      </c>
      <c r="C135" s="49" t="s">
        <v>2314</v>
      </c>
      <c r="D135" s="49" t="s">
        <v>2101</v>
      </c>
      <c r="E135" s="50" t="s">
        <v>2096</v>
      </c>
      <c r="F135" s="49" t="s">
        <v>2097</v>
      </c>
      <c r="G135" s="49" t="s">
        <v>2097</v>
      </c>
      <c r="H135" s="51" t="n">
        <v>100</v>
      </c>
      <c r="I135" s="51" t="n">
        <v>5.07</v>
      </c>
      <c r="J135" s="51" t="n">
        <v>15.21</v>
      </c>
      <c r="K135" s="52" t="n">
        <v>569.9</v>
      </c>
      <c r="L135" s="53" t="n">
        <v>9</v>
      </c>
      <c r="M135" s="54" t="n">
        <v>33.3</v>
      </c>
      <c r="N135" s="51" t="n">
        <v>1.126315</v>
      </c>
      <c r="O135" s="55" t="n">
        <v>1.2201</v>
      </c>
      <c r="P135" s="51" t="n">
        <v>84.79</v>
      </c>
      <c r="Q135" s="49" t="s">
        <v>2098</v>
      </c>
      <c r="R135" s="49" t="s">
        <v>2099</v>
      </c>
      <c r="S135" s="53" t="n">
        <v>0.5</v>
      </c>
      <c r="T135" s="51" t="n">
        <v>569.9</v>
      </c>
      <c r="U135" s="56" t="n">
        <f aca="false">I135*O135</f>
        <v>6.185907</v>
      </c>
      <c r="V135" s="56" t="n">
        <f aca="false">J135*O135</f>
        <v>18.557721</v>
      </c>
      <c r="W135" s="56" t="n">
        <f aca="false">((I135+J135)/2)*O135</f>
        <v>12.371814</v>
      </c>
      <c r="X135" s="56" t="n">
        <f aca="false">H135*O135</f>
        <v>122.01</v>
      </c>
    </row>
    <row r="136" customFormat="false" ht="22.35" hidden="false" customHeight="false" outlineLevel="0" collapsed="false">
      <c r="A136" s="48" t="s">
        <v>2061</v>
      </c>
      <c r="B136" s="7" t="s">
        <v>2315</v>
      </c>
      <c r="C136" s="7" t="s">
        <v>2316</v>
      </c>
      <c r="D136" s="7" t="s">
        <v>2101</v>
      </c>
      <c r="E136" s="57" t="s">
        <v>2102</v>
      </c>
      <c r="F136" s="7" t="s">
        <v>2097</v>
      </c>
      <c r="G136" s="7" t="s">
        <v>2097</v>
      </c>
      <c r="H136" s="9" t="n">
        <v>1362</v>
      </c>
      <c r="I136" s="9" t="n">
        <v>846.53</v>
      </c>
      <c r="J136" s="9" t="n">
        <v>2539.6</v>
      </c>
      <c r="K136" s="52" t="n">
        <v>3840</v>
      </c>
      <c r="L136" s="58" t="n">
        <v>38.2</v>
      </c>
      <c r="M136" s="59" t="n">
        <v>68.4</v>
      </c>
      <c r="N136" s="9" t="n">
        <v>44.321137</v>
      </c>
      <c r="O136" s="8" t="n">
        <v>1.26</v>
      </c>
      <c r="P136" s="9" t="n">
        <v>-1177.6</v>
      </c>
      <c r="Q136" s="7" t="s">
        <v>2103</v>
      </c>
      <c r="R136" s="7" t="s">
        <v>2099</v>
      </c>
      <c r="S136" s="58" t="n">
        <v>0.5</v>
      </c>
      <c r="T136" s="9" t="n">
        <v>1920</v>
      </c>
      <c r="U136" s="56" t="n">
        <f aca="false">I136*O136</f>
        <v>1066.6278</v>
      </c>
      <c r="V136" s="56" t="n">
        <f aca="false">J136*O136</f>
        <v>3199.896</v>
      </c>
      <c r="W136" s="56" t="n">
        <f aca="false">((I136+J136)/2)*O136</f>
        <v>2133.2619</v>
      </c>
      <c r="X136" s="56" t="n">
        <f aca="false">H136*O136</f>
        <v>1716.12</v>
      </c>
    </row>
    <row r="137" customFormat="false" ht="22.35" hidden="false" customHeight="false" outlineLevel="0" collapsed="false">
      <c r="A137" s="48" t="s">
        <v>2061</v>
      </c>
      <c r="B137" s="49" t="s">
        <v>2317</v>
      </c>
      <c r="C137" s="49" t="s">
        <v>2318</v>
      </c>
      <c r="D137" s="49" t="s">
        <v>2101</v>
      </c>
      <c r="E137" s="57" t="s">
        <v>2102</v>
      </c>
      <c r="F137" s="49" t="s">
        <v>2097</v>
      </c>
      <c r="G137" s="49" t="s">
        <v>2097</v>
      </c>
      <c r="H137" s="51" t="n">
        <v>100</v>
      </c>
      <c r="I137" s="51" t="n">
        <v>44.24</v>
      </c>
      <c r="J137" s="51" t="n">
        <v>132.72</v>
      </c>
      <c r="K137" s="52" t="n">
        <v>191.4</v>
      </c>
      <c r="L137" s="53" t="n">
        <v>38.1</v>
      </c>
      <c r="M137" s="54" t="n">
        <v>47.1</v>
      </c>
      <c r="N137" s="51" t="n">
        <v>2.322323</v>
      </c>
      <c r="O137" s="55" t="n">
        <v>6.05</v>
      </c>
      <c r="P137" s="51" t="n">
        <v>-32.72</v>
      </c>
      <c r="Q137" s="49" t="s">
        <v>2103</v>
      </c>
      <c r="R137" s="49" t="s">
        <v>2099</v>
      </c>
      <c r="S137" s="53" t="n">
        <v>0.5</v>
      </c>
      <c r="T137" s="51" t="n">
        <v>63.8</v>
      </c>
      <c r="U137" s="56" t="n">
        <f aca="false">I137*O137</f>
        <v>267.652</v>
      </c>
      <c r="V137" s="56" t="n">
        <f aca="false">J137*O137</f>
        <v>802.956</v>
      </c>
      <c r="W137" s="56" t="n">
        <f aca="false">((I137+J137)/2)*O137</f>
        <v>535.304</v>
      </c>
      <c r="X137" s="56" t="n">
        <f aca="false">H137*O137</f>
        <v>605</v>
      </c>
    </row>
    <row r="138" customFormat="false" ht="22.35" hidden="false" customHeight="false" outlineLevel="0" collapsed="false">
      <c r="A138" s="48" t="s">
        <v>2061</v>
      </c>
      <c r="B138" s="7" t="s">
        <v>1872</v>
      </c>
      <c r="C138" s="7" t="s">
        <v>1873</v>
      </c>
      <c r="D138" s="7" t="s">
        <v>2319</v>
      </c>
      <c r="E138" s="74" t="s">
        <v>2320</v>
      </c>
      <c r="F138" s="7" t="s">
        <v>2097</v>
      </c>
      <c r="G138" s="7" t="s">
        <v>2097</v>
      </c>
      <c r="H138" s="9" t="n">
        <v>250</v>
      </c>
      <c r="I138" s="9" t="n">
        <v>0</v>
      </c>
      <c r="J138" s="9" t="n">
        <v>0</v>
      </c>
      <c r="K138" s="52" t="n">
        <v>0</v>
      </c>
      <c r="L138" s="58" t="n">
        <v>35.7</v>
      </c>
      <c r="M138" s="59" t="n">
        <v>87.8</v>
      </c>
      <c r="N138" s="9" t="n">
        <v>0</v>
      </c>
      <c r="O138" s="8" t="n">
        <v>0.558</v>
      </c>
      <c r="P138" s="9" t="n">
        <v>250</v>
      </c>
      <c r="Q138" s="7" t="s">
        <v>2098</v>
      </c>
      <c r="R138" s="7" t="s">
        <v>2321</v>
      </c>
      <c r="S138" s="58" t="n">
        <v>0</v>
      </c>
      <c r="T138" s="9" t="n">
        <v>2000</v>
      </c>
      <c r="U138" s="56" t="n">
        <f aca="false">I138*O138</f>
        <v>0</v>
      </c>
      <c r="V138" s="56" t="n">
        <f aca="false">J138*O138</f>
        <v>0</v>
      </c>
      <c r="W138" s="56" t="n">
        <f aca="false">((I138+J138)/2)*O138</f>
        <v>0</v>
      </c>
      <c r="X138" s="56" t="n">
        <f aca="false">H138*O138</f>
        <v>139.5</v>
      </c>
    </row>
    <row r="139" customFormat="false" ht="22.35" hidden="false" customHeight="false" outlineLevel="0" collapsed="false">
      <c r="A139" s="48" t="s">
        <v>2061</v>
      </c>
      <c r="B139" s="49" t="s">
        <v>1894</v>
      </c>
      <c r="C139" s="49" t="s">
        <v>1895</v>
      </c>
      <c r="D139" s="49" t="s">
        <v>2319</v>
      </c>
      <c r="E139" s="74" t="s">
        <v>2320</v>
      </c>
      <c r="F139" s="49" t="s">
        <v>2097</v>
      </c>
      <c r="G139" s="49" t="s">
        <v>2097</v>
      </c>
      <c r="H139" s="51" t="n">
        <v>500</v>
      </c>
      <c r="I139" s="51" t="n">
        <v>0</v>
      </c>
      <c r="J139" s="51" t="n">
        <v>0</v>
      </c>
      <c r="K139" s="52" t="n">
        <v>0</v>
      </c>
      <c r="L139" s="53" t="n">
        <v>49.3</v>
      </c>
      <c r="M139" s="54" t="n">
        <v>100</v>
      </c>
      <c r="N139" s="51" t="n">
        <v>0</v>
      </c>
      <c r="O139" s="55" t="n">
        <v>2.625</v>
      </c>
      <c r="P139" s="51" t="n">
        <v>500</v>
      </c>
      <c r="Q139" s="49" t="s">
        <v>2098</v>
      </c>
      <c r="R139" s="49" t="s">
        <v>2321</v>
      </c>
      <c r="S139" s="53" t="n">
        <v>0</v>
      </c>
      <c r="T139" s="51" t="n">
        <v>500</v>
      </c>
      <c r="U139" s="56" t="n">
        <f aca="false">I139*O139</f>
        <v>0</v>
      </c>
      <c r="V139" s="56" t="n">
        <f aca="false">J139*O139</f>
        <v>0</v>
      </c>
      <c r="W139" s="56" t="n">
        <f aca="false">((I139+J139)/2)*O139</f>
        <v>0</v>
      </c>
      <c r="X139" s="56" t="n">
        <f aca="false">H139*O139</f>
        <v>1312.5</v>
      </c>
    </row>
    <row r="140" customFormat="false" ht="22.35" hidden="false" customHeight="false" outlineLevel="0" collapsed="false">
      <c r="A140" s="48" t="s">
        <v>2061</v>
      </c>
      <c r="B140" s="7" t="s">
        <v>1966</v>
      </c>
      <c r="C140" s="7" t="s">
        <v>1967</v>
      </c>
      <c r="D140" s="7" t="s">
        <v>2319</v>
      </c>
      <c r="E140" s="74" t="s">
        <v>2320</v>
      </c>
      <c r="F140" s="7" t="s">
        <v>2097</v>
      </c>
      <c r="G140" s="7" t="s">
        <v>2097</v>
      </c>
      <c r="H140" s="9" t="n">
        <v>1500</v>
      </c>
      <c r="I140" s="9" t="n">
        <v>0</v>
      </c>
      <c r="J140" s="9" t="n">
        <v>0</v>
      </c>
      <c r="K140" s="52" t="n">
        <v>0</v>
      </c>
      <c r="L140" s="58" t="n">
        <v>30.6</v>
      </c>
      <c r="M140" s="59" t="n">
        <v>82.5</v>
      </c>
      <c r="N140" s="9" t="n">
        <v>0</v>
      </c>
      <c r="O140" s="8" t="n">
        <v>2.625</v>
      </c>
      <c r="P140" s="9" t="n">
        <v>1500</v>
      </c>
      <c r="Q140" s="7" t="s">
        <v>2098</v>
      </c>
      <c r="R140" s="7" t="s">
        <v>2321</v>
      </c>
      <c r="S140" s="58" t="n">
        <v>0</v>
      </c>
      <c r="T140" s="9" t="n">
        <v>6000</v>
      </c>
      <c r="U140" s="56" t="n">
        <f aca="false">I140*O140</f>
        <v>0</v>
      </c>
      <c r="V140" s="56" t="n">
        <f aca="false">J140*O140</f>
        <v>0</v>
      </c>
      <c r="W140" s="56" t="n">
        <f aca="false">((I140+J140)/2)*O140</f>
        <v>0</v>
      </c>
      <c r="X140" s="56" t="n">
        <f aca="false">H140*O140</f>
        <v>3937.5</v>
      </c>
    </row>
    <row r="141" customFormat="false" ht="22.35" hidden="false" customHeight="false" outlineLevel="0" collapsed="false">
      <c r="A141" s="48" t="s">
        <v>2061</v>
      </c>
      <c r="B141" s="49" t="s">
        <v>1772</v>
      </c>
      <c r="C141" s="49" t="s">
        <v>1773</v>
      </c>
      <c r="D141" s="49" t="s">
        <v>2319</v>
      </c>
      <c r="E141" s="74" t="s">
        <v>2320</v>
      </c>
      <c r="F141" s="49" t="s">
        <v>2097</v>
      </c>
      <c r="G141" s="49" t="s">
        <v>2097</v>
      </c>
      <c r="H141" s="51" t="n">
        <v>250</v>
      </c>
      <c r="I141" s="51" t="n">
        <v>0</v>
      </c>
      <c r="J141" s="51" t="n">
        <v>0</v>
      </c>
      <c r="K141" s="52" t="n">
        <v>0</v>
      </c>
      <c r="L141" s="53" t="n">
        <v>31.6</v>
      </c>
      <c r="M141" s="54" t="n">
        <v>70</v>
      </c>
      <c r="N141" s="51" t="n">
        <v>0</v>
      </c>
      <c r="O141" s="55" t="n">
        <v>2.96</v>
      </c>
      <c r="P141" s="51" t="n">
        <v>250</v>
      </c>
      <c r="Q141" s="49" t="s">
        <v>2098</v>
      </c>
      <c r="R141" s="49" t="s">
        <v>2321</v>
      </c>
      <c r="S141" s="53" t="n">
        <v>0</v>
      </c>
      <c r="T141" s="51" t="n">
        <v>500</v>
      </c>
      <c r="U141" s="56" t="n">
        <f aca="false">I141*O141</f>
        <v>0</v>
      </c>
      <c r="V141" s="56" t="n">
        <f aca="false">J141*O141</f>
        <v>0</v>
      </c>
      <c r="W141" s="56" t="n">
        <f aca="false">((I141+J141)/2)*O141</f>
        <v>0</v>
      </c>
      <c r="X141" s="56" t="n">
        <f aca="false">H141*O141</f>
        <v>740</v>
      </c>
    </row>
    <row r="142" customFormat="false" ht="15" hidden="false" customHeight="false" outlineLevel="0" collapsed="false">
      <c r="A142" s="48" t="s">
        <v>2061</v>
      </c>
      <c r="B142" s="7" t="s">
        <v>2322</v>
      </c>
      <c r="C142" s="7" t="s">
        <v>2323</v>
      </c>
      <c r="D142" s="7" t="s">
        <v>2101</v>
      </c>
      <c r="E142" s="50" t="s">
        <v>2096</v>
      </c>
      <c r="F142" s="7" t="s">
        <v>2097</v>
      </c>
      <c r="G142" s="7" t="s">
        <v>2097</v>
      </c>
      <c r="H142" s="9" t="n">
        <v>100</v>
      </c>
      <c r="I142" s="9" t="n">
        <v>22.92</v>
      </c>
      <c r="J142" s="9" t="n">
        <v>68.75</v>
      </c>
      <c r="K142" s="52" t="n">
        <v>132</v>
      </c>
      <c r="L142" s="58" t="n">
        <v>17.8</v>
      </c>
      <c r="M142" s="59" t="n">
        <v>90.5</v>
      </c>
      <c r="N142" s="9" t="n">
        <v>2.574836</v>
      </c>
      <c r="O142" s="8" t="n">
        <v>13.11</v>
      </c>
      <c r="P142" s="9" t="n">
        <v>31.25</v>
      </c>
      <c r="Q142" s="7" t="s">
        <v>2098</v>
      </c>
      <c r="R142" s="7" t="s">
        <v>2099</v>
      </c>
      <c r="S142" s="58" t="n">
        <v>0.5</v>
      </c>
      <c r="T142" s="9" t="n">
        <v>132</v>
      </c>
      <c r="U142" s="56" t="n">
        <f aca="false">I142*O142</f>
        <v>300.4812</v>
      </c>
      <c r="V142" s="56" t="n">
        <f aca="false">J142*O142</f>
        <v>901.3125</v>
      </c>
      <c r="W142" s="56" t="n">
        <f aca="false">((I142+J142)/2)*O142</f>
        <v>600.89685</v>
      </c>
      <c r="X142" s="56" t="n">
        <f aca="false">H142*O142</f>
        <v>1311</v>
      </c>
    </row>
    <row r="143" customFormat="false" ht="22.35" hidden="false" customHeight="false" outlineLevel="0" collapsed="false">
      <c r="A143" s="48" t="s">
        <v>2061</v>
      </c>
      <c r="B143" s="49" t="s">
        <v>2324</v>
      </c>
      <c r="C143" s="49" t="s">
        <v>2325</v>
      </c>
      <c r="D143" s="49" t="s">
        <v>2109</v>
      </c>
      <c r="E143" s="60" t="s">
        <v>2110</v>
      </c>
      <c r="F143" s="49" t="s">
        <v>2097</v>
      </c>
      <c r="G143" s="49" t="s">
        <v>2097</v>
      </c>
      <c r="H143" s="51" t="n">
        <v>8000</v>
      </c>
      <c r="I143" s="51" t="n">
        <v>4914.78</v>
      </c>
      <c r="J143" s="51" t="n">
        <v>8191.3</v>
      </c>
      <c r="K143" s="52" t="n">
        <v>8500</v>
      </c>
      <c r="L143" s="53" t="n">
        <v>30.4</v>
      </c>
      <c r="M143" s="54" t="n">
        <v>78.6</v>
      </c>
      <c r="N143" s="51" t="n">
        <v>107.780233</v>
      </c>
      <c r="O143" s="55" t="n">
        <v>0.5</v>
      </c>
      <c r="P143" s="51" t="n">
        <v>-191.3</v>
      </c>
      <c r="Q143" s="49" t="s">
        <v>2103</v>
      </c>
      <c r="R143" s="49" t="s">
        <v>2099</v>
      </c>
      <c r="S143" s="53" t="n">
        <v>1.5</v>
      </c>
      <c r="T143" s="51" t="n">
        <v>500</v>
      </c>
      <c r="U143" s="56" t="n">
        <f aca="false">I143*O143</f>
        <v>2457.39</v>
      </c>
      <c r="V143" s="56" t="n">
        <f aca="false">J143*O143</f>
        <v>4095.65</v>
      </c>
      <c r="W143" s="56" t="n">
        <f aca="false">((I143+J143)/2)*O143</f>
        <v>3276.52</v>
      </c>
      <c r="X143" s="56" t="n">
        <f aca="false">H143*O143</f>
        <v>4000</v>
      </c>
    </row>
    <row r="144" customFormat="false" ht="15" hidden="false" customHeight="false" outlineLevel="0" collapsed="false">
      <c r="A144" s="48" t="s">
        <v>2061</v>
      </c>
      <c r="B144" s="7" t="s">
        <v>2326</v>
      </c>
      <c r="C144" s="7" t="s">
        <v>2327</v>
      </c>
      <c r="D144" s="7" t="s">
        <v>2095</v>
      </c>
      <c r="E144" s="50" t="s">
        <v>2096</v>
      </c>
      <c r="F144" s="7" t="s">
        <v>2097</v>
      </c>
      <c r="G144" s="7" t="s">
        <v>2097</v>
      </c>
      <c r="H144" s="9" t="n">
        <v>2328</v>
      </c>
      <c r="I144" s="9" t="n">
        <v>1141.83</v>
      </c>
      <c r="J144" s="9" t="n">
        <v>2283.66</v>
      </c>
      <c r="K144" s="52" t="n">
        <v>2500</v>
      </c>
      <c r="L144" s="58" t="n">
        <v>37.9</v>
      </c>
      <c r="M144" s="59" t="n">
        <v>76.8</v>
      </c>
      <c r="N144" s="9" t="n">
        <v>30.127425</v>
      </c>
      <c r="O144" s="8" t="n">
        <v>0.7397</v>
      </c>
      <c r="P144" s="9" t="n">
        <v>44.34</v>
      </c>
      <c r="Q144" s="7" t="s">
        <v>2098</v>
      </c>
      <c r="R144" s="7" t="s">
        <v>2099</v>
      </c>
      <c r="S144" s="58" t="n">
        <v>1</v>
      </c>
      <c r="T144" s="9" t="n">
        <v>500</v>
      </c>
      <c r="U144" s="56" t="n">
        <f aca="false">I144*O144</f>
        <v>844.611651</v>
      </c>
      <c r="V144" s="56" t="n">
        <f aca="false">J144*O144</f>
        <v>1689.223302</v>
      </c>
      <c r="W144" s="56" t="n">
        <f aca="false">((I144+J144)/2)*O144</f>
        <v>1266.9174765</v>
      </c>
      <c r="X144" s="56" t="n">
        <f aca="false">H144*O144</f>
        <v>1722.0216</v>
      </c>
    </row>
    <row r="145" customFormat="false" ht="22.35" hidden="false" customHeight="false" outlineLevel="0" collapsed="false">
      <c r="A145" s="48" t="s">
        <v>2061</v>
      </c>
      <c r="B145" s="4" t="s">
        <v>2328</v>
      </c>
      <c r="C145" s="4" t="s">
        <v>2329</v>
      </c>
      <c r="D145" s="4" t="s">
        <v>2101</v>
      </c>
      <c r="E145" s="70" t="s">
        <v>2193</v>
      </c>
      <c r="F145" s="4" t="s">
        <v>2097</v>
      </c>
      <c r="G145" s="71" t="s">
        <v>2194</v>
      </c>
      <c r="H145" s="6" t="n">
        <v>100</v>
      </c>
      <c r="I145" s="6" t="n">
        <v>0</v>
      </c>
      <c r="J145" s="6" t="n">
        <v>0</v>
      </c>
      <c r="K145" s="52" t="n">
        <v>0</v>
      </c>
      <c r="L145" s="72" t="n">
        <v>42.9</v>
      </c>
      <c r="M145" s="73" t="n">
        <v>62.5</v>
      </c>
      <c r="N145" s="6" t="n">
        <v>2.483945</v>
      </c>
      <c r="O145" s="5" t="n">
        <v>1.47</v>
      </c>
      <c r="P145" s="6" t="n">
        <v>100</v>
      </c>
      <c r="Q145" s="4" t="s">
        <v>2098</v>
      </c>
      <c r="R145" s="4" t="s">
        <v>2195</v>
      </c>
      <c r="S145" s="72" t="n">
        <v>0</v>
      </c>
      <c r="T145" s="6" t="n">
        <v>200</v>
      </c>
      <c r="U145" s="56" t="n">
        <f aca="false">I145*O145</f>
        <v>0</v>
      </c>
      <c r="V145" s="56" t="n">
        <f aca="false">J145*O145</f>
        <v>0</v>
      </c>
      <c r="W145" s="56" t="n">
        <f aca="false">((I145+J145)/2)*O145</f>
        <v>0</v>
      </c>
      <c r="X145" s="56" t="n">
        <f aca="false">H145*O145</f>
        <v>147</v>
      </c>
    </row>
    <row r="146" customFormat="false" ht="22.35" hidden="false" customHeight="false" outlineLevel="0" collapsed="false">
      <c r="A146" s="48" t="s">
        <v>2061</v>
      </c>
      <c r="B146" s="7" t="s">
        <v>2330</v>
      </c>
      <c r="C146" s="7" t="s">
        <v>2331</v>
      </c>
      <c r="D146" s="7" t="s">
        <v>2095</v>
      </c>
      <c r="E146" s="61" t="s">
        <v>2113</v>
      </c>
      <c r="F146" s="7" t="s">
        <v>2097</v>
      </c>
      <c r="G146" s="7" t="s">
        <v>2097</v>
      </c>
      <c r="H146" s="9" t="n">
        <v>1341</v>
      </c>
      <c r="I146" s="9" t="n">
        <v>1224.75</v>
      </c>
      <c r="J146" s="9" t="n">
        <v>2449.5</v>
      </c>
      <c r="K146" s="52" t="n">
        <v>4000</v>
      </c>
      <c r="L146" s="58" t="n">
        <v>40.7</v>
      </c>
      <c r="M146" s="59" t="n">
        <v>84.7</v>
      </c>
      <c r="N146" s="9" t="n">
        <v>30.092068</v>
      </c>
      <c r="O146" s="8" t="n">
        <v>2.7943</v>
      </c>
      <c r="P146" s="9" t="n">
        <v>-1108.5</v>
      </c>
      <c r="Q146" s="7" t="s">
        <v>2103</v>
      </c>
      <c r="R146" s="7" t="s">
        <v>2099</v>
      </c>
      <c r="S146" s="58" t="n">
        <v>1</v>
      </c>
      <c r="T146" s="9" t="n">
        <v>2000</v>
      </c>
      <c r="U146" s="56" t="n">
        <f aca="false">I146*O146</f>
        <v>3422.318925</v>
      </c>
      <c r="V146" s="56" t="n">
        <f aca="false">J146*O146</f>
        <v>6844.63785</v>
      </c>
      <c r="W146" s="56" t="n">
        <f aca="false">((I146+J146)/2)*O146</f>
        <v>5133.4783875</v>
      </c>
      <c r="X146" s="56" t="n">
        <f aca="false">H146*O146</f>
        <v>3747.1563</v>
      </c>
    </row>
    <row r="147" customFormat="false" ht="22.35" hidden="false" customHeight="false" outlineLevel="0" collapsed="false">
      <c r="A147" s="48" t="s">
        <v>2061</v>
      </c>
      <c r="B147" s="49" t="s">
        <v>2332</v>
      </c>
      <c r="C147" s="49" t="s">
        <v>2333</v>
      </c>
      <c r="D147" s="49" t="s">
        <v>2095</v>
      </c>
      <c r="E147" s="61" t="s">
        <v>2113</v>
      </c>
      <c r="F147" s="49" t="s">
        <v>2097</v>
      </c>
      <c r="G147" s="49" t="s">
        <v>2097</v>
      </c>
      <c r="H147" s="51" t="n">
        <v>7000</v>
      </c>
      <c r="I147" s="51" t="n">
        <v>8506.98</v>
      </c>
      <c r="J147" s="51" t="n">
        <v>17013.96</v>
      </c>
      <c r="K147" s="52" t="n">
        <v>18000</v>
      </c>
      <c r="L147" s="53" t="n">
        <v>30.9</v>
      </c>
      <c r="M147" s="54" t="n">
        <v>77.2</v>
      </c>
      <c r="N147" s="51" t="n">
        <v>275.306671</v>
      </c>
      <c r="O147" s="55" t="n">
        <v>1.15</v>
      </c>
      <c r="P147" s="51" t="n">
        <v>-10013.96</v>
      </c>
      <c r="Q147" s="49" t="s">
        <v>2103</v>
      </c>
      <c r="R147" s="49" t="s">
        <v>2099</v>
      </c>
      <c r="S147" s="53" t="n">
        <v>1</v>
      </c>
      <c r="T147" s="51" t="n">
        <v>2000</v>
      </c>
      <c r="U147" s="56" t="n">
        <f aca="false">I147*O147</f>
        <v>9783.027</v>
      </c>
      <c r="V147" s="56" t="n">
        <f aca="false">J147*O147</f>
        <v>19566.054</v>
      </c>
      <c r="W147" s="56" t="n">
        <f aca="false">((I147+J147)/2)*O147</f>
        <v>14674.5405</v>
      </c>
      <c r="X147" s="56" t="n">
        <f aca="false">H147*O147</f>
        <v>8050</v>
      </c>
    </row>
    <row r="148" customFormat="false" ht="22.35" hidden="false" customHeight="false" outlineLevel="0" collapsed="false">
      <c r="A148" s="48" t="s">
        <v>2061</v>
      </c>
      <c r="B148" s="7" t="s">
        <v>2334</v>
      </c>
      <c r="C148" s="7" t="s">
        <v>2327</v>
      </c>
      <c r="D148" s="7" t="s">
        <v>2095</v>
      </c>
      <c r="E148" s="61" t="s">
        <v>2113</v>
      </c>
      <c r="F148" s="7" t="s">
        <v>2097</v>
      </c>
      <c r="G148" s="7" t="s">
        <v>2097</v>
      </c>
      <c r="H148" s="9" t="n">
        <v>8000</v>
      </c>
      <c r="I148" s="9" t="n">
        <v>12869.61</v>
      </c>
      <c r="J148" s="9" t="n">
        <v>25739.22</v>
      </c>
      <c r="K148" s="52" t="n">
        <v>27300</v>
      </c>
      <c r="L148" s="58" t="n">
        <v>44.7</v>
      </c>
      <c r="M148" s="59" t="n">
        <v>53.3</v>
      </c>
      <c r="N148" s="9" t="n">
        <v>287.910658</v>
      </c>
      <c r="O148" s="8" t="n">
        <v>0.952</v>
      </c>
      <c r="P148" s="9" t="n">
        <v>-17739.22</v>
      </c>
      <c r="Q148" s="7" t="s">
        <v>2103</v>
      </c>
      <c r="R148" s="7" t="s">
        <v>2099</v>
      </c>
      <c r="S148" s="58" t="n">
        <v>1</v>
      </c>
      <c r="T148" s="9" t="n">
        <v>2100</v>
      </c>
      <c r="U148" s="56" t="n">
        <f aca="false">I148*O148</f>
        <v>12251.86872</v>
      </c>
      <c r="V148" s="56" t="n">
        <f aca="false">J148*O148</f>
        <v>24503.73744</v>
      </c>
      <c r="W148" s="56" t="n">
        <f aca="false">((I148+J148)/2)*O148</f>
        <v>18377.80308</v>
      </c>
      <c r="X148" s="56" t="n">
        <f aca="false">H148*O148</f>
        <v>7616</v>
      </c>
    </row>
    <row r="149" customFormat="false" ht="22.35" hidden="false" customHeight="false" outlineLevel="0" collapsed="false">
      <c r="A149" s="48" t="s">
        <v>2061</v>
      </c>
      <c r="B149" s="49" t="s">
        <v>2335</v>
      </c>
      <c r="C149" s="49" t="s">
        <v>2336</v>
      </c>
      <c r="D149" s="49" t="s">
        <v>2109</v>
      </c>
      <c r="E149" s="60" t="s">
        <v>2110</v>
      </c>
      <c r="F149" s="49" t="s">
        <v>2097</v>
      </c>
      <c r="G149" s="49" t="s">
        <v>2097</v>
      </c>
      <c r="H149" s="51" t="n">
        <v>30000</v>
      </c>
      <c r="I149" s="51" t="n">
        <v>55668.64</v>
      </c>
      <c r="J149" s="51" t="n">
        <v>92781.07</v>
      </c>
      <c r="K149" s="52" t="n">
        <v>92781.07</v>
      </c>
      <c r="L149" s="53" t="n">
        <v>31.1</v>
      </c>
      <c r="M149" s="54" t="n">
        <v>65.5</v>
      </c>
      <c r="N149" s="51" t="n">
        <v>1193.325571</v>
      </c>
      <c r="O149" s="55" t="n">
        <v>0.3424</v>
      </c>
      <c r="P149" s="51" t="n">
        <v>-62781.07</v>
      </c>
      <c r="Q149" s="49" t="s">
        <v>2103</v>
      </c>
      <c r="R149" s="49" t="s">
        <v>2099</v>
      </c>
      <c r="S149" s="53" t="n">
        <v>1.5</v>
      </c>
      <c r="T149" s="51" t="n">
        <v>1</v>
      </c>
      <c r="U149" s="56" t="n">
        <f aca="false">I149*O149</f>
        <v>19060.942336</v>
      </c>
      <c r="V149" s="56" t="n">
        <f aca="false">J149*O149</f>
        <v>31768.238368</v>
      </c>
      <c r="W149" s="56" t="n">
        <f aca="false">((I149+J149)/2)*O149</f>
        <v>25414.590352</v>
      </c>
      <c r="X149" s="56" t="n">
        <f aca="false">H149*O149</f>
        <v>10272</v>
      </c>
    </row>
    <row r="150" customFormat="false" ht="22.35" hidden="false" customHeight="false" outlineLevel="0" collapsed="false">
      <c r="A150" s="48" t="s">
        <v>2061</v>
      </c>
      <c r="B150" s="7" t="s">
        <v>2337</v>
      </c>
      <c r="C150" s="7" t="s">
        <v>2325</v>
      </c>
      <c r="D150" s="7" t="s">
        <v>2095</v>
      </c>
      <c r="E150" s="61" t="s">
        <v>2113</v>
      </c>
      <c r="F150" s="7" t="s">
        <v>2097</v>
      </c>
      <c r="G150" s="7" t="s">
        <v>2097</v>
      </c>
      <c r="H150" s="9" t="n">
        <v>14000</v>
      </c>
      <c r="I150" s="9" t="n">
        <v>19513.38</v>
      </c>
      <c r="J150" s="9" t="n">
        <v>39026.76</v>
      </c>
      <c r="K150" s="52" t="n">
        <v>40000</v>
      </c>
      <c r="L150" s="58" t="n">
        <v>32.5</v>
      </c>
      <c r="M150" s="59" t="n">
        <v>56.8</v>
      </c>
      <c r="N150" s="9" t="n">
        <v>600.411808</v>
      </c>
      <c r="O150" s="8" t="n">
        <v>0.451</v>
      </c>
      <c r="P150" s="9" t="n">
        <v>-25026.76</v>
      </c>
      <c r="Q150" s="7" t="s">
        <v>2103</v>
      </c>
      <c r="R150" s="7" t="s">
        <v>2099</v>
      </c>
      <c r="S150" s="58" t="n">
        <v>1</v>
      </c>
      <c r="T150" s="9" t="n">
        <v>2500</v>
      </c>
      <c r="U150" s="56" t="n">
        <f aca="false">I150*O150</f>
        <v>8800.53438</v>
      </c>
      <c r="V150" s="56" t="n">
        <f aca="false">J150*O150</f>
        <v>17601.06876</v>
      </c>
      <c r="W150" s="56" t="n">
        <f aca="false">((I150+J150)/2)*O150</f>
        <v>13200.80157</v>
      </c>
      <c r="X150" s="56" t="n">
        <f aca="false">H150*O150</f>
        <v>6314</v>
      </c>
    </row>
    <row r="151" customFormat="false" ht="22.35" hidden="false" customHeight="false" outlineLevel="0" collapsed="false">
      <c r="A151" s="48" t="s">
        <v>2061</v>
      </c>
      <c r="B151" s="49" t="s">
        <v>2338</v>
      </c>
      <c r="C151" s="49" t="s">
        <v>2339</v>
      </c>
      <c r="D151" s="49" t="s">
        <v>2095</v>
      </c>
      <c r="E151" s="61" t="s">
        <v>2113</v>
      </c>
      <c r="F151" s="49" t="s">
        <v>2097</v>
      </c>
      <c r="G151" s="49" t="s">
        <v>2097</v>
      </c>
      <c r="H151" s="51" t="n">
        <v>136</v>
      </c>
      <c r="I151" s="51" t="n">
        <v>149.51</v>
      </c>
      <c r="J151" s="51" t="n">
        <v>299.02</v>
      </c>
      <c r="K151" s="52" t="n">
        <v>300</v>
      </c>
      <c r="L151" s="53" t="n">
        <v>25.4</v>
      </c>
      <c r="M151" s="54" t="n">
        <v>80</v>
      </c>
      <c r="N151" s="51" t="n">
        <v>5.886288</v>
      </c>
      <c r="O151" s="55" t="n">
        <v>0.8003</v>
      </c>
      <c r="P151" s="51" t="n">
        <v>-163.02</v>
      </c>
      <c r="Q151" s="49" t="s">
        <v>2103</v>
      </c>
      <c r="R151" s="49" t="s">
        <v>2099</v>
      </c>
      <c r="S151" s="53" t="n">
        <v>1</v>
      </c>
      <c r="T151" s="51" t="n">
        <v>100</v>
      </c>
      <c r="U151" s="56" t="n">
        <f aca="false">I151*O151</f>
        <v>119.652853</v>
      </c>
      <c r="V151" s="56" t="n">
        <f aca="false">J151*O151</f>
        <v>239.305706</v>
      </c>
      <c r="W151" s="56" t="n">
        <f aca="false">((I151+J151)/2)*O151</f>
        <v>179.4792795</v>
      </c>
      <c r="X151" s="56" t="n">
        <f aca="false">H151*O151</f>
        <v>108.8408</v>
      </c>
    </row>
    <row r="152" customFormat="false" ht="22.35" hidden="false" customHeight="false" outlineLevel="0" collapsed="false">
      <c r="A152" s="48" t="s">
        <v>2061</v>
      </c>
      <c r="B152" s="7" t="s">
        <v>2340</v>
      </c>
      <c r="C152" s="7" t="s">
        <v>2325</v>
      </c>
      <c r="D152" s="7" t="s">
        <v>2109</v>
      </c>
      <c r="E152" s="60" t="s">
        <v>2110</v>
      </c>
      <c r="F152" s="7" t="s">
        <v>2097</v>
      </c>
      <c r="G152" s="7" t="s">
        <v>2097</v>
      </c>
      <c r="H152" s="9" t="n">
        <v>19000</v>
      </c>
      <c r="I152" s="9" t="n">
        <v>23314.18</v>
      </c>
      <c r="J152" s="9" t="n">
        <v>38856.96</v>
      </c>
      <c r="K152" s="52" t="n">
        <v>38856.96</v>
      </c>
      <c r="L152" s="58" t="n">
        <v>26.8</v>
      </c>
      <c r="M152" s="59" t="n">
        <v>81</v>
      </c>
      <c r="N152" s="9" t="n">
        <v>579.954658</v>
      </c>
      <c r="O152" s="8" t="n">
        <v>0.54</v>
      </c>
      <c r="P152" s="9" t="n">
        <v>-19856.96</v>
      </c>
      <c r="Q152" s="7" t="s">
        <v>2103</v>
      </c>
      <c r="R152" s="7" t="s">
        <v>2099</v>
      </c>
      <c r="S152" s="58" t="n">
        <v>1.5</v>
      </c>
      <c r="T152" s="9" t="n">
        <v>1</v>
      </c>
      <c r="U152" s="56" t="n">
        <f aca="false">I152*O152</f>
        <v>12589.6572</v>
      </c>
      <c r="V152" s="56" t="n">
        <f aca="false">J152*O152</f>
        <v>20982.7584</v>
      </c>
      <c r="W152" s="56" t="n">
        <f aca="false">((I152+J152)/2)*O152</f>
        <v>16786.2078</v>
      </c>
      <c r="X152" s="56" t="n">
        <f aca="false">H152*O152</f>
        <v>10260</v>
      </c>
    </row>
    <row r="153" customFormat="false" ht="22.35" hidden="false" customHeight="false" outlineLevel="0" collapsed="false">
      <c r="A153" s="48" t="s">
        <v>2061</v>
      </c>
      <c r="B153" s="49" t="s">
        <v>2341</v>
      </c>
      <c r="C153" s="49" t="s">
        <v>1795</v>
      </c>
      <c r="D153" s="49" t="s">
        <v>2095</v>
      </c>
      <c r="E153" s="61" t="s">
        <v>2113</v>
      </c>
      <c r="F153" s="49" t="s">
        <v>2097</v>
      </c>
      <c r="G153" s="49" t="s">
        <v>2097</v>
      </c>
      <c r="H153" s="51" t="n">
        <v>2375</v>
      </c>
      <c r="I153" s="51" t="n">
        <v>3051.98</v>
      </c>
      <c r="J153" s="51" t="n">
        <v>6103.96</v>
      </c>
      <c r="K153" s="52" t="n">
        <v>6300</v>
      </c>
      <c r="L153" s="53" t="n">
        <v>43.3</v>
      </c>
      <c r="M153" s="54" t="n">
        <v>70.1</v>
      </c>
      <c r="N153" s="51" t="n">
        <v>70.484488</v>
      </c>
      <c r="O153" s="55" t="n">
        <v>5.6</v>
      </c>
      <c r="P153" s="51" t="n">
        <v>-3728.96</v>
      </c>
      <c r="Q153" s="49" t="s">
        <v>2103</v>
      </c>
      <c r="R153" s="49" t="s">
        <v>2099</v>
      </c>
      <c r="S153" s="53" t="n">
        <v>1</v>
      </c>
      <c r="T153" s="51" t="n">
        <v>1260</v>
      </c>
      <c r="U153" s="56" t="n">
        <f aca="false">I153*O153</f>
        <v>17091.088</v>
      </c>
      <c r="V153" s="56" t="n">
        <f aca="false">J153*O153</f>
        <v>34182.176</v>
      </c>
      <c r="W153" s="56" t="n">
        <f aca="false">((I153+J153)/2)*O153</f>
        <v>25636.632</v>
      </c>
      <c r="X153" s="56" t="n">
        <f aca="false">H153*O153</f>
        <v>13300</v>
      </c>
    </row>
    <row r="154" customFormat="false" ht="22.35" hidden="false" customHeight="false" outlineLevel="0" collapsed="false">
      <c r="A154" s="48" t="s">
        <v>2061</v>
      </c>
      <c r="B154" s="7" t="s">
        <v>2342</v>
      </c>
      <c r="C154" s="7" t="s">
        <v>2343</v>
      </c>
      <c r="D154" s="7" t="s">
        <v>2095</v>
      </c>
      <c r="E154" s="61" t="s">
        <v>2113</v>
      </c>
      <c r="F154" s="7" t="s">
        <v>2097</v>
      </c>
      <c r="G154" s="7" t="s">
        <v>2097</v>
      </c>
      <c r="H154" s="9" t="n">
        <v>100</v>
      </c>
      <c r="I154" s="9" t="n">
        <v>102.96</v>
      </c>
      <c r="J154" s="9" t="n">
        <v>205.92</v>
      </c>
      <c r="K154" s="52" t="n">
        <v>500</v>
      </c>
      <c r="L154" s="58" t="n">
        <v>49.1</v>
      </c>
      <c r="M154" s="59" t="n">
        <v>79.5</v>
      </c>
      <c r="N154" s="9" t="n">
        <v>2.096945</v>
      </c>
      <c r="O154" s="8" t="n">
        <v>1.343</v>
      </c>
      <c r="P154" s="9" t="n">
        <v>-105.92</v>
      </c>
      <c r="Q154" s="7" t="s">
        <v>2103</v>
      </c>
      <c r="R154" s="7" t="s">
        <v>2099</v>
      </c>
      <c r="S154" s="58" t="n">
        <v>1</v>
      </c>
      <c r="T154" s="9" t="n">
        <v>500</v>
      </c>
      <c r="U154" s="56" t="n">
        <f aca="false">I154*O154</f>
        <v>138.27528</v>
      </c>
      <c r="V154" s="56" t="n">
        <f aca="false">J154*O154</f>
        <v>276.55056</v>
      </c>
      <c r="W154" s="56" t="n">
        <f aca="false">((I154+J154)/2)*O154</f>
        <v>207.41292</v>
      </c>
      <c r="X154" s="56" t="n">
        <f aca="false">H154*O154</f>
        <v>134.3</v>
      </c>
    </row>
    <row r="155" customFormat="false" ht="22.35" hidden="false" customHeight="false" outlineLevel="0" collapsed="false">
      <c r="A155" s="48" t="s">
        <v>2061</v>
      </c>
      <c r="B155" s="49" t="s">
        <v>2344</v>
      </c>
      <c r="C155" s="49" t="s">
        <v>2345</v>
      </c>
      <c r="D155" s="49" t="s">
        <v>2109</v>
      </c>
      <c r="E155" s="60" t="s">
        <v>2110</v>
      </c>
      <c r="F155" s="49" t="s">
        <v>2097</v>
      </c>
      <c r="G155" s="49" t="s">
        <v>2097</v>
      </c>
      <c r="H155" s="51" t="n">
        <v>24000</v>
      </c>
      <c r="I155" s="51" t="n">
        <v>28167.33</v>
      </c>
      <c r="J155" s="51" t="n">
        <v>46945.55</v>
      </c>
      <c r="K155" s="52" t="n">
        <v>48000</v>
      </c>
      <c r="L155" s="53" t="n">
        <v>24</v>
      </c>
      <c r="M155" s="54" t="n">
        <v>89.7</v>
      </c>
      <c r="N155" s="51" t="n">
        <v>782.425781</v>
      </c>
      <c r="O155" s="55" t="n">
        <v>1.359</v>
      </c>
      <c r="P155" s="51" t="n">
        <v>-22945.55</v>
      </c>
      <c r="Q155" s="49" t="s">
        <v>2103</v>
      </c>
      <c r="R155" s="49" t="s">
        <v>2099</v>
      </c>
      <c r="S155" s="53" t="n">
        <v>1.5</v>
      </c>
      <c r="T155" s="51" t="n">
        <v>4000</v>
      </c>
      <c r="U155" s="56" t="n">
        <f aca="false">I155*O155</f>
        <v>38279.40147</v>
      </c>
      <c r="V155" s="56" t="n">
        <f aca="false">J155*O155</f>
        <v>63799.00245</v>
      </c>
      <c r="W155" s="56" t="n">
        <f aca="false">((I155+J155)/2)*O155</f>
        <v>51039.20196</v>
      </c>
      <c r="X155" s="56" t="n">
        <f aca="false">H155*O155</f>
        <v>32616</v>
      </c>
    </row>
    <row r="156" customFormat="false" ht="22.35" hidden="false" customHeight="false" outlineLevel="0" collapsed="false">
      <c r="A156" s="48" t="s">
        <v>2061</v>
      </c>
      <c r="B156" s="7" t="s">
        <v>2346</v>
      </c>
      <c r="C156" s="7" t="s">
        <v>2336</v>
      </c>
      <c r="D156" s="7" t="s">
        <v>2095</v>
      </c>
      <c r="E156" s="61" t="s">
        <v>2113</v>
      </c>
      <c r="F156" s="7" t="s">
        <v>2097</v>
      </c>
      <c r="G156" s="7" t="s">
        <v>2097</v>
      </c>
      <c r="H156" s="9" t="n">
        <v>20000</v>
      </c>
      <c r="I156" s="9" t="n">
        <v>18375.64</v>
      </c>
      <c r="J156" s="9" t="n">
        <v>36751.28</v>
      </c>
      <c r="K156" s="52" t="n">
        <v>36751.28</v>
      </c>
      <c r="L156" s="58" t="n">
        <v>29.6</v>
      </c>
      <c r="M156" s="59" t="n">
        <v>81.2</v>
      </c>
      <c r="N156" s="9" t="n">
        <v>620.798639</v>
      </c>
      <c r="O156" s="8" t="n">
        <v>0.4533</v>
      </c>
      <c r="P156" s="9" t="n">
        <v>-16751.28</v>
      </c>
      <c r="Q156" s="7" t="s">
        <v>2103</v>
      </c>
      <c r="R156" s="7" t="s">
        <v>2099</v>
      </c>
      <c r="S156" s="58" t="n">
        <v>1</v>
      </c>
      <c r="T156" s="9" t="n">
        <v>1</v>
      </c>
      <c r="U156" s="56" t="n">
        <f aca="false">I156*O156</f>
        <v>8329.677612</v>
      </c>
      <c r="V156" s="56" t="n">
        <f aca="false">J156*O156</f>
        <v>16659.355224</v>
      </c>
      <c r="W156" s="56" t="n">
        <f aca="false">((I156+J156)/2)*O156</f>
        <v>12494.516418</v>
      </c>
      <c r="X156" s="56" t="n">
        <f aca="false">H156*O156</f>
        <v>9066</v>
      </c>
    </row>
    <row r="157" customFormat="false" ht="22.35" hidden="false" customHeight="false" outlineLevel="0" collapsed="false">
      <c r="A157" s="48" t="s">
        <v>2061</v>
      </c>
      <c r="B157" s="49" t="s">
        <v>2347</v>
      </c>
      <c r="C157" s="49" t="s">
        <v>1795</v>
      </c>
      <c r="D157" s="49" t="s">
        <v>2101</v>
      </c>
      <c r="E157" s="57" t="s">
        <v>2102</v>
      </c>
      <c r="F157" s="49" t="s">
        <v>2097</v>
      </c>
      <c r="G157" s="49" t="s">
        <v>2097</v>
      </c>
      <c r="H157" s="51" t="n">
        <v>436</v>
      </c>
      <c r="I157" s="51" t="n">
        <v>222.51</v>
      </c>
      <c r="J157" s="51" t="n">
        <v>667.54</v>
      </c>
      <c r="K157" s="52" t="n">
        <v>1080</v>
      </c>
      <c r="L157" s="53" t="n">
        <v>25.4</v>
      </c>
      <c r="M157" s="54" t="n">
        <v>75</v>
      </c>
      <c r="N157" s="51" t="n">
        <v>17.520836</v>
      </c>
      <c r="O157" s="55" t="n">
        <v>2.685</v>
      </c>
      <c r="P157" s="51" t="n">
        <v>-231.54</v>
      </c>
      <c r="Q157" s="49" t="s">
        <v>2103</v>
      </c>
      <c r="R157" s="49" t="s">
        <v>2099</v>
      </c>
      <c r="S157" s="53" t="n">
        <v>0.5</v>
      </c>
      <c r="T157" s="51" t="n">
        <v>1080</v>
      </c>
      <c r="U157" s="56" t="n">
        <f aca="false">I157*O157</f>
        <v>597.43935</v>
      </c>
      <c r="V157" s="56" t="n">
        <f aca="false">J157*O157</f>
        <v>1792.3449</v>
      </c>
      <c r="W157" s="56" t="n">
        <f aca="false">((I157+J157)/2)*O157</f>
        <v>1194.892125</v>
      </c>
      <c r="X157" s="56" t="n">
        <f aca="false">H157*O157</f>
        <v>1170.66</v>
      </c>
    </row>
    <row r="158" customFormat="false" ht="22.35" hidden="false" customHeight="false" outlineLevel="0" collapsed="false">
      <c r="A158" s="48" t="s">
        <v>2061</v>
      </c>
      <c r="B158" s="7" t="s">
        <v>2348</v>
      </c>
      <c r="C158" s="7" t="s">
        <v>2349</v>
      </c>
      <c r="D158" s="7" t="s">
        <v>2095</v>
      </c>
      <c r="E158" s="61" t="s">
        <v>2113</v>
      </c>
      <c r="F158" s="7" t="s">
        <v>2097</v>
      </c>
      <c r="G158" s="7" t="s">
        <v>2097</v>
      </c>
      <c r="H158" s="9" t="n">
        <v>3005</v>
      </c>
      <c r="I158" s="9" t="n">
        <v>6096.43</v>
      </c>
      <c r="J158" s="9" t="n">
        <v>12192.86</v>
      </c>
      <c r="K158" s="52" t="n">
        <v>13200</v>
      </c>
      <c r="L158" s="58" t="n">
        <v>59.1</v>
      </c>
      <c r="M158" s="59" t="n">
        <v>71.9</v>
      </c>
      <c r="N158" s="9" t="n">
        <v>103.154534</v>
      </c>
      <c r="O158" s="8" t="n">
        <v>4.17</v>
      </c>
      <c r="P158" s="9" t="n">
        <v>-9187.86</v>
      </c>
      <c r="Q158" s="7" t="s">
        <v>2103</v>
      </c>
      <c r="R158" s="7" t="s">
        <v>2099</v>
      </c>
      <c r="S158" s="58" t="n">
        <v>1</v>
      </c>
      <c r="T158" s="9" t="n">
        <v>3300</v>
      </c>
      <c r="U158" s="56" t="n">
        <f aca="false">I158*O158</f>
        <v>25422.1131</v>
      </c>
      <c r="V158" s="56" t="n">
        <f aca="false">J158*O158</f>
        <v>50844.2262</v>
      </c>
      <c r="W158" s="56" t="n">
        <f aca="false">((I158+J158)/2)*O158</f>
        <v>38133.16965</v>
      </c>
      <c r="X158" s="56" t="n">
        <f aca="false">H158*O158</f>
        <v>12530.85</v>
      </c>
    </row>
    <row r="159" customFormat="false" ht="22.35" hidden="false" customHeight="false" outlineLevel="0" collapsed="false">
      <c r="A159" s="48" t="s">
        <v>2061</v>
      </c>
      <c r="B159" s="49" t="s">
        <v>2350</v>
      </c>
      <c r="C159" s="49" t="s">
        <v>2351</v>
      </c>
      <c r="D159" s="49" t="s">
        <v>2101</v>
      </c>
      <c r="E159" s="57" t="s">
        <v>2102</v>
      </c>
      <c r="F159" s="49" t="s">
        <v>2097</v>
      </c>
      <c r="G159" s="49" t="s">
        <v>2097</v>
      </c>
      <c r="H159" s="51" t="n">
        <v>1261</v>
      </c>
      <c r="I159" s="51" t="n">
        <v>1610.43</v>
      </c>
      <c r="J159" s="51" t="n">
        <v>4831.28</v>
      </c>
      <c r="K159" s="52" t="n">
        <v>4960</v>
      </c>
      <c r="L159" s="53" t="n">
        <v>74.4</v>
      </c>
      <c r="M159" s="54" t="n">
        <v>88.4</v>
      </c>
      <c r="N159" s="51" t="n">
        <v>43.29105</v>
      </c>
      <c r="O159" s="55" t="n">
        <v>32.3</v>
      </c>
      <c r="P159" s="51" t="n">
        <v>-3570.28</v>
      </c>
      <c r="Q159" s="49" t="s">
        <v>2103</v>
      </c>
      <c r="R159" s="49" t="s">
        <v>2099</v>
      </c>
      <c r="S159" s="53" t="n">
        <v>0.5</v>
      </c>
      <c r="T159" s="51" t="n">
        <v>1240</v>
      </c>
      <c r="U159" s="56" t="n">
        <f aca="false">I159*O159</f>
        <v>52016.889</v>
      </c>
      <c r="V159" s="56" t="n">
        <f aca="false">J159*O159</f>
        <v>156050.344</v>
      </c>
      <c r="W159" s="56" t="n">
        <f aca="false">((I159+J159)/2)*O159</f>
        <v>104033.6165</v>
      </c>
      <c r="X159" s="56" t="n">
        <f aca="false">H159*O159</f>
        <v>40730.3</v>
      </c>
    </row>
    <row r="160" customFormat="false" ht="22.35" hidden="false" customHeight="false" outlineLevel="0" collapsed="false">
      <c r="A160" s="48" t="s">
        <v>2061</v>
      </c>
      <c r="B160" s="7" t="s">
        <v>2352</v>
      </c>
      <c r="C160" s="7" t="s">
        <v>2351</v>
      </c>
      <c r="D160" s="7" t="s">
        <v>2101</v>
      </c>
      <c r="E160" s="57" t="s">
        <v>2102</v>
      </c>
      <c r="F160" s="7" t="s">
        <v>2097</v>
      </c>
      <c r="G160" s="7" t="s">
        <v>2097</v>
      </c>
      <c r="H160" s="9" t="n">
        <v>1143</v>
      </c>
      <c r="I160" s="9" t="n">
        <v>1622.98</v>
      </c>
      <c r="J160" s="9" t="n">
        <v>4868.94</v>
      </c>
      <c r="K160" s="52" t="n">
        <v>5400</v>
      </c>
      <c r="L160" s="58" t="n">
        <v>82.7</v>
      </c>
      <c r="M160" s="59" t="n">
        <v>56.7</v>
      </c>
      <c r="N160" s="9" t="n">
        <v>39.249828</v>
      </c>
      <c r="O160" s="8" t="n">
        <v>12.61</v>
      </c>
      <c r="P160" s="9" t="n">
        <v>-3725.94</v>
      </c>
      <c r="Q160" s="7" t="s">
        <v>2103</v>
      </c>
      <c r="R160" s="7" t="s">
        <v>2099</v>
      </c>
      <c r="S160" s="58" t="n">
        <v>0.5</v>
      </c>
      <c r="T160" s="9" t="n">
        <v>600</v>
      </c>
      <c r="U160" s="56" t="n">
        <f aca="false">I160*O160</f>
        <v>20465.7778</v>
      </c>
      <c r="V160" s="56" t="n">
        <f aca="false">J160*O160</f>
        <v>61397.3334</v>
      </c>
      <c r="W160" s="56" t="n">
        <f aca="false">((I160+J160)/2)*O160</f>
        <v>40931.5556</v>
      </c>
      <c r="X160" s="56" t="n">
        <f aca="false">H160*O160</f>
        <v>14413.23</v>
      </c>
    </row>
    <row r="161" customFormat="false" ht="22.35" hidden="false" customHeight="false" outlineLevel="0" collapsed="false">
      <c r="A161" s="48" t="s">
        <v>2061</v>
      </c>
      <c r="B161" s="49" t="s">
        <v>2353</v>
      </c>
      <c r="C161" s="49" t="s">
        <v>2354</v>
      </c>
      <c r="D161" s="49" t="s">
        <v>2101</v>
      </c>
      <c r="E161" s="57" t="s">
        <v>2102</v>
      </c>
      <c r="F161" s="49" t="s">
        <v>2097</v>
      </c>
      <c r="G161" s="49" t="s">
        <v>2097</v>
      </c>
      <c r="H161" s="51" t="n">
        <v>3009</v>
      </c>
      <c r="I161" s="51" t="n">
        <v>3357.51</v>
      </c>
      <c r="J161" s="51" t="n">
        <v>10072.52</v>
      </c>
      <c r="K161" s="52" t="n">
        <v>12000</v>
      </c>
      <c r="L161" s="53" t="n">
        <v>65</v>
      </c>
      <c r="M161" s="54" t="n">
        <v>95.8</v>
      </c>
      <c r="N161" s="51" t="n">
        <v>103.307893</v>
      </c>
      <c r="O161" s="55" t="n">
        <v>1.55</v>
      </c>
      <c r="P161" s="51" t="n">
        <v>-7063.52</v>
      </c>
      <c r="Q161" s="49" t="s">
        <v>2103</v>
      </c>
      <c r="R161" s="49" t="s">
        <v>2099</v>
      </c>
      <c r="S161" s="53" t="n">
        <v>0.5</v>
      </c>
      <c r="T161" s="51" t="n">
        <v>2000</v>
      </c>
      <c r="U161" s="56" t="n">
        <f aca="false">I161*O161</f>
        <v>5204.1405</v>
      </c>
      <c r="V161" s="56" t="n">
        <f aca="false">J161*O161</f>
        <v>15612.406</v>
      </c>
      <c r="W161" s="56" t="n">
        <f aca="false">((I161+J161)/2)*O161</f>
        <v>10408.27325</v>
      </c>
      <c r="X161" s="56" t="n">
        <f aca="false">H161*O161</f>
        <v>4663.95</v>
      </c>
    </row>
    <row r="162" customFormat="false" ht="22.35" hidden="false" customHeight="false" outlineLevel="0" collapsed="false">
      <c r="A162" s="48" t="s">
        <v>2061</v>
      </c>
      <c r="B162" s="7" t="s">
        <v>2355</v>
      </c>
      <c r="C162" s="7" t="s">
        <v>2356</v>
      </c>
      <c r="D162" s="7" t="s">
        <v>2101</v>
      </c>
      <c r="E162" s="57" t="s">
        <v>2102</v>
      </c>
      <c r="F162" s="7" t="s">
        <v>2097</v>
      </c>
      <c r="G162" s="7" t="s">
        <v>2097</v>
      </c>
      <c r="H162" s="9" t="n">
        <v>157</v>
      </c>
      <c r="I162" s="9" t="n">
        <v>56.3</v>
      </c>
      <c r="J162" s="9" t="n">
        <v>168.9</v>
      </c>
      <c r="K162" s="52" t="n">
        <v>200</v>
      </c>
      <c r="L162" s="58" t="n">
        <v>19.8</v>
      </c>
      <c r="M162" s="59" t="n">
        <v>81.8</v>
      </c>
      <c r="N162" s="9" t="n">
        <v>5.686904</v>
      </c>
      <c r="O162" s="8" t="n">
        <v>15.9026</v>
      </c>
      <c r="P162" s="9" t="n">
        <v>-11.9</v>
      </c>
      <c r="Q162" s="7" t="s">
        <v>2103</v>
      </c>
      <c r="R162" s="7" t="s">
        <v>2099</v>
      </c>
      <c r="S162" s="58" t="n">
        <v>0.5</v>
      </c>
      <c r="T162" s="9" t="n">
        <v>40</v>
      </c>
      <c r="U162" s="56" t="n">
        <f aca="false">I162*O162</f>
        <v>895.31638</v>
      </c>
      <c r="V162" s="56" t="n">
        <f aca="false">J162*O162</f>
        <v>2685.94914</v>
      </c>
      <c r="W162" s="56" t="n">
        <f aca="false">((I162+J162)/2)*O162</f>
        <v>1790.63276</v>
      </c>
      <c r="X162" s="56" t="n">
        <f aca="false">H162*O162</f>
        <v>2496.7082</v>
      </c>
    </row>
    <row r="163" customFormat="false" ht="22.35" hidden="false" customHeight="false" outlineLevel="0" collapsed="false">
      <c r="A163" s="48" t="s">
        <v>2061</v>
      </c>
      <c r="B163" s="49" t="s">
        <v>2357</v>
      </c>
      <c r="C163" s="49" t="s">
        <v>2021</v>
      </c>
      <c r="D163" s="49" t="s">
        <v>2095</v>
      </c>
      <c r="E163" s="61" t="s">
        <v>2113</v>
      </c>
      <c r="F163" s="49" t="s">
        <v>2097</v>
      </c>
      <c r="G163" s="49" t="s">
        <v>2097</v>
      </c>
      <c r="H163" s="51" t="n">
        <v>5000</v>
      </c>
      <c r="I163" s="51" t="n">
        <v>11068.82</v>
      </c>
      <c r="J163" s="51" t="n">
        <v>22137.64</v>
      </c>
      <c r="K163" s="52" t="n">
        <v>22500</v>
      </c>
      <c r="L163" s="53" t="n">
        <v>26.6</v>
      </c>
      <c r="M163" s="54" t="n">
        <v>78.1</v>
      </c>
      <c r="N163" s="51" t="n">
        <v>416.120986</v>
      </c>
      <c r="O163" s="55" t="n">
        <v>0.629</v>
      </c>
      <c r="P163" s="51" t="n">
        <v>-17137.64</v>
      </c>
      <c r="Q163" s="49" t="s">
        <v>2103</v>
      </c>
      <c r="R163" s="49" t="s">
        <v>2099</v>
      </c>
      <c r="S163" s="53" t="n">
        <v>1</v>
      </c>
      <c r="T163" s="51" t="n">
        <v>2500</v>
      </c>
      <c r="U163" s="56" t="n">
        <f aca="false">I163*O163</f>
        <v>6962.28778</v>
      </c>
      <c r="V163" s="56" t="n">
        <f aca="false">J163*O163</f>
        <v>13924.57556</v>
      </c>
      <c r="W163" s="56" t="n">
        <f aca="false">((I163+J163)/2)*O163</f>
        <v>10443.43167</v>
      </c>
      <c r="X163" s="56" t="n">
        <f aca="false">H163*O163</f>
        <v>3145</v>
      </c>
    </row>
    <row r="164" customFormat="false" ht="22.35" hidden="false" customHeight="false" outlineLevel="0" collapsed="false">
      <c r="A164" s="48" t="s">
        <v>2061</v>
      </c>
      <c r="B164" s="7" t="s">
        <v>2358</v>
      </c>
      <c r="C164" s="7" t="s">
        <v>2359</v>
      </c>
      <c r="D164" s="7" t="s">
        <v>2095</v>
      </c>
      <c r="E164" s="61" t="s">
        <v>2113</v>
      </c>
      <c r="F164" s="7" t="s">
        <v>2097</v>
      </c>
      <c r="G164" s="7" t="s">
        <v>2097</v>
      </c>
      <c r="H164" s="9" t="n">
        <v>2812</v>
      </c>
      <c r="I164" s="9" t="n">
        <v>4451.38</v>
      </c>
      <c r="J164" s="9" t="n">
        <v>8902.76</v>
      </c>
      <c r="K164" s="52" t="n">
        <v>9800</v>
      </c>
      <c r="L164" s="58" t="n">
        <v>28.6</v>
      </c>
      <c r="M164" s="59" t="n">
        <v>82.3</v>
      </c>
      <c r="N164" s="9" t="n">
        <v>155.642712</v>
      </c>
      <c r="O164" s="8" t="n">
        <v>0.4906</v>
      </c>
      <c r="P164" s="9" t="n">
        <v>-6090.76</v>
      </c>
      <c r="Q164" s="7" t="s">
        <v>2103</v>
      </c>
      <c r="R164" s="7" t="s">
        <v>2099</v>
      </c>
      <c r="S164" s="58" t="n">
        <v>1</v>
      </c>
      <c r="T164" s="9" t="n">
        <v>1400</v>
      </c>
      <c r="U164" s="56" t="n">
        <f aca="false">I164*O164</f>
        <v>2183.847028</v>
      </c>
      <c r="V164" s="56" t="n">
        <f aca="false">J164*O164</f>
        <v>4367.694056</v>
      </c>
      <c r="W164" s="56" t="n">
        <f aca="false">((I164+J164)/2)*O164</f>
        <v>3275.770542</v>
      </c>
      <c r="X164" s="56" t="n">
        <f aca="false">H164*O164</f>
        <v>1379.5672</v>
      </c>
    </row>
    <row r="165" customFormat="false" ht="15" hidden="false" customHeight="false" outlineLevel="0" collapsed="false">
      <c r="A165" s="48" t="s">
        <v>2061</v>
      </c>
      <c r="B165" s="49" t="s">
        <v>2360</v>
      </c>
      <c r="C165" s="49" t="s">
        <v>2361</v>
      </c>
      <c r="D165" s="49" t="s">
        <v>2101</v>
      </c>
      <c r="E165" s="50" t="s">
        <v>2096</v>
      </c>
      <c r="F165" s="49" t="s">
        <v>2097</v>
      </c>
      <c r="G165" s="49" t="s">
        <v>2097</v>
      </c>
      <c r="H165" s="51" t="n">
        <v>929</v>
      </c>
      <c r="I165" s="51" t="n">
        <v>307.55</v>
      </c>
      <c r="J165" s="51" t="n">
        <v>922.66</v>
      </c>
      <c r="K165" s="52" t="n">
        <v>1200</v>
      </c>
      <c r="L165" s="53" t="n">
        <v>19.3</v>
      </c>
      <c r="M165" s="54" t="n">
        <v>90.4</v>
      </c>
      <c r="N165" s="51" t="n">
        <v>31.870932</v>
      </c>
      <c r="O165" s="55" t="n">
        <v>6.48</v>
      </c>
      <c r="P165" s="51" t="n">
        <v>6.34</v>
      </c>
      <c r="Q165" s="49" t="s">
        <v>2098</v>
      </c>
      <c r="R165" s="49" t="s">
        <v>2099</v>
      </c>
      <c r="S165" s="53" t="n">
        <v>0.5</v>
      </c>
      <c r="T165" s="51" t="n">
        <v>400</v>
      </c>
      <c r="U165" s="56" t="n">
        <f aca="false">I165*O165</f>
        <v>1992.924</v>
      </c>
      <c r="V165" s="56" t="n">
        <f aca="false">J165*O165</f>
        <v>5978.8368</v>
      </c>
      <c r="W165" s="56" t="n">
        <f aca="false">((I165+J165)/2)*O165</f>
        <v>3985.8804</v>
      </c>
      <c r="X165" s="56" t="n">
        <f aca="false">H165*O165</f>
        <v>6019.92</v>
      </c>
    </row>
    <row r="166" customFormat="false" ht="22.35" hidden="false" customHeight="false" outlineLevel="0" collapsed="false">
      <c r="A166" s="48" t="s">
        <v>2061</v>
      </c>
      <c r="B166" s="7" t="s">
        <v>2362</v>
      </c>
      <c r="C166" s="7" t="s">
        <v>1769</v>
      </c>
      <c r="D166" s="7" t="s">
        <v>2095</v>
      </c>
      <c r="E166" s="61" t="s">
        <v>2113</v>
      </c>
      <c r="F166" s="7" t="s">
        <v>2097</v>
      </c>
      <c r="G166" s="7" t="s">
        <v>2097</v>
      </c>
      <c r="H166" s="9" t="n">
        <v>6180</v>
      </c>
      <c r="I166" s="9" t="n">
        <v>6697.15</v>
      </c>
      <c r="J166" s="9" t="n">
        <v>13394.3</v>
      </c>
      <c r="K166" s="52" t="n">
        <v>15000</v>
      </c>
      <c r="L166" s="58" t="n">
        <v>33.4</v>
      </c>
      <c r="M166" s="59" t="n">
        <v>89.4</v>
      </c>
      <c r="N166" s="9" t="n">
        <v>200.51337</v>
      </c>
      <c r="O166" s="8" t="n">
        <v>0.68</v>
      </c>
      <c r="P166" s="9" t="n">
        <v>-7214.3</v>
      </c>
      <c r="Q166" s="7" t="s">
        <v>2103</v>
      </c>
      <c r="R166" s="7" t="s">
        <v>2099</v>
      </c>
      <c r="S166" s="58" t="n">
        <v>1</v>
      </c>
      <c r="T166" s="9" t="n">
        <v>2500</v>
      </c>
      <c r="U166" s="56" t="n">
        <f aca="false">I166*O166</f>
        <v>4554.062</v>
      </c>
      <c r="V166" s="56" t="n">
        <f aca="false">J166*O166</f>
        <v>9108.124</v>
      </c>
      <c r="W166" s="56" t="n">
        <f aca="false">((I166+J166)/2)*O166</f>
        <v>6831.093</v>
      </c>
      <c r="X166" s="56" t="n">
        <f aca="false">H166*O166</f>
        <v>4202.4</v>
      </c>
    </row>
    <row r="167" customFormat="false" ht="22.35" hidden="false" customHeight="false" outlineLevel="0" collapsed="false">
      <c r="A167" s="48" t="s">
        <v>2061</v>
      </c>
      <c r="B167" s="49" t="s">
        <v>2363</v>
      </c>
      <c r="C167" s="49" t="s">
        <v>2364</v>
      </c>
      <c r="D167" s="49" t="s">
        <v>2095</v>
      </c>
      <c r="E167" s="61" t="s">
        <v>2113</v>
      </c>
      <c r="F167" s="49" t="s">
        <v>2097</v>
      </c>
      <c r="G167" s="49" t="s">
        <v>2097</v>
      </c>
      <c r="H167" s="51" t="n">
        <v>1238</v>
      </c>
      <c r="I167" s="51" t="n">
        <v>5364.56</v>
      </c>
      <c r="J167" s="51" t="n">
        <v>10729.12</v>
      </c>
      <c r="K167" s="52" t="n">
        <v>11110.68</v>
      </c>
      <c r="L167" s="53" t="n">
        <v>132.6</v>
      </c>
      <c r="M167" s="54" t="n">
        <v>68.5</v>
      </c>
      <c r="N167" s="51" t="n">
        <v>40.456712</v>
      </c>
      <c r="O167" s="55" t="n">
        <v>2.78</v>
      </c>
      <c r="P167" s="51" t="n">
        <v>-9491.12</v>
      </c>
      <c r="Q167" s="49" t="s">
        <v>2103</v>
      </c>
      <c r="R167" s="49" t="s">
        <v>2099</v>
      </c>
      <c r="S167" s="53" t="n">
        <v>1</v>
      </c>
      <c r="T167" s="51" t="n">
        <v>925.89</v>
      </c>
      <c r="U167" s="56" t="n">
        <f aca="false">I167*O167</f>
        <v>14913.4768</v>
      </c>
      <c r="V167" s="56" t="n">
        <f aca="false">J167*O167</f>
        <v>29826.9536</v>
      </c>
      <c r="W167" s="56" t="n">
        <f aca="false">((I167+J167)/2)*O167</f>
        <v>22370.2152</v>
      </c>
      <c r="X167" s="56" t="n">
        <f aca="false">H167*O167</f>
        <v>3441.64</v>
      </c>
    </row>
    <row r="168" customFormat="false" ht="22.35" hidden="false" customHeight="false" outlineLevel="0" collapsed="false">
      <c r="A168" s="48" t="s">
        <v>2061</v>
      </c>
      <c r="B168" s="7" t="s">
        <v>2365</v>
      </c>
      <c r="C168" s="7" t="s">
        <v>2366</v>
      </c>
      <c r="D168" s="7" t="s">
        <v>2109</v>
      </c>
      <c r="E168" s="60" t="s">
        <v>2110</v>
      </c>
      <c r="F168" s="7" t="s">
        <v>2097</v>
      </c>
      <c r="G168" s="7" t="s">
        <v>2097</v>
      </c>
      <c r="H168" s="9" t="n">
        <v>23000</v>
      </c>
      <c r="I168" s="9" t="n">
        <v>59673.33</v>
      </c>
      <c r="J168" s="9" t="n">
        <v>99455.55</v>
      </c>
      <c r="K168" s="52" t="n">
        <v>99455.55</v>
      </c>
      <c r="L168" s="58" t="n">
        <v>44.8</v>
      </c>
      <c r="M168" s="59" t="n">
        <v>59.4</v>
      </c>
      <c r="N168" s="9" t="n">
        <v>887.995932</v>
      </c>
      <c r="O168" s="8" t="n">
        <v>0.1212</v>
      </c>
      <c r="P168" s="9" t="n">
        <v>-76455.55</v>
      </c>
      <c r="Q168" s="7" t="s">
        <v>2103</v>
      </c>
      <c r="R168" s="7" t="s">
        <v>2099</v>
      </c>
      <c r="S168" s="58" t="n">
        <v>1.5</v>
      </c>
      <c r="T168" s="9" t="n">
        <v>1</v>
      </c>
      <c r="U168" s="56" t="n">
        <f aca="false">I168*O168</f>
        <v>7232.407596</v>
      </c>
      <c r="V168" s="56" t="n">
        <f aca="false">J168*O168</f>
        <v>12054.01266</v>
      </c>
      <c r="W168" s="56" t="n">
        <f aca="false">((I168+J168)/2)*O168</f>
        <v>9643.210128</v>
      </c>
      <c r="X168" s="56" t="n">
        <f aca="false">H168*O168</f>
        <v>2787.6</v>
      </c>
    </row>
    <row r="169" customFormat="false" ht="22.35" hidden="false" customHeight="false" outlineLevel="0" collapsed="false">
      <c r="A169" s="48" t="s">
        <v>2061</v>
      </c>
      <c r="B169" s="62" t="s">
        <v>2367</v>
      </c>
      <c r="C169" s="62" t="s">
        <v>2368</v>
      </c>
      <c r="D169" s="62" t="s">
        <v>2101</v>
      </c>
      <c r="E169" s="63" t="s">
        <v>2169</v>
      </c>
      <c r="F169" s="64" t="s">
        <v>2170</v>
      </c>
      <c r="G169" s="62" t="s">
        <v>2097</v>
      </c>
      <c r="H169" s="65" t="n">
        <v>665</v>
      </c>
      <c r="I169" s="65" t="n">
        <v>169.19</v>
      </c>
      <c r="J169" s="65" t="n">
        <v>507.57</v>
      </c>
      <c r="K169" s="66" t="n">
        <v>7000</v>
      </c>
      <c r="L169" s="67" t="n">
        <v>15.4</v>
      </c>
      <c r="M169" s="68" t="n">
        <v>87.5</v>
      </c>
      <c r="N169" s="65" t="n">
        <v>18.40574</v>
      </c>
      <c r="O169" s="69" t="n">
        <v>0.44</v>
      </c>
      <c r="P169" s="65" t="n">
        <v>157.43</v>
      </c>
      <c r="Q169" s="62" t="s">
        <v>2098</v>
      </c>
      <c r="R169" s="62" t="s">
        <v>2369</v>
      </c>
      <c r="S169" s="67" t="n">
        <v>0.5</v>
      </c>
      <c r="T169" s="65" t="n">
        <v>7000</v>
      </c>
      <c r="U169" s="56" t="n">
        <f aca="false">I169*O169</f>
        <v>74.4436</v>
      </c>
      <c r="V169" s="56" t="n">
        <f aca="false">J169*O169</f>
        <v>223.3308</v>
      </c>
      <c r="W169" s="56" t="n">
        <f aca="false">((I169+J169)/2)*O169</f>
        <v>148.8872</v>
      </c>
      <c r="X169" s="56" t="n">
        <f aca="false">H169*O169</f>
        <v>292.6</v>
      </c>
    </row>
    <row r="170" customFormat="false" ht="22.35" hidden="false" customHeight="false" outlineLevel="0" collapsed="false">
      <c r="A170" s="48" t="s">
        <v>2061</v>
      </c>
      <c r="B170" s="7" t="s">
        <v>2370</v>
      </c>
      <c r="C170" s="7" t="s">
        <v>2371</v>
      </c>
      <c r="D170" s="7" t="s">
        <v>2101</v>
      </c>
      <c r="E170" s="57" t="s">
        <v>2102</v>
      </c>
      <c r="F170" s="7" t="s">
        <v>2097</v>
      </c>
      <c r="G170" s="7" t="s">
        <v>2097</v>
      </c>
      <c r="H170" s="9" t="n">
        <v>100</v>
      </c>
      <c r="I170" s="9" t="n">
        <v>74.32</v>
      </c>
      <c r="J170" s="9" t="n">
        <v>222.97</v>
      </c>
      <c r="K170" s="52" t="n">
        <v>250</v>
      </c>
      <c r="L170" s="58" t="n">
        <v>31.3</v>
      </c>
      <c r="M170" s="59" t="n">
        <v>88.9</v>
      </c>
      <c r="N170" s="9" t="n">
        <v>4.749151</v>
      </c>
      <c r="O170" s="8" t="n">
        <v>1.7303</v>
      </c>
      <c r="P170" s="9" t="n">
        <v>-122.97</v>
      </c>
      <c r="Q170" s="7" t="s">
        <v>2103</v>
      </c>
      <c r="R170" s="7" t="s">
        <v>2099</v>
      </c>
      <c r="S170" s="58" t="n">
        <v>0.5</v>
      </c>
      <c r="T170" s="9" t="n">
        <v>50</v>
      </c>
      <c r="U170" s="56" t="n">
        <f aca="false">I170*O170</f>
        <v>128.595896</v>
      </c>
      <c r="V170" s="56" t="n">
        <f aca="false">J170*O170</f>
        <v>385.804991</v>
      </c>
      <c r="W170" s="56" t="n">
        <f aca="false">((I170+J170)/2)*O170</f>
        <v>257.2004435</v>
      </c>
      <c r="X170" s="56" t="n">
        <f aca="false">H170*O170</f>
        <v>173.03</v>
      </c>
    </row>
    <row r="171" customFormat="false" ht="22.35" hidden="false" customHeight="false" outlineLevel="0" collapsed="false">
      <c r="A171" s="48" t="s">
        <v>2061</v>
      </c>
      <c r="B171" s="49" t="s">
        <v>2372</v>
      </c>
      <c r="C171" s="49" t="s">
        <v>2373</v>
      </c>
      <c r="D171" s="49" t="s">
        <v>2101</v>
      </c>
      <c r="E171" s="57" t="s">
        <v>2102</v>
      </c>
      <c r="F171" s="49" t="s">
        <v>2097</v>
      </c>
      <c r="G171" s="49" t="s">
        <v>2097</v>
      </c>
      <c r="H171" s="51" t="n">
        <v>100</v>
      </c>
      <c r="I171" s="51" t="n">
        <v>42.76</v>
      </c>
      <c r="J171" s="51" t="n">
        <v>128.28</v>
      </c>
      <c r="K171" s="52" t="n">
        <v>396.81</v>
      </c>
      <c r="L171" s="53" t="n">
        <v>65.3</v>
      </c>
      <c r="M171" s="54" t="n">
        <v>52.4</v>
      </c>
      <c r="N171" s="51" t="n">
        <v>1.309644</v>
      </c>
      <c r="O171" s="55" t="n">
        <v>18.1905</v>
      </c>
      <c r="P171" s="51" t="n">
        <v>-28.28</v>
      </c>
      <c r="Q171" s="49" t="s">
        <v>2103</v>
      </c>
      <c r="R171" s="49" t="s">
        <v>2099</v>
      </c>
      <c r="S171" s="53" t="n">
        <v>0.5</v>
      </c>
      <c r="T171" s="51" t="n">
        <v>396.81</v>
      </c>
      <c r="U171" s="56" t="n">
        <f aca="false">I171*O171</f>
        <v>777.82578</v>
      </c>
      <c r="V171" s="56" t="n">
        <f aca="false">J171*O171</f>
        <v>2333.47734</v>
      </c>
      <c r="W171" s="56" t="n">
        <f aca="false">((I171+J171)/2)*O171</f>
        <v>1555.65156</v>
      </c>
      <c r="X171" s="56" t="n">
        <f aca="false">H171*O171</f>
        <v>1819.05</v>
      </c>
    </row>
    <row r="172" customFormat="false" ht="15" hidden="false" customHeight="false" outlineLevel="0" collapsed="false">
      <c r="A172" s="48" t="s">
        <v>2061</v>
      </c>
      <c r="B172" s="7" t="s">
        <v>2374</v>
      </c>
      <c r="C172" s="7" t="s">
        <v>2343</v>
      </c>
      <c r="D172" s="7" t="s">
        <v>2095</v>
      </c>
      <c r="E172" s="50" t="s">
        <v>2096</v>
      </c>
      <c r="F172" s="7" t="s">
        <v>2097</v>
      </c>
      <c r="G172" s="7" t="s">
        <v>2097</v>
      </c>
      <c r="H172" s="9" t="n">
        <v>5409</v>
      </c>
      <c r="I172" s="9" t="n">
        <v>2627.3</v>
      </c>
      <c r="J172" s="9" t="n">
        <v>5254.6</v>
      </c>
      <c r="K172" s="52" t="n">
        <v>6000</v>
      </c>
      <c r="L172" s="58" t="n">
        <v>21</v>
      </c>
      <c r="M172" s="59" t="n">
        <v>68.8</v>
      </c>
      <c r="N172" s="9" t="n">
        <v>125.109616</v>
      </c>
      <c r="O172" s="8" t="n">
        <v>1.07</v>
      </c>
      <c r="P172" s="9" t="n">
        <v>154.4</v>
      </c>
      <c r="Q172" s="7" t="s">
        <v>2098</v>
      </c>
      <c r="R172" s="7" t="s">
        <v>2099</v>
      </c>
      <c r="S172" s="58" t="n">
        <v>1</v>
      </c>
      <c r="T172" s="9" t="n">
        <v>2000</v>
      </c>
      <c r="U172" s="56" t="n">
        <f aca="false">I172*O172</f>
        <v>2811.211</v>
      </c>
      <c r="V172" s="56" t="n">
        <f aca="false">J172*O172</f>
        <v>5622.422</v>
      </c>
      <c r="W172" s="56" t="n">
        <f aca="false">((I172+J172)/2)*O172</f>
        <v>4216.8165</v>
      </c>
      <c r="X172" s="56" t="n">
        <f aca="false">H172*O172</f>
        <v>5787.63</v>
      </c>
    </row>
    <row r="173" customFormat="false" ht="22.35" hidden="false" customHeight="false" outlineLevel="0" collapsed="false">
      <c r="A173" s="48" t="s">
        <v>2061</v>
      </c>
      <c r="B173" s="4" t="s">
        <v>2375</v>
      </c>
      <c r="C173" s="4" t="s">
        <v>2376</v>
      </c>
      <c r="D173" s="4" t="s">
        <v>2101</v>
      </c>
      <c r="E173" s="70" t="s">
        <v>2193</v>
      </c>
      <c r="F173" s="4" t="s">
        <v>2097</v>
      </c>
      <c r="G173" s="71" t="s">
        <v>2194</v>
      </c>
      <c r="H173" s="6" t="n">
        <v>100</v>
      </c>
      <c r="I173" s="6" t="n">
        <v>0</v>
      </c>
      <c r="J173" s="6" t="n">
        <v>0</v>
      </c>
      <c r="K173" s="52" t="n">
        <v>0</v>
      </c>
      <c r="L173" s="72" t="n">
        <v>19</v>
      </c>
      <c r="M173" s="73" t="n">
        <v>100</v>
      </c>
      <c r="N173" s="6" t="n">
        <v>0.31</v>
      </c>
      <c r="O173" s="5" t="n">
        <v>27</v>
      </c>
      <c r="P173" s="6" t="n">
        <v>100</v>
      </c>
      <c r="Q173" s="4" t="s">
        <v>2098</v>
      </c>
      <c r="R173" s="4" t="s">
        <v>2195</v>
      </c>
      <c r="S173" s="72" t="n">
        <v>0</v>
      </c>
      <c r="T173" s="6" t="n">
        <v>35.2</v>
      </c>
      <c r="U173" s="56" t="n">
        <f aca="false">I173*O173</f>
        <v>0</v>
      </c>
      <c r="V173" s="56" t="n">
        <f aca="false">J173*O173</f>
        <v>0</v>
      </c>
      <c r="W173" s="56" t="n">
        <f aca="false">((I173+J173)/2)*O173</f>
        <v>0</v>
      </c>
      <c r="X173" s="56" t="n">
        <f aca="false">H173*O173</f>
        <v>2700</v>
      </c>
    </row>
    <row r="174" customFormat="false" ht="22.35" hidden="false" customHeight="false" outlineLevel="0" collapsed="false">
      <c r="A174" s="48" t="s">
        <v>2061</v>
      </c>
      <c r="B174" s="7" t="s">
        <v>2377</v>
      </c>
      <c r="C174" s="7" t="s">
        <v>2339</v>
      </c>
      <c r="D174" s="7" t="s">
        <v>2109</v>
      </c>
      <c r="E174" s="60" t="s">
        <v>2110</v>
      </c>
      <c r="F174" s="7" t="s">
        <v>2097</v>
      </c>
      <c r="G174" s="7" t="s">
        <v>2097</v>
      </c>
      <c r="H174" s="9" t="n">
        <v>39000</v>
      </c>
      <c r="I174" s="9" t="n">
        <v>58085.74</v>
      </c>
      <c r="J174" s="9" t="n">
        <v>96809.57</v>
      </c>
      <c r="K174" s="52" t="n">
        <v>96809.57</v>
      </c>
      <c r="L174" s="58" t="n">
        <v>27.1</v>
      </c>
      <c r="M174" s="59" t="n">
        <v>82.8</v>
      </c>
      <c r="N174" s="9" t="n">
        <v>1428.923562</v>
      </c>
      <c r="O174" s="8" t="n">
        <v>0.308</v>
      </c>
      <c r="P174" s="9" t="n">
        <v>-57809.57</v>
      </c>
      <c r="Q174" s="7" t="s">
        <v>2103</v>
      </c>
      <c r="R174" s="7" t="s">
        <v>2099</v>
      </c>
      <c r="S174" s="58" t="n">
        <v>1.5</v>
      </c>
      <c r="T174" s="9" t="n">
        <v>1</v>
      </c>
      <c r="U174" s="56" t="n">
        <f aca="false">I174*O174</f>
        <v>17890.40792</v>
      </c>
      <c r="V174" s="56" t="n">
        <f aca="false">J174*O174</f>
        <v>29817.34756</v>
      </c>
      <c r="W174" s="56" t="n">
        <f aca="false">((I174+J174)/2)*O174</f>
        <v>23853.87774</v>
      </c>
      <c r="X174" s="56" t="n">
        <f aca="false">H174*O174</f>
        <v>12012</v>
      </c>
    </row>
    <row r="175" customFormat="false" ht="22.35" hidden="false" customHeight="false" outlineLevel="0" collapsed="false">
      <c r="A175" s="48" t="s">
        <v>2061</v>
      </c>
      <c r="B175" s="49" t="s">
        <v>2378</v>
      </c>
      <c r="C175" s="49" t="s">
        <v>1802</v>
      </c>
      <c r="D175" s="49" t="s">
        <v>2109</v>
      </c>
      <c r="E175" s="60" t="s">
        <v>2110</v>
      </c>
      <c r="F175" s="49" t="s">
        <v>2097</v>
      </c>
      <c r="G175" s="49" t="s">
        <v>2097</v>
      </c>
      <c r="H175" s="51" t="n">
        <v>104000</v>
      </c>
      <c r="I175" s="51" t="n">
        <v>395999.49</v>
      </c>
      <c r="J175" s="51" t="n">
        <v>659999.15</v>
      </c>
      <c r="K175" s="52" t="n">
        <v>659999.15</v>
      </c>
      <c r="L175" s="53" t="n">
        <v>37.1</v>
      </c>
      <c r="M175" s="54" t="n">
        <v>80.2</v>
      </c>
      <c r="N175" s="51" t="n">
        <v>7115.893799</v>
      </c>
      <c r="O175" s="55" t="n">
        <v>0.341</v>
      </c>
      <c r="P175" s="51" t="n">
        <v>-555999.15</v>
      </c>
      <c r="Q175" s="49" t="s">
        <v>2103</v>
      </c>
      <c r="R175" s="49" t="s">
        <v>2099</v>
      </c>
      <c r="S175" s="53" t="n">
        <v>1.5</v>
      </c>
      <c r="T175" s="51" t="n">
        <v>1</v>
      </c>
      <c r="U175" s="56" t="n">
        <f aca="false">I175*O175</f>
        <v>135035.82609</v>
      </c>
      <c r="V175" s="56" t="n">
        <f aca="false">J175*O175</f>
        <v>225059.71015</v>
      </c>
      <c r="W175" s="56" t="n">
        <f aca="false">((I175+J175)/2)*O175</f>
        <v>180047.76812</v>
      </c>
      <c r="X175" s="56" t="n">
        <f aca="false">H175*O175</f>
        <v>35464</v>
      </c>
    </row>
    <row r="176" customFormat="false" ht="22.35" hidden="false" customHeight="false" outlineLevel="0" collapsed="false">
      <c r="A176" s="48" t="s">
        <v>2061</v>
      </c>
      <c r="B176" s="7" t="s">
        <v>2379</v>
      </c>
      <c r="C176" s="7" t="s">
        <v>2336</v>
      </c>
      <c r="D176" s="7" t="s">
        <v>2109</v>
      </c>
      <c r="E176" s="60" t="s">
        <v>2110</v>
      </c>
      <c r="F176" s="7" t="s">
        <v>2097</v>
      </c>
      <c r="G176" s="7" t="s">
        <v>2097</v>
      </c>
      <c r="H176" s="9" t="n">
        <v>53000</v>
      </c>
      <c r="I176" s="9" t="n">
        <v>118776.95</v>
      </c>
      <c r="J176" s="9" t="n">
        <v>197961.58</v>
      </c>
      <c r="K176" s="52" t="n">
        <v>197961.58</v>
      </c>
      <c r="L176" s="58" t="n">
        <v>37.5</v>
      </c>
      <c r="M176" s="59" t="n">
        <v>79.3</v>
      </c>
      <c r="N176" s="9" t="n">
        <v>2111.590164</v>
      </c>
      <c r="O176" s="8" t="n">
        <v>0.361</v>
      </c>
      <c r="P176" s="9" t="n">
        <v>-144961.58</v>
      </c>
      <c r="Q176" s="7" t="s">
        <v>2103</v>
      </c>
      <c r="R176" s="7" t="s">
        <v>2099</v>
      </c>
      <c r="S176" s="58" t="n">
        <v>1.5</v>
      </c>
      <c r="T176" s="9" t="n">
        <v>1</v>
      </c>
      <c r="U176" s="56" t="n">
        <f aca="false">I176*O176</f>
        <v>42878.47895</v>
      </c>
      <c r="V176" s="56" t="n">
        <f aca="false">J176*O176</f>
        <v>71464.13038</v>
      </c>
      <c r="W176" s="56" t="n">
        <f aca="false">((I176+J176)/2)*O176</f>
        <v>57171.304665</v>
      </c>
      <c r="X176" s="56" t="n">
        <f aca="false">H176*O176</f>
        <v>19133</v>
      </c>
    </row>
    <row r="177" customFormat="false" ht="22.35" hidden="false" customHeight="false" outlineLevel="0" collapsed="false">
      <c r="A177" s="48" t="s">
        <v>2061</v>
      </c>
      <c r="B177" s="49" t="s">
        <v>2380</v>
      </c>
      <c r="C177" s="49" t="s">
        <v>1732</v>
      </c>
      <c r="D177" s="49" t="s">
        <v>2095</v>
      </c>
      <c r="E177" s="61" t="s">
        <v>2113</v>
      </c>
      <c r="F177" s="49" t="s">
        <v>2097</v>
      </c>
      <c r="G177" s="49" t="s">
        <v>2097</v>
      </c>
      <c r="H177" s="51" t="n">
        <v>5173</v>
      </c>
      <c r="I177" s="51" t="n">
        <v>6909.42</v>
      </c>
      <c r="J177" s="51" t="n">
        <v>13818.84</v>
      </c>
      <c r="K177" s="52" t="n">
        <v>15000</v>
      </c>
      <c r="L177" s="53" t="n">
        <v>41.6</v>
      </c>
      <c r="M177" s="54" t="n">
        <v>52.4</v>
      </c>
      <c r="N177" s="51" t="n">
        <v>166.091767</v>
      </c>
      <c r="O177" s="55" t="n">
        <v>0.49</v>
      </c>
      <c r="P177" s="51" t="n">
        <v>-8645.84</v>
      </c>
      <c r="Q177" s="49" t="s">
        <v>2103</v>
      </c>
      <c r="R177" s="49" t="s">
        <v>2099</v>
      </c>
      <c r="S177" s="53" t="n">
        <v>1</v>
      </c>
      <c r="T177" s="51" t="n">
        <v>5000</v>
      </c>
      <c r="U177" s="56" t="n">
        <f aca="false">I177*O177</f>
        <v>3385.6158</v>
      </c>
      <c r="V177" s="56" t="n">
        <f aca="false">J177*O177</f>
        <v>6771.2316</v>
      </c>
      <c r="W177" s="56" t="n">
        <f aca="false">((I177+J177)/2)*O177</f>
        <v>5078.4237</v>
      </c>
      <c r="X177" s="56" t="n">
        <f aca="false">H177*O177</f>
        <v>2534.77</v>
      </c>
    </row>
    <row r="178" customFormat="false" ht="15" hidden="false" customHeight="false" outlineLevel="0" collapsed="false">
      <c r="A178" s="48" t="s">
        <v>2061</v>
      </c>
      <c r="B178" s="7" t="s">
        <v>2381</v>
      </c>
      <c r="C178" s="7" t="s">
        <v>2325</v>
      </c>
      <c r="D178" s="7" t="s">
        <v>2101</v>
      </c>
      <c r="E178" s="50" t="s">
        <v>2096</v>
      </c>
      <c r="F178" s="7" t="s">
        <v>2097</v>
      </c>
      <c r="G178" s="7" t="s">
        <v>2097</v>
      </c>
      <c r="H178" s="9" t="n">
        <v>826</v>
      </c>
      <c r="I178" s="9" t="n">
        <v>164.15</v>
      </c>
      <c r="J178" s="9" t="n">
        <v>492.45</v>
      </c>
      <c r="K178" s="52" t="n">
        <v>1000</v>
      </c>
      <c r="L178" s="58" t="n">
        <v>17.2</v>
      </c>
      <c r="M178" s="59" t="n">
        <v>79.2</v>
      </c>
      <c r="N178" s="9" t="n">
        <v>19.087438</v>
      </c>
      <c r="O178" s="8" t="n">
        <v>0.35</v>
      </c>
      <c r="P178" s="9" t="n">
        <v>333.55</v>
      </c>
      <c r="Q178" s="7" t="s">
        <v>2098</v>
      </c>
      <c r="R178" s="7" t="s">
        <v>2099</v>
      </c>
      <c r="S178" s="58" t="n">
        <v>0.5</v>
      </c>
      <c r="T178" s="9" t="n">
        <v>1000</v>
      </c>
      <c r="U178" s="56" t="n">
        <f aca="false">I178*O178</f>
        <v>57.4525</v>
      </c>
      <c r="V178" s="56" t="n">
        <f aca="false">J178*O178</f>
        <v>172.3575</v>
      </c>
      <c r="W178" s="56" t="n">
        <f aca="false">((I178+J178)/2)*O178</f>
        <v>114.905</v>
      </c>
      <c r="X178" s="56" t="n">
        <f aca="false">H178*O178</f>
        <v>289.1</v>
      </c>
    </row>
    <row r="179" customFormat="false" ht="22.35" hidden="false" customHeight="false" outlineLevel="0" collapsed="false">
      <c r="A179" s="48" t="s">
        <v>2061</v>
      </c>
      <c r="B179" s="49" t="s">
        <v>2382</v>
      </c>
      <c r="C179" s="49" t="s">
        <v>1769</v>
      </c>
      <c r="D179" s="49" t="s">
        <v>2095</v>
      </c>
      <c r="E179" s="61" t="s">
        <v>2113</v>
      </c>
      <c r="F179" s="49" t="s">
        <v>2097</v>
      </c>
      <c r="G179" s="49" t="s">
        <v>2097</v>
      </c>
      <c r="H179" s="51" t="n">
        <v>4858</v>
      </c>
      <c r="I179" s="51" t="n">
        <v>3275.33</v>
      </c>
      <c r="J179" s="51" t="n">
        <v>6550.66</v>
      </c>
      <c r="K179" s="52" t="n">
        <v>12700</v>
      </c>
      <c r="L179" s="53" t="n">
        <v>33.2</v>
      </c>
      <c r="M179" s="54" t="n">
        <v>78.1</v>
      </c>
      <c r="N179" s="51" t="n">
        <v>98.654493</v>
      </c>
      <c r="O179" s="55" t="n">
        <v>0.62</v>
      </c>
      <c r="P179" s="51" t="n">
        <v>-1692.66</v>
      </c>
      <c r="Q179" s="49" t="s">
        <v>2103</v>
      </c>
      <c r="R179" s="49" t="s">
        <v>2099</v>
      </c>
      <c r="S179" s="53" t="n">
        <v>1</v>
      </c>
      <c r="T179" s="51" t="n">
        <v>12700</v>
      </c>
      <c r="U179" s="56" t="n">
        <f aca="false">I179*O179</f>
        <v>2030.7046</v>
      </c>
      <c r="V179" s="56" t="n">
        <f aca="false">J179*O179</f>
        <v>4061.4092</v>
      </c>
      <c r="W179" s="56" t="n">
        <f aca="false">((I179+J179)/2)*O179</f>
        <v>3046.0569</v>
      </c>
      <c r="X179" s="56" t="n">
        <f aca="false">H179*O179</f>
        <v>3011.96</v>
      </c>
    </row>
    <row r="180" customFormat="false" ht="22.35" hidden="false" customHeight="false" outlineLevel="0" collapsed="false">
      <c r="A180" s="48" t="s">
        <v>2061</v>
      </c>
      <c r="B180" s="7" t="s">
        <v>2383</v>
      </c>
      <c r="C180" s="7" t="s">
        <v>2384</v>
      </c>
      <c r="D180" s="7" t="s">
        <v>2101</v>
      </c>
      <c r="E180" s="57" t="s">
        <v>2102</v>
      </c>
      <c r="F180" s="7" t="s">
        <v>2097</v>
      </c>
      <c r="G180" s="7" t="s">
        <v>2097</v>
      </c>
      <c r="H180" s="9" t="n">
        <v>922</v>
      </c>
      <c r="I180" s="9" t="n">
        <v>891.44</v>
      </c>
      <c r="J180" s="9" t="n">
        <v>2674.32</v>
      </c>
      <c r="K180" s="52" t="n">
        <v>3000</v>
      </c>
      <c r="L180" s="58" t="n">
        <v>58.4</v>
      </c>
      <c r="M180" s="59" t="n">
        <v>83.3</v>
      </c>
      <c r="N180" s="9" t="n">
        <v>30.528849</v>
      </c>
      <c r="O180" s="8" t="n">
        <v>0.8844</v>
      </c>
      <c r="P180" s="9" t="n">
        <v>-1752.32</v>
      </c>
      <c r="Q180" s="7" t="s">
        <v>2103</v>
      </c>
      <c r="R180" s="7" t="s">
        <v>2099</v>
      </c>
      <c r="S180" s="58" t="n">
        <v>0.5</v>
      </c>
      <c r="T180" s="9" t="n">
        <v>1000</v>
      </c>
      <c r="U180" s="56" t="n">
        <f aca="false">I180*O180</f>
        <v>788.389536</v>
      </c>
      <c r="V180" s="56" t="n">
        <f aca="false">J180*O180</f>
        <v>2365.168608</v>
      </c>
      <c r="W180" s="56" t="n">
        <f aca="false">((I180+J180)/2)*O180</f>
        <v>1576.779072</v>
      </c>
      <c r="X180" s="56" t="n">
        <f aca="false">H180*O180</f>
        <v>815.4168</v>
      </c>
    </row>
    <row r="181" customFormat="false" ht="15" hidden="false" customHeight="false" outlineLevel="0" collapsed="false">
      <c r="A181" s="48" t="s">
        <v>2061</v>
      </c>
      <c r="B181" s="49" t="s">
        <v>2385</v>
      </c>
      <c r="C181" s="49" t="s">
        <v>2386</v>
      </c>
      <c r="D181" s="49" t="s">
        <v>2101</v>
      </c>
      <c r="E181" s="50" t="s">
        <v>2096</v>
      </c>
      <c r="F181" s="49" t="s">
        <v>2097</v>
      </c>
      <c r="G181" s="49" t="s">
        <v>2097</v>
      </c>
      <c r="H181" s="51" t="n">
        <v>100</v>
      </c>
      <c r="I181" s="51" t="n">
        <v>32.12</v>
      </c>
      <c r="J181" s="51" t="n">
        <v>96.35</v>
      </c>
      <c r="K181" s="52" t="n">
        <v>500</v>
      </c>
      <c r="L181" s="53" t="n">
        <v>46.7</v>
      </c>
      <c r="M181" s="54" t="n">
        <v>62.5</v>
      </c>
      <c r="N181" s="51" t="n">
        <v>1.375425</v>
      </c>
      <c r="O181" s="55" t="n">
        <v>28.719</v>
      </c>
      <c r="P181" s="51" t="n">
        <v>3.65</v>
      </c>
      <c r="Q181" s="49" t="s">
        <v>2098</v>
      </c>
      <c r="R181" s="49" t="s">
        <v>2099</v>
      </c>
      <c r="S181" s="53" t="n">
        <v>0.5</v>
      </c>
      <c r="T181" s="51" t="n">
        <v>500</v>
      </c>
      <c r="U181" s="56" t="n">
        <f aca="false">I181*O181</f>
        <v>922.45428</v>
      </c>
      <c r="V181" s="56" t="n">
        <f aca="false">J181*O181</f>
        <v>2767.07565</v>
      </c>
      <c r="W181" s="56" t="n">
        <f aca="false">((I181+J181)/2)*O181</f>
        <v>1844.764965</v>
      </c>
      <c r="X181" s="56" t="n">
        <f aca="false">H181*O181</f>
        <v>2871.9</v>
      </c>
    </row>
    <row r="182" customFormat="false" ht="15" hidden="false" customHeight="false" outlineLevel="0" collapsed="false">
      <c r="A182" s="48" t="s">
        <v>2061</v>
      </c>
      <c r="B182" s="7" t="s">
        <v>2387</v>
      </c>
      <c r="C182" s="7" t="s">
        <v>2388</v>
      </c>
      <c r="D182" s="7" t="s">
        <v>2101</v>
      </c>
      <c r="E182" s="50" t="s">
        <v>2096</v>
      </c>
      <c r="F182" s="7" t="s">
        <v>2097</v>
      </c>
      <c r="G182" s="7" t="s">
        <v>2097</v>
      </c>
      <c r="H182" s="9" t="n">
        <v>100</v>
      </c>
      <c r="I182" s="9" t="n">
        <v>13.24</v>
      </c>
      <c r="J182" s="9" t="n">
        <v>39.73</v>
      </c>
      <c r="K182" s="52" t="n">
        <v>440</v>
      </c>
      <c r="L182" s="58" t="n">
        <v>21.4</v>
      </c>
      <c r="M182" s="59" t="n">
        <v>71.4</v>
      </c>
      <c r="N182" s="9" t="n">
        <v>1.237849</v>
      </c>
      <c r="O182" s="8" t="n">
        <v>22.4005</v>
      </c>
      <c r="P182" s="9" t="n">
        <v>60.27</v>
      </c>
      <c r="Q182" s="7" t="s">
        <v>2098</v>
      </c>
      <c r="R182" s="7" t="s">
        <v>2099</v>
      </c>
      <c r="S182" s="58" t="n">
        <v>0.5</v>
      </c>
      <c r="T182" s="9" t="n">
        <v>440</v>
      </c>
      <c r="U182" s="56" t="n">
        <f aca="false">I182*O182</f>
        <v>296.58262</v>
      </c>
      <c r="V182" s="56" t="n">
        <f aca="false">J182*O182</f>
        <v>889.971865</v>
      </c>
      <c r="W182" s="56" t="n">
        <f aca="false">((I182+J182)/2)*O182</f>
        <v>593.2772425</v>
      </c>
      <c r="X182" s="56" t="n">
        <f aca="false">H182*O182</f>
        <v>2240.05</v>
      </c>
    </row>
    <row r="183" customFormat="false" ht="22.35" hidden="false" customHeight="false" outlineLevel="0" collapsed="false">
      <c r="A183" s="48" t="s">
        <v>2061</v>
      </c>
      <c r="B183" s="49" t="s">
        <v>2389</v>
      </c>
      <c r="C183" s="49" t="s">
        <v>2390</v>
      </c>
      <c r="D183" s="49" t="s">
        <v>2101</v>
      </c>
      <c r="E183" s="57" t="s">
        <v>2102</v>
      </c>
      <c r="F183" s="49" t="s">
        <v>2097</v>
      </c>
      <c r="G183" s="49" t="s">
        <v>2097</v>
      </c>
      <c r="H183" s="51" t="n">
        <v>662</v>
      </c>
      <c r="I183" s="51" t="n">
        <v>551.7</v>
      </c>
      <c r="J183" s="51" t="n">
        <v>1655.1</v>
      </c>
      <c r="K183" s="52" t="n">
        <v>1680</v>
      </c>
      <c r="L183" s="53" t="n">
        <v>48.5</v>
      </c>
      <c r="M183" s="54" t="n">
        <v>50</v>
      </c>
      <c r="N183" s="51" t="n">
        <v>22.750425</v>
      </c>
      <c r="O183" s="55" t="n">
        <v>2.5625</v>
      </c>
      <c r="P183" s="51" t="n">
        <v>-993.1</v>
      </c>
      <c r="Q183" s="49" t="s">
        <v>2103</v>
      </c>
      <c r="R183" s="49" t="s">
        <v>2099</v>
      </c>
      <c r="S183" s="53" t="n">
        <v>0.5</v>
      </c>
      <c r="T183" s="51" t="n">
        <v>840</v>
      </c>
      <c r="U183" s="56" t="n">
        <f aca="false">I183*O183</f>
        <v>1413.73125</v>
      </c>
      <c r="V183" s="56" t="n">
        <f aca="false">J183*O183</f>
        <v>4241.19375</v>
      </c>
      <c r="W183" s="56" t="n">
        <f aca="false">((I183+J183)/2)*O183</f>
        <v>2827.4625</v>
      </c>
      <c r="X183" s="56" t="n">
        <f aca="false">H183*O183</f>
        <v>1696.375</v>
      </c>
    </row>
    <row r="184" customFormat="false" ht="15" hidden="false" customHeight="false" outlineLevel="0" collapsed="false">
      <c r="A184" s="48" t="s">
        <v>2061</v>
      </c>
      <c r="B184" s="7" t="s">
        <v>2391</v>
      </c>
      <c r="C184" s="7" t="s">
        <v>1744</v>
      </c>
      <c r="D184" s="7" t="s">
        <v>2095</v>
      </c>
      <c r="E184" s="50" t="s">
        <v>2096</v>
      </c>
      <c r="F184" s="7" t="s">
        <v>2097</v>
      </c>
      <c r="G184" s="7" t="s">
        <v>2097</v>
      </c>
      <c r="H184" s="9" t="n">
        <v>21574</v>
      </c>
      <c r="I184" s="9" t="n">
        <v>4006.93</v>
      </c>
      <c r="J184" s="9" t="n">
        <v>8013.86</v>
      </c>
      <c r="K184" s="52" t="n">
        <v>16060</v>
      </c>
      <c r="L184" s="58" t="n">
        <v>30</v>
      </c>
      <c r="M184" s="59" t="n">
        <v>57.1</v>
      </c>
      <c r="N184" s="9" t="n">
        <v>133.564301</v>
      </c>
      <c r="O184" s="8" t="n">
        <v>2.831</v>
      </c>
      <c r="P184" s="9" t="n">
        <v>13560.14</v>
      </c>
      <c r="Q184" s="7" t="s">
        <v>2098</v>
      </c>
      <c r="R184" s="7" t="s">
        <v>2099</v>
      </c>
      <c r="S184" s="58" t="n">
        <v>1</v>
      </c>
      <c r="T184" s="9" t="n">
        <v>16060</v>
      </c>
      <c r="U184" s="56" t="n">
        <f aca="false">I184*O184</f>
        <v>11343.61883</v>
      </c>
      <c r="V184" s="56" t="n">
        <f aca="false">J184*O184</f>
        <v>22687.23766</v>
      </c>
      <c r="W184" s="56" t="n">
        <f aca="false">((I184+J184)/2)*O184</f>
        <v>17015.428245</v>
      </c>
      <c r="X184" s="56" t="n">
        <f aca="false">H184*O184</f>
        <v>61075.994</v>
      </c>
    </row>
    <row r="185" customFormat="false" ht="15" hidden="false" customHeight="false" outlineLevel="0" collapsed="false">
      <c r="A185" s="48" t="s">
        <v>2061</v>
      </c>
      <c r="B185" s="49" t="s">
        <v>2392</v>
      </c>
      <c r="C185" s="49" t="s">
        <v>2393</v>
      </c>
      <c r="D185" s="49" t="s">
        <v>2101</v>
      </c>
      <c r="E185" s="50" t="s">
        <v>2096</v>
      </c>
      <c r="F185" s="49" t="s">
        <v>2097</v>
      </c>
      <c r="G185" s="49" t="s">
        <v>2097</v>
      </c>
      <c r="H185" s="51" t="n">
        <v>386</v>
      </c>
      <c r="I185" s="51" t="n">
        <v>111.7</v>
      </c>
      <c r="J185" s="51" t="n">
        <v>335.1</v>
      </c>
      <c r="K185" s="52" t="n">
        <v>420</v>
      </c>
      <c r="L185" s="53" t="n">
        <v>19</v>
      </c>
      <c r="M185" s="54" t="n">
        <v>78</v>
      </c>
      <c r="N185" s="51" t="n">
        <v>11.757767</v>
      </c>
      <c r="O185" s="55" t="n">
        <v>1.165</v>
      </c>
      <c r="P185" s="51" t="n">
        <v>50.9</v>
      </c>
      <c r="Q185" s="49" t="s">
        <v>2098</v>
      </c>
      <c r="R185" s="49" t="s">
        <v>2099</v>
      </c>
      <c r="S185" s="53" t="n">
        <v>0.5</v>
      </c>
      <c r="T185" s="51" t="n">
        <v>420</v>
      </c>
      <c r="U185" s="56" t="n">
        <f aca="false">I185*O185</f>
        <v>130.1305</v>
      </c>
      <c r="V185" s="56" t="n">
        <f aca="false">J185*O185</f>
        <v>390.3915</v>
      </c>
      <c r="W185" s="56" t="n">
        <f aca="false">((I185+J185)/2)*O185</f>
        <v>260.261</v>
      </c>
      <c r="X185" s="56" t="n">
        <f aca="false">H185*O185</f>
        <v>449.69</v>
      </c>
    </row>
    <row r="186" customFormat="false" ht="22.35" hidden="false" customHeight="false" outlineLevel="0" collapsed="false">
      <c r="A186" s="48" t="s">
        <v>2061</v>
      </c>
      <c r="B186" s="7" t="s">
        <v>2394</v>
      </c>
      <c r="C186" s="7" t="s">
        <v>2395</v>
      </c>
      <c r="D186" s="7" t="s">
        <v>2095</v>
      </c>
      <c r="E186" s="61" t="s">
        <v>2113</v>
      </c>
      <c r="F186" s="7" t="s">
        <v>2097</v>
      </c>
      <c r="G186" s="7" t="s">
        <v>2097</v>
      </c>
      <c r="H186" s="9" t="n">
        <v>23972</v>
      </c>
      <c r="I186" s="9" t="n">
        <v>22639.92</v>
      </c>
      <c r="J186" s="9" t="n">
        <v>45279.84</v>
      </c>
      <c r="K186" s="52" t="n">
        <v>45279.84</v>
      </c>
      <c r="L186" s="58" t="n">
        <v>29.4</v>
      </c>
      <c r="M186" s="59" t="n">
        <v>75</v>
      </c>
      <c r="N186" s="9" t="n">
        <v>770.065397</v>
      </c>
      <c r="O186" s="8" t="n">
        <v>1.878</v>
      </c>
      <c r="P186" s="9" t="n">
        <v>-21307.84</v>
      </c>
      <c r="Q186" s="7" t="s">
        <v>2103</v>
      </c>
      <c r="R186" s="7" t="s">
        <v>2099</v>
      </c>
      <c r="S186" s="58" t="n">
        <v>1</v>
      </c>
      <c r="T186" s="9" t="n">
        <v>1</v>
      </c>
      <c r="U186" s="56" t="n">
        <f aca="false">I186*O186</f>
        <v>42517.76976</v>
      </c>
      <c r="V186" s="56" t="n">
        <f aca="false">J186*O186</f>
        <v>85035.53952</v>
      </c>
      <c r="W186" s="56" t="n">
        <f aca="false">((I186+J186)/2)*O186</f>
        <v>63776.65464</v>
      </c>
      <c r="X186" s="56" t="n">
        <f aca="false">H186*O186</f>
        <v>45019.416</v>
      </c>
    </row>
    <row r="187" customFormat="false" ht="22.35" hidden="false" customHeight="false" outlineLevel="0" collapsed="false">
      <c r="A187" s="48" t="s">
        <v>2061</v>
      </c>
      <c r="B187" s="49" t="s">
        <v>2396</v>
      </c>
      <c r="C187" s="49" t="s">
        <v>2395</v>
      </c>
      <c r="D187" s="49" t="s">
        <v>2101</v>
      </c>
      <c r="E187" s="57" t="s">
        <v>2102</v>
      </c>
      <c r="F187" s="49" t="s">
        <v>2097</v>
      </c>
      <c r="G187" s="49" t="s">
        <v>2097</v>
      </c>
      <c r="H187" s="51" t="n">
        <v>1012</v>
      </c>
      <c r="I187" s="51" t="n">
        <v>621.01</v>
      </c>
      <c r="J187" s="51" t="n">
        <v>1863.03</v>
      </c>
      <c r="K187" s="52" t="n">
        <v>2028.24</v>
      </c>
      <c r="L187" s="53" t="n">
        <v>38.3</v>
      </c>
      <c r="M187" s="54" t="n">
        <v>86.7</v>
      </c>
      <c r="N187" s="51" t="n">
        <v>32.428726</v>
      </c>
      <c r="O187" s="55" t="n">
        <v>2.697</v>
      </c>
      <c r="P187" s="51" t="n">
        <v>-851.03</v>
      </c>
      <c r="Q187" s="49" t="s">
        <v>2103</v>
      </c>
      <c r="R187" s="49" t="s">
        <v>2099</v>
      </c>
      <c r="S187" s="53" t="n">
        <v>0.5</v>
      </c>
      <c r="T187" s="51" t="n">
        <v>507.06</v>
      </c>
      <c r="U187" s="56" t="n">
        <f aca="false">I187*O187</f>
        <v>1674.86397</v>
      </c>
      <c r="V187" s="56" t="n">
        <f aca="false">J187*O187</f>
        <v>5024.59191</v>
      </c>
      <c r="W187" s="56" t="n">
        <f aca="false">((I187+J187)/2)*O187</f>
        <v>3349.72794</v>
      </c>
      <c r="X187" s="56" t="n">
        <f aca="false">H187*O187</f>
        <v>2729.364</v>
      </c>
    </row>
    <row r="188" customFormat="false" ht="22.35" hidden="false" customHeight="false" outlineLevel="0" collapsed="false">
      <c r="A188" s="48" t="s">
        <v>2061</v>
      </c>
      <c r="B188" s="7" t="s">
        <v>2397</v>
      </c>
      <c r="C188" s="7" t="s">
        <v>2398</v>
      </c>
      <c r="D188" s="7" t="s">
        <v>2095</v>
      </c>
      <c r="E188" s="61" t="s">
        <v>2113</v>
      </c>
      <c r="F188" s="7" t="s">
        <v>2097</v>
      </c>
      <c r="G188" s="7" t="s">
        <v>2097</v>
      </c>
      <c r="H188" s="9" t="n">
        <v>7000</v>
      </c>
      <c r="I188" s="9" t="n">
        <v>6551.85</v>
      </c>
      <c r="J188" s="9" t="n">
        <v>13103.7</v>
      </c>
      <c r="K188" s="52" t="n">
        <v>15476.4</v>
      </c>
      <c r="L188" s="58" t="n">
        <v>27.4</v>
      </c>
      <c r="M188" s="59" t="n">
        <v>87.9</v>
      </c>
      <c r="N188" s="9" t="n">
        <v>239.118753</v>
      </c>
      <c r="O188" s="8" t="n">
        <v>2.263</v>
      </c>
      <c r="P188" s="9" t="n">
        <v>-6103.7</v>
      </c>
      <c r="Q188" s="7" t="s">
        <v>2103</v>
      </c>
      <c r="R188" s="7" t="s">
        <v>2099</v>
      </c>
      <c r="S188" s="58" t="n">
        <v>1</v>
      </c>
      <c r="T188" s="9" t="n">
        <v>2579.4</v>
      </c>
      <c r="U188" s="56" t="n">
        <f aca="false">I188*O188</f>
        <v>14826.83655</v>
      </c>
      <c r="V188" s="56" t="n">
        <f aca="false">J188*O188</f>
        <v>29653.6731</v>
      </c>
      <c r="W188" s="56" t="n">
        <f aca="false">((I188+J188)/2)*O188</f>
        <v>22240.254825</v>
      </c>
      <c r="X188" s="56" t="n">
        <f aca="false">H188*O188</f>
        <v>15841</v>
      </c>
    </row>
    <row r="189" customFormat="false" ht="15" hidden="false" customHeight="false" outlineLevel="0" collapsed="false">
      <c r="A189" s="48" t="s">
        <v>2061</v>
      </c>
      <c r="B189" s="49" t="s">
        <v>2399</v>
      </c>
      <c r="C189" s="49" t="s">
        <v>1765</v>
      </c>
      <c r="D189" s="49" t="s">
        <v>2101</v>
      </c>
      <c r="E189" s="50" t="s">
        <v>2096</v>
      </c>
      <c r="F189" s="49" t="s">
        <v>2097</v>
      </c>
      <c r="G189" s="49" t="s">
        <v>2097</v>
      </c>
      <c r="H189" s="51" t="n">
        <v>177</v>
      </c>
      <c r="I189" s="51" t="n">
        <v>5.35</v>
      </c>
      <c r="J189" s="51" t="n">
        <v>16.04</v>
      </c>
      <c r="K189" s="52" t="n">
        <v>444.98</v>
      </c>
      <c r="L189" s="53" t="n">
        <v>2.5</v>
      </c>
      <c r="M189" s="54" t="n">
        <v>83.3</v>
      </c>
      <c r="N189" s="51" t="n">
        <v>4.277808</v>
      </c>
      <c r="O189" s="55" t="n">
        <v>1.7106</v>
      </c>
      <c r="P189" s="51" t="n">
        <v>160.96</v>
      </c>
      <c r="Q189" s="49" t="s">
        <v>2098</v>
      </c>
      <c r="R189" s="49" t="s">
        <v>2099</v>
      </c>
      <c r="S189" s="53" t="n">
        <v>0.5</v>
      </c>
      <c r="T189" s="51" t="n">
        <v>444.98</v>
      </c>
      <c r="U189" s="56" t="n">
        <f aca="false">I189*O189</f>
        <v>9.15171</v>
      </c>
      <c r="V189" s="56" t="n">
        <f aca="false">J189*O189</f>
        <v>27.438024</v>
      </c>
      <c r="W189" s="56" t="n">
        <f aca="false">((I189+J189)/2)*O189</f>
        <v>18.294867</v>
      </c>
      <c r="X189" s="56" t="n">
        <f aca="false">H189*O189</f>
        <v>302.7762</v>
      </c>
    </row>
    <row r="190" customFormat="false" ht="22.35" hidden="false" customHeight="false" outlineLevel="0" collapsed="false">
      <c r="A190" s="48" t="s">
        <v>2061</v>
      </c>
      <c r="B190" s="4" t="s">
        <v>1500</v>
      </c>
      <c r="C190" s="4" t="s">
        <v>1501</v>
      </c>
      <c r="D190" s="4" t="s">
        <v>2319</v>
      </c>
      <c r="E190" s="70" t="s">
        <v>2193</v>
      </c>
      <c r="F190" s="4" t="s">
        <v>2097</v>
      </c>
      <c r="G190" s="71" t="s">
        <v>2194</v>
      </c>
      <c r="H190" s="6" t="n">
        <v>5</v>
      </c>
      <c r="I190" s="6" t="n">
        <v>0</v>
      </c>
      <c r="J190" s="6" t="n">
        <v>0</v>
      </c>
      <c r="K190" s="52" t="n">
        <v>0</v>
      </c>
      <c r="L190" s="72" t="n">
        <v>24.3</v>
      </c>
      <c r="M190" s="73" t="n">
        <v>33.3</v>
      </c>
      <c r="N190" s="6" t="n">
        <v>0</v>
      </c>
      <c r="O190" s="5" t="n">
        <v>13.62</v>
      </c>
      <c r="P190" s="6" t="n">
        <v>5</v>
      </c>
      <c r="Q190" s="4" t="s">
        <v>2098</v>
      </c>
      <c r="R190" s="4" t="s">
        <v>2195</v>
      </c>
      <c r="S190" s="72" t="n">
        <v>0</v>
      </c>
      <c r="T190" s="6" t="n">
        <v>40</v>
      </c>
      <c r="U190" s="56" t="n">
        <f aca="false">I190*O190</f>
        <v>0</v>
      </c>
      <c r="V190" s="56" t="n">
        <f aca="false">J190*O190</f>
        <v>0</v>
      </c>
      <c r="W190" s="56" t="n">
        <f aca="false">((I190+J190)/2)*O190</f>
        <v>0</v>
      </c>
      <c r="X190" s="56" t="n">
        <f aca="false">H190*O190</f>
        <v>68.1</v>
      </c>
    </row>
    <row r="191" customFormat="false" ht="22.35" hidden="false" customHeight="false" outlineLevel="0" collapsed="false">
      <c r="A191" s="48" t="s">
        <v>2061</v>
      </c>
      <c r="B191" s="49" t="s">
        <v>2400</v>
      </c>
      <c r="C191" s="49" t="s">
        <v>2401</v>
      </c>
      <c r="D191" s="49" t="s">
        <v>2101</v>
      </c>
      <c r="E191" s="57" t="s">
        <v>2102</v>
      </c>
      <c r="F191" s="49" t="s">
        <v>2097</v>
      </c>
      <c r="G191" s="49" t="s">
        <v>2097</v>
      </c>
      <c r="H191" s="51" t="n">
        <v>100</v>
      </c>
      <c r="I191" s="51" t="n">
        <v>75.4</v>
      </c>
      <c r="J191" s="51" t="n">
        <v>226.2</v>
      </c>
      <c r="K191" s="52" t="n">
        <v>270</v>
      </c>
      <c r="L191" s="53" t="n">
        <v>72.9</v>
      </c>
      <c r="M191" s="54" t="n">
        <v>18.8</v>
      </c>
      <c r="N191" s="51" t="n">
        <v>2.068605</v>
      </c>
      <c r="O191" s="55" t="n">
        <v>19.08</v>
      </c>
      <c r="P191" s="51" t="n">
        <v>-126.2</v>
      </c>
      <c r="Q191" s="49" t="s">
        <v>2103</v>
      </c>
      <c r="R191" s="49" t="s">
        <v>2099</v>
      </c>
      <c r="S191" s="53" t="n">
        <v>0.5</v>
      </c>
      <c r="T191" s="51" t="n">
        <v>45</v>
      </c>
      <c r="U191" s="56" t="n">
        <f aca="false">I191*O191</f>
        <v>1438.632</v>
      </c>
      <c r="V191" s="56" t="n">
        <f aca="false">J191*O191</f>
        <v>4315.896</v>
      </c>
      <c r="W191" s="56" t="n">
        <f aca="false">((I191+J191)/2)*O191</f>
        <v>2877.264</v>
      </c>
      <c r="X191" s="56" t="n">
        <f aca="false">H191*O191</f>
        <v>1908</v>
      </c>
    </row>
    <row r="192" customFormat="false" ht="15" hidden="false" customHeight="false" outlineLevel="0" collapsed="false">
      <c r="A192" s="48" t="s">
        <v>2061</v>
      </c>
      <c r="B192" s="7" t="s">
        <v>2402</v>
      </c>
      <c r="C192" s="7" t="s">
        <v>2403</v>
      </c>
      <c r="D192" s="7" t="s">
        <v>2101</v>
      </c>
      <c r="E192" s="50" t="s">
        <v>2096</v>
      </c>
      <c r="F192" s="7" t="s">
        <v>2097</v>
      </c>
      <c r="G192" s="7" t="s">
        <v>2097</v>
      </c>
      <c r="H192" s="9" t="n">
        <v>100</v>
      </c>
      <c r="I192" s="9" t="n">
        <v>14.38</v>
      </c>
      <c r="J192" s="9" t="n">
        <v>43.14</v>
      </c>
      <c r="K192" s="52" t="n">
        <v>80</v>
      </c>
      <c r="L192" s="58" t="n">
        <v>78.2</v>
      </c>
      <c r="M192" s="59" t="n">
        <v>33.3</v>
      </c>
      <c r="N192" s="9" t="n">
        <v>0.367821</v>
      </c>
      <c r="O192" s="8" t="n">
        <v>23.285</v>
      </c>
      <c r="P192" s="9" t="n">
        <v>56.86</v>
      </c>
      <c r="Q192" s="7" t="s">
        <v>2098</v>
      </c>
      <c r="R192" s="7" t="s">
        <v>2099</v>
      </c>
      <c r="S192" s="58" t="n">
        <v>0.5</v>
      </c>
      <c r="T192" s="9" t="n">
        <v>40</v>
      </c>
      <c r="U192" s="56" t="n">
        <f aca="false">I192*O192</f>
        <v>334.8383</v>
      </c>
      <c r="V192" s="56" t="n">
        <f aca="false">J192*O192</f>
        <v>1004.5149</v>
      </c>
      <c r="W192" s="56" t="n">
        <f aca="false">((I192+J192)/2)*O192</f>
        <v>669.6766</v>
      </c>
      <c r="X192" s="56" t="n">
        <f aca="false">H192*O192</f>
        <v>2328.5</v>
      </c>
    </row>
    <row r="193" customFormat="false" ht="15" hidden="false" customHeight="false" outlineLevel="0" collapsed="false">
      <c r="A193" s="48" t="s">
        <v>2061</v>
      </c>
      <c r="B193" s="49" t="s">
        <v>2404</v>
      </c>
      <c r="C193" s="49" t="s">
        <v>2405</v>
      </c>
      <c r="D193" s="49" t="s">
        <v>2101</v>
      </c>
      <c r="E193" s="50" t="s">
        <v>2096</v>
      </c>
      <c r="F193" s="49" t="s">
        <v>2097</v>
      </c>
      <c r="G193" s="49" t="s">
        <v>2097</v>
      </c>
      <c r="H193" s="51" t="n">
        <v>100</v>
      </c>
      <c r="I193" s="51" t="n">
        <v>11.87</v>
      </c>
      <c r="J193" s="51" t="n">
        <v>35.61</v>
      </c>
      <c r="K193" s="52" t="n">
        <v>50</v>
      </c>
      <c r="L193" s="53" t="n">
        <v>82.1</v>
      </c>
      <c r="M193" s="54" t="n">
        <v>25</v>
      </c>
      <c r="N193" s="51" t="n">
        <v>0.289175</v>
      </c>
      <c r="O193" s="55" t="n">
        <v>15.91</v>
      </c>
      <c r="P193" s="51" t="n">
        <v>64.39</v>
      </c>
      <c r="Q193" s="49" t="s">
        <v>2098</v>
      </c>
      <c r="R193" s="49" t="s">
        <v>2099</v>
      </c>
      <c r="S193" s="53" t="n">
        <v>0.5</v>
      </c>
      <c r="T193" s="51" t="n">
        <v>50</v>
      </c>
      <c r="U193" s="56" t="n">
        <f aca="false">I193*O193</f>
        <v>188.8517</v>
      </c>
      <c r="V193" s="56" t="n">
        <f aca="false">J193*O193</f>
        <v>566.5551</v>
      </c>
      <c r="W193" s="56" t="n">
        <f aca="false">((I193+J193)/2)*O193</f>
        <v>377.7034</v>
      </c>
      <c r="X193" s="56" t="n">
        <f aca="false">H193*O193</f>
        <v>1591</v>
      </c>
    </row>
    <row r="194" customFormat="false" ht="15" hidden="false" customHeight="false" outlineLevel="0" collapsed="false">
      <c r="A194" s="48" t="s">
        <v>2061</v>
      </c>
      <c r="B194" s="7" t="s">
        <v>2406</v>
      </c>
      <c r="C194" s="7" t="s">
        <v>2407</v>
      </c>
      <c r="D194" s="7" t="s">
        <v>2101</v>
      </c>
      <c r="E194" s="50" t="s">
        <v>2096</v>
      </c>
      <c r="F194" s="7" t="s">
        <v>2097</v>
      </c>
      <c r="G194" s="7" t="s">
        <v>2097</v>
      </c>
      <c r="H194" s="9" t="n">
        <v>100</v>
      </c>
      <c r="I194" s="9" t="n">
        <v>8.16</v>
      </c>
      <c r="J194" s="9" t="n">
        <v>24.47</v>
      </c>
      <c r="K194" s="52" t="n">
        <v>50</v>
      </c>
      <c r="L194" s="58" t="n">
        <v>36.9</v>
      </c>
      <c r="M194" s="59" t="n">
        <v>77.8</v>
      </c>
      <c r="N194" s="9" t="n">
        <v>0.442125</v>
      </c>
      <c r="O194" s="8" t="n">
        <v>11.398</v>
      </c>
      <c r="P194" s="9" t="n">
        <v>75.53</v>
      </c>
      <c r="Q194" s="7" t="s">
        <v>2098</v>
      </c>
      <c r="R194" s="7" t="s">
        <v>2099</v>
      </c>
      <c r="S194" s="58" t="n">
        <v>0.5</v>
      </c>
      <c r="T194" s="9" t="n">
        <v>50</v>
      </c>
      <c r="U194" s="56" t="n">
        <f aca="false">I194*O194</f>
        <v>93.00768</v>
      </c>
      <c r="V194" s="56" t="n">
        <f aca="false">J194*O194</f>
        <v>278.90906</v>
      </c>
      <c r="W194" s="56" t="n">
        <f aca="false">((I194+J194)/2)*O194</f>
        <v>185.95837</v>
      </c>
      <c r="X194" s="56" t="n">
        <f aca="false">H194*O194</f>
        <v>1139.8</v>
      </c>
    </row>
    <row r="195" customFormat="false" ht="15" hidden="false" customHeight="false" outlineLevel="0" collapsed="false">
      <c r="A195" s="48" t="s">
        <v>2061</v>
      </c>
      <c r="B195" s="49" t="s">
        <v>2408</v>
      </c>
      <c r="C195" s="49" t="s">
        <v>2409</v>
      </c>
      <c r="D195" s="49" t="s">
        <v>2101</v>
      </c>
      <c r="E195" s="50" t="s">
        <v>2096</v>
      </c>
      <c r="F195" s="49" t="s">
        <v>2097</v>
      </c>
      <c r="G195" s="49" t="s">
        <v>2097</v>
      </c>
      <c r="H195" s="51" t="n">
        <v>100</v>
      </c>
      <c r="I195" s="51" t="n">
        <v>14.35</v>
      </c>
      <c r="J195" s="51" t="n">
        <v>43.06</v>
      </c>
      <c r="K195" s="52" t="n">
        <v>50</v>
      </c>
      <c r="L195" s="53" t="n">
        <v>60.6</v>
      </c>
      <c r="M195" s="54" t="n">
        <v>35.7</v>
      </c>
      <c r="N195" s="51" t="n">
        <v>0.47376</v>
      </c>
      <c r="O195" s="55" t="n">
        <v>15.43</v>
      </c>
      <c r="P195" s="51" t="n">
        <v>56.94</v>
      </c>
      <c r="Q195" s="49" t="s">
        <v>2098</v>
      </c>
      <c r="R195" s="49" t="s">
        <v>2099</v>
      </c>
      <c r="S195" s="53" t="n">
        <v>0.5</v>
      </c>
      <c r="T195" s="51" t="n">
        <v>50</v>
      </c>
      <c r="U195" s="56" t="n">
        <f aca="false">I195*O195</f>
        <v>221.4205</v>
      </c>
      <c r="V195" s="56" t="n">
        <f aca="false">J195*O195</f>
        <v>664.4158</v>
      </c>
      <c r="W195" s="56" t="n">
        <f aca="false">((I195+J195)/2)*O195</f>
        <v>442.91815</v>
      </c>
      <c r="X195" s="56" t="n">
        <f aca="false">H195*O195</f>
        <v>1543</v>
      </c>
    </row>
    <row r="196" customFormat="false" ht="22.35" hidden="false" customHeight="false" outlineLevel="0" collapsed="false">
      <c r="A196" s="48" t="s">
        <v>2061</v>
      </c>
      <c r="B196" s="7" t="s">
        <v>2410</v>
      </c>
      <c r="C196" s="7" t="s">
        <v>2411</v>
      </c>
      <c r="D196" s="7" t="s">
        <v>2101</v>
      </c>
      <c r="E196" s="57" t="s">
        <v>2102</v>
      </c>
      <c r="F196" s="7" t="s">
        <v>2097</v>
      </c>
      <c r="G196" s="7" t="s">
        <v>2097</v>
      </c>
      <c r="H196" s="9" t="n">
        <v>168</v>
      </c>
      <c r="I196" s="9" t="n">
        <v>107.99</v>
      </c>
      <c r="J196" s="9" t="n">
        <v>323.97</v>
      </c>
      <c r="K196" s="52" t="n">
        <v>400</v>
      </c>
      <c r="L196" s="58" t="n">
        <v>48.4</v>
      </c>
      <c r="M196" s="59" t="n">
        <v>61.5</v>
      </c>
      <c r="N196" s="9" t="n">
        <v>4.462383</v>
      </c>
      <c r="O196" s="8" t="n">
        <v>8.7296</v>
      </c>
      <c r="P196" s="9" t="n">
        <v>-155.97</v>
      </c>
      <c r="Q196" s="7" t="s">
        <v>2103</v>
      </c>
      <c r="R196" s="7" t="s">
        <v>2099</v>
      </c>
      <c r="S196" s="58" t="n">
        <v>0.5</v>
      </c>
      <c r="T196" s="9" t="n">
        <v>200</v>
      </c>
      <c r="U196" s="56" t="n">
        <f aca="false">I196*O196</f>
        <v>942.709504</v>
      </c>
      <c r="V196" s="56" t="n">
        <f aca="false">J196*O196</f>
        <v>2828.128512</v>
      </c>
      <c r="W196" s="56" t="n">
        <f aca="false">((I196+J196)/2)*O196</f>
        <v>1885.419008</v>
      </c>
      <c r="X196" s="56" t="n">
        <f aca="false">H196*O196</f>
        <v>1466.5728</v>
      </c>
    </row>
    <row r="197" customFormat="false" ht="15" hidden="false" customHeight="false" outlineLevel="0" collapsed="false">
      <c r="A197" s="48" t="s">
        <v>2061</v>
      </c>
      <c r="B197" s="49" t="s">
        <v>2412</v>
      </c>
      <c r="C197" s="49" t="s">
        <v>2413</v>
      </c>
      <c r="D197" s="49" t="s">
        <v>2101</v>
      </c>
      <c r="E197" s="50" t="s">
        <v>2096</v>
      </c>
      <c r="F197" s="49" t="s">
        <v>2097</v>
      </c>
      <c r="G197" s="49" t="s">
        <v>2097</v>
      </c>
      <c r="H197" s="51" t="n">
        <v>100</v>
      </c>
      <c r="I197" s="51" t="n">
        <v>8.07</v>
      </c>
      <c r="J197" s="51" t="n">
        <v>24.21</v>
      </c>
      <c r="K197" s="52" t="n">
        <v>45</v>
      </c>
      <c r="L197" s="53" t="n">
        <v>50.3</v>
      </c>
      <c r="M197" s="54" t="n">
        <v>64.7</v>
      </c>
      <c r="N197" s="51" t="n">
        <v>0.320925</v>
      </c>
      <c r="O197" s="55" t="n">
        <v>16.649</v>
      </c>
      <c r="P197" s="51" t="n">
        <v>75.79</v>
      </c>
      <c r="Q197" s="49" t="s">
        <v>2098</v>
      </c>
      <c r="R197" s="49" t="s">
        <v>2099</v>
      </c>
      <c r="S197" s="53" t="n">
        <v>0.5</v>
      </c>
      <c r="T197" s="51" t="n">
        <v>45</v>
      </c>
      <c r="U197" s="56" t="n">
        <f aca="false">I197*O197</f>
        <v>134.35743</v>
      </c>
      <c r="V197" s="56" t="n">
        <f aca="false">J197*O197</f>
        <v>403.07229</v>
      </c>
      <c r="W197" s="56" t="n">
        <f aca="false">((I197+J197)/2)*O197</f>
        <v>268.71486</v>
      </c>
      <c r="X197" s="56" t="n">
        <f aca="false">H197*O197</f>
        <v>1664.9</v>
      </c>
    </row>
    <row r="198" customFormat="false" ht="15" hidden="false" customHeight="false" outlineLevel="0" collapsed="false">
      <c r="A198" s="48" t="s">
        <v>2061</v>
      </c>
      <c r="B198" s="7" t="s">
        <v>2414</v>
      </c>
      <c r="C198" s="7" t="s">
        <v>2415</v>
      </c>
      <c r="D198" s="7" t="s">
        <v>2101</v>
      </c>
      <c r="E198" s="50" t="s">
        <v>2096</v>
      </c>
      <c r="F198" s="7" t="s">
        <v>2097</v>
      </c>
      <c r="G198" s="7" t="s">
        <v>2097</v>
      </c>
      <c r="H198" s="9" t="n">
        <v>100</v>
      </c>
      <c r="I198" s="9" t="n">
        <v>2.53</v>
      </c>
      <c r="J198" s="9" t="n">
        <v>7.59</v>
      </c>
      <c r="K198" s="52" t="n">
        <v>160</v>
      </c>
      <c r="L198" s="58" t="n">
        <v>30.5</v>
      </c>
      <c r="M198" s="59" t="n">
        <v>80</v>
      </c>
      <c r="N198" s="9" t="n">
        <v>0.165795</v>
      </c>
      <c r="O198" s="8" t="n">
        <v>17.67</v>
      </c>
      <c r="P198" s="9" t="n">
        <v>92.41</v>
      </c>
      <c r="Q198" s="7" t="s">
        <v>2098</v>
      </c>
      <c r="R198" s="7" t="s">
        <v>2099</v>
      </c>
      <c r="S198" s="58" t="n">
        <v>0.5</v>
      </c>
      <c r="T198" s="9" t="n">
        <v>160</v>
      </c>
      <c r="U198" s="56" t="n">
        <f aca="false">I198*O198</f>
        <v>44.7051</v>
      </c>
      <c r="V198" s="56" t="n">
        <f aca="false">J198*O198</f>
        <v>134.1153</v>
      </c>
      <c r="W198" s="56" t="n">
        <f aca="false">((I198+J198)/2)*O198</f>
        <v>89.4102</v>
      </c>
      <c r="X198" s="56" t="n">
        <f aca="false">H198*O198</f>
        <v>1767</v>
      </c>
    </row>
    <row r="199" customFormat="false" ht="15" hidden="false" customHeight="false" outlineLevel="0" collapsed="false">
      <c r="A199" s="48" t="s">
        <v>2061</v>
      </c>
      <c r="B199" s="49" t="s">
        <v>2416</v>
      </c>
      <c r="C199" s="49" t="s">
        <v>2417</v>
      </c>
      <c r="D199" s="49" t="s">
        <v>2101</v>
      </c>
      <c r="E199" s="50" t="s">
        <v>2096</v>
      </c>
      <c r="F199" s="49" t="s">
        <v>2097</v>
      </c>
      <c r="G199" s="49" t="s">
        <v>2097</v>
      </c>
      <c r="H199" s="51" t="n">
        <v>100</v>
      </c>
      <c r="I199" s="51" t="n">
        <v>7.63</v>
      </c>
      <c r="J199" s="51" t="n">
        <v>22.88</v>
      </c>
      <c r="K199" s="52" t="n">
        <v>40</v>
      </c>
      <c r="L199" s="53" t="n">
        <v>36.3</v>
      </c>
      <c r="M199" s="54" t="n">
        <v>70.4</v>
      </c>
      <c r="N199" s="51" t="n">
        <v>0.420123</v>
      </c>
      <c r="O199" s="55" t="n">
        <v>11.67</v>
      </c>
      <c r="P199" s="51" t="n">
        <v>77.12</v>
      </c>
      <c r="Q199" s="49" t="s">
        <v>2098</v>
      </c>
      <c r="R199" s="49" t="s">
        <v>2099</v>
      </c>
      <c r="S199" s="53" t="n">
        <v>0.5</v>
      </c>
      <c r="T199" s="51" t="n">
        <v>40</v>
      </c>
      <c r="U199" s="56" t="n">
        <f aca="false">I199*O199</f>
        <v>89.0421</v>
      </c>
      <c r="V199" s="56" t="n">
        <f aca="false">J199*O199</f>
        <v>267.0096</v>
      </c>
      <c r="W199" s="56" t="n">
        <f aca="false">((I199+J199)/2)*O199</f>
        <v>178.02585</v>
      </c>
      <c r="X199" s="56" t="n">
        <f aca="false">H199*O199</f>
        <v>1167</v>
      </c>
    </row>
    <row r="200" customFormat="false" ht="15" hidden="false" customHeight="false" outlineLevel="0" collapsed="false">
      <c r="A200" s="48" t="s">
        <v>2061</v>
      </c>
      <c r="B200" s="7" t="s">
        <v>2418</v>
      </c>
      <c r="C200" s="7" t="s">
        <v>2419</v>
      </c>
      <c r="D200" s="7" t="s">
        <v>2101</v>
      </c>
      <c r="E200" s="75" t="s">
        <v>2420</v>
      </c>
      <c r="F200" s="7" t="s">
        <v>2097</v>
      </c>
      <c r="G200" s="7" t="s">
        <v>2097</v>
      </c>
      <c r="H200" s="9" t="n">
        <v>100</v>
      </c>
      <c r="I200" s="9" t="n">
        <v>33.33</v>
      </c>
      <c r="J200" s="9" t="n">
        <v>99.99</v>
      </c>
      <c r="K200" s="52" t="n">
        <v>120</v>
      </c>
      <c r="L200" s="58" t="n">
        <v>42.1</v>
      </c>
      <c r="M200" s="59" t="n">
        <v>64</v>
      </c>
      <c r="N200" s="9" t="n">
        <v>1.58337</v>
      </c>
      <c r="O200" s="8" t="n">
        <v>11.34</v>
      </c>
      <c r="P200" s="9" t="n">
        <v>0.01</v>
      </c>
      <c r="Q200" s="7" t="s">
        <v>2421</v>
      </c>
      <c r="R200" s="7" t="s">
        <v>2099</v>
      </c>
      <c r="S200" s="58" t="n">
        <v>0.5</v>
      </c>
      <c r="T200" s="9" t="n">
        <v>40</v>
      </c>
      <c r="U200" s="56" t="n">
        <f aca="false">I200*O200</f>
        <v>377.9622</v>
      </c>
      <c r="V200" s="56" t="n">
        <f aca="false">J200*O200</f>
        <v>1133.8866</v>
      </c>
      <c r="W200" s="56" t="n">
        <f aca="false">((I200+J200)/2)*O200</f>
        <v>755.9244</v>
      </c>
      <c r="X200" s="56" t="n">
        <f aca="false">H200*O200</f>
        <v>1134</v>
      </c>
    </row>
    <row r="201" customFormat="false" ht="15" hidden="false" customHeight="false" outlineLevel="0" collapsed="false">
      <c r="A201" s="48" t="s">
        <v>2061</v>
      </c>
      <c r="B201" s="49" t="s">
        <v>2422</v>
      </c>
      <c r="C201" s="49" t="s">
        <v>2423</v>
      </c>
      <c r="D201" s="49" t="s">
        <v>2101</v>
      </c>
      <c r="E201" s="50" t="s">
        <v>2096</v>
      </c>
      <c r="F201" s="49" t="s">
        <v>2097</v>
      </c>
      <c r="G201" s="49" t="s">
        <v>2097</v>
      </c>
      <c r="H201" s="51" t="n">
        <v>100</v>
      </c>
      <c r="I201" s="51" t="n">
        <v>16.3</v>
      </c>
      <c r="J201" s="51" t="n">
        <v>48.89</v>
      </c>
      <c r="K201" s="52" t="n">
        <v>70</v>
      </c>
      <c r="L201" s="53" t="n">
        <v>88.8</v>
      </c>
      <c r="M201" s="54" t="n">
        <v>42.9</v>
      </c>
      <c r="N201" s="51" t="n">
        <v>0.367054</v>
      </c>
      <c r="O201" s="55" t="n">
        <v>4.0163</v>
      </c>
      <c r="P201" s="51" t="n">
        <v>51.11</v>
      </c>
      <c r="Q201" s="49" t="s">
        <v>2098</v>
      </c>
      <c r="R201" s="49" t="s">
        <v>2099</v>
      </c>
      <c r="S201" s="53" t="n">
        <v>0.5</v>
      </c>
      <c r="T201" s="51" t="n">
        <v>35</v>
      </c>
      <c r="U201" s="56" t="n">
        <f aca="false">I201*O201</f>
        <v>65.46569</v>
      </c>
      <c r="V201" s="56" t="n">
        <f aca="false">J201*O201</f>
        <v>196.356907</v>
      </c>
      <c r="W201" s="56" t="n">
        <f aca="false">((I201+J201)/2)*O201</f>
        <v>130.9112985</v>
      </c>
      <c r="X201" s="56" t="n">
        <f aca="false">H201*O201</f>
        <v>401.63</v>
      </c>
    </row>
    <row r="202" customFormat="false" ht="15" hidden="false" customHeight="false" outlineLevel="0" collapsed="false">
      <c r="A202" s="48" t="s">
        <v>2061</v>
      </c>
      <c r="B202" s="7" t="s">
        <v>2424</v>
      </c>
      <c r="C202" s="7" t="s">
        <v>1716</v>
      </c>
      <c r="D202" s="7" t="s">
        <v>2101</v>
      </c>
      <c r="E202" s="50" t="s">
        <v>2096</v>
      </c>
      <c r="F202" s="7" t="s">
        <v>2097</v>
      </c>
      <c r="G202" s="7" t="s">
        <v>2097</v>
      </c>
      <c r="H202" s="9" t="n">
        <v>100</v>
      </c>
      <c r="I202" s="9" t="n">
        <v>6.1</v>
      </c>
      <c r="J202" s="9" t="n">
        <v>18.3</v>
      </c>
      <c r="K202" s="52" t="n">
        <v>40</v>
      </c>
      <c r="L202" s="58" t="n">
        <v>57.7</v>
      </c>
      <c r="M202" s="59" t="n">
        <v>70</v>
      </c>
      <c r="N202" s="9" t="n">
        <v>0.211522</v>
      </c>
      <c r="O202" s="8" t="n">
        <v>19.15</v>
      </c>
      <c r="P202" s="9" t="n">
        <v>81.7</v>
      </c>
      <c r="Q202" s="7" t="s">
        <v>2098</v>
      </c>
      <c r="R202" s="7" t="s">
        <v>2099</v>
      </c>
      <c r="S202" s="58" t="n">
        <v>0.5</v>
      </c>
      <c r="T202" s="9" t="n">
        <v>40</v>
      </c>
      <c r="U202" s="56" t="n">
        <f aca="false">I202*O202</f>
        <v>116.815</v>
      </c>
      <c r="V202" s="56" t="n">
        <f aca="false">J202*O202</f>
        <v>350.445</v>
      </c>
      <c r="W202" s="56" t="n">
        <f aca="false">((I202+J202)/2)*O202</f>
        <v>233.63</v>
      </c>
      <c r="X202" s="56" t="n">
        <f aca="false">H202*O202</f>
        <v>1915</v>
      </c>
    </row>
    <row r="203" customFormat="false" ht="15" hidden="false" customHeight="false" outlineLevel="0" collapsed="false">
      <c r="A203" s="48" t="s">
        <v>2061</v>
      </c>
      <c r="B203" s="49" t="s">
        <v>2425</v>
      </c>
      <c r="C203" s="49" t="s">
        <v>2426</v>
      </c>
      <c r="D203" s="49" t="s">
        <v>2101</v>
      </c>
      <c r="E203" s="50" t="s">
        <v>2096</v>
      </c>
      <c r="F203" s="49" t="s">
        <v>2097</v>
      </c>
      <c r="G203" s="49" t="s">
        <v>2097</v>
      </c>
      <c r="H203" s="51" t="n">
        <v>100</v>
      </c>
      <c r="I203" s="51" t="n">
        <v>6.75</v>
      </c>
      <c r="J203" s="51" t="n">
        <v>20.26</v>
      </c>
      <c r="K203" s="52" t="n">
        <v>40</v>
      </c>
      <c r="L203" s="53" t="n">
        <v>73.9</v>
      </c>
      <c r="M203" s="54" t="n">
        <v>50</v>
      </c>
      <c r="N203" s="51" t="n">
        <v>0.182747</v>
      </c>
      <c r="O203" s="55" t="n">
        <v>18.76</v>
      </c>
      <c r="P203" s="51" t="n">
        <v>79.74</v>
      </c>
      <c r="Q203" s="49" t="s">
        <v>2098</v>
      </c>
      <c r="R203" s="49" t="s">
        <v>2099</v>
      </c>
      <c r="S203" s="53" t="n">
        <v>0.5</v>
      </c>
      <c r="T203" s="51" t="n">
        <v>40</v>
      </c>
      <c r="U203" s="56" t="n">
        <f aca="false">I203*O203</f>
        <v>126.63</v>
      </c>
      <c r="V203" s="56" t="n">
        <f aca="false">J203*O203</f>
        <v>380.0776</v>
      </c>
      <c r="W203" s="56" t="n">
        <f aca="false">((I203+J203)/2)*O203</f>
        <v>253.3538</v>
      </c>
      <c r="X203" s="56" t="n">
        <f aca="false">H203*O203</f>
        <v>1876</v>
      </c>
    </row>
    <row r="204" customFormat="false" ht="22.35" hidden="false" customHeight="false" outlineLevel="0" collapsed="false">
      <c r="A204" s="48" t="s">
        <v>2061</v>
      </c>
      <c r="B204" s="7" t="s">
        <v>2427</v>
      </c>
      <c r="C204" s="7" t="s">
        <v>2428</v>
      </c>
      <c r="D204" s="7" t="s">
        <v>2101</v>
      </c>
      <c r="E204" s="57" t="s">
        <v>2102</v>
      </c>
      <c r="F204" s="7" t="s">
        <v>2097</v>
      </c>
      <c r="G204" s="7" t="s">
        <v>2097</v>
      </c>
      <c r="H204" s="9" t="n">
        <v>100</v>
      </c>
      <c r="I204" s="9" t="n">
        <v>76.72</v>
      </c>
      <c r="J204" s="9" t="n">
        <v>230.15</v>
      </c>
      <c r="K204" s="52" t="n">
        <v>240</v>
      </c>
      <c r="L204" s="58" t="n">
        <v>77</v>
      </c>
      <c r="M204" s="59" t="n">
        <v>70</v>
      </c>
      <c r="N204" s="9" t="n">
        <v>1.992619</v>
      </c>
      <c r="O204" s="8" t="n">
        <v>4.14</v>
      </c>
      <c r="P204" s="9" t="n">
        <v>-130.15</v>
      </c>
      <c r="Q204" s="7" t="s">
        <v>2103</v>
      </c>
      <c r="R204" s="7" t="s">
        <v>2099</v>
      </c>
      <c r="S204" s="58" t="n">
        <v>0.5</v>
      </c>
      <c r="T204" s="9" t="n">
        <v>40</v>
      </c>
      <c r="U204" s="56" t="n">
        <f aca="false">I204*O204</f>
        <v>317.6208</v>
      </c>
      <c r="V204" s="56" t="n">
        <f aca="false">J204*O204</f>
        <v>952.821</v>
      </c>
      <c r="W204" s="56" t="n">
        <f aca="false">((I204+J204)/2)*O204</f>
        <v>635.2209</v>
      </c>
      <c r="X204" s="56" t="n">
        <f aca="false">H204*O204</f>
        <v>414</v>
      </c>
    </row>
    <row r="205" customFormat="false" ht="15" hidden="false" customHeight="false" outlineLevel="0" collapsed="false">
      <c r="A205" s="48" t="s">
        <v>2061</v>
      </c>
      <c r="B205" s="49" t="s">
        <v>2429</v>
      </c>
      <c r="C205" s="49" t="s">
        <v>2430</v>
      </c>
      <c r="D205" s="49" t="s">
        <v>2101</v>
      </c>
      <c r="E205" s="50" t="s">
        <v>2096</v>
      </c>
      <c r="F205" s="49" t="s">
        <v>2097</v>
      </c>
      <c r="G205" s="49" t="s">
        <v>2097</v>
      </c>
      <c r="H205" s="51" t="n">
        <v>100</v>
      </c>
      <c r="I205" s="51" t="n">
        <v>8.27</v>
      </c>
      <c r="J205" s="51" t="n">
        <v>24.82</v>
      </c>
      <c r="K205" s="52" t="n">
        <v>40</v>
      </c>
      <c r="L205" s="53" t="n">
        <v>36.5</v>
      </c>
      <c r="M205" s="54" t="n">
        <v>38.9</v>
      </c>
      <c r="N205" s="51" t="n">
        <v>0.453342</v>
      </c>
      <c r="O205" s="55" t="n">
        <v>16.64</v>
      </c>
      <c r="P205" s="51" t="n">
        <v>75.18</v>
      </c>
      <c r="Q205" s="49" t="s">
        <v>2098</v>
      </c>
      <c r="R205" s="49" t="s">
        <v>2099</v>
      </c>
      <c r="S205" s="53" t="n">
        <v>0.5</v>
      </c>
      <c r="T205" s="51" t="n">
        <v>40</v>
      </c>
      <c r="U205" s="56" t="n">
        <f aca="false">I205*O205</f>
        <v>137.6128</v>
      </c>
      <c r="V205" s="56" t="n">
        <f aca="false">J205*O205</f>
        <v>413.0048</v>
      </c>
      <c r="W205" s="56" t="n">
        <f aca="false">((I205+J205)/2)*O205</f>
        <v>275.3088</v>
      </c>
      <c r="X205" s="56" t="n">
        <f aca="false">H205*O205</f>
        <v>1664</v>
      </c>
    </row>
    <row r="206" customFormat="false" ht="15" hidden="false" customHeight="false" outlineLevel="0" collapsed="false">
      <c r="A206" s="48" t="s">
        <v>2061</v>
      </c>
      <c r="B206" s="7" t="s">
        <v>2431</v>
      </c>
      <c r="C206" s="7" t="s">
        <v>2432</v>
      </c>
      <c r="D206" s="7" t="s">
        <v>2101</v>
      </c>
      <c r="E206" s="50" t="s">
        <v>2096</v>
      </c>
      <c r="F206" s="7" t="s">
        <v>2097</v>
      </c>
      <c r="G206" s="7" t="s">
        <v>2097</v>
      </c>
      <c r="H206" s="9" t="n">
        <v>100</v>
      </c>
      <c r="I206" s="9" t="n">
        <v>3.45</v>
      </c>
      <c r="J206" s="9" t="n">
        <v>10.35</v>
      </c>
      <c r="K206" s="52" t="n">
        <v>42</v>
      </c>
      <c r="L206" s="58" t="n">
        <v>33.6</v>
      </c>
      <c r="M206" s="59" t="n">
        <v>60.9</v>
      </c>
      <c r="N206" s="9" t="n">
        <v>0.205466</v>
      </c>
      <c r="O206" s="8" t="n">
        <v>26.2</v>
      </c>
      <c r="P206" s="9" t="n">
        <v>89.65</v>
      </c>
      <c r="Q206" s="7" t="s">
        <v>2098</v>
      </c>
      <c r="R206" s="7" t="s">
        <v>2099</v>
      </c>
      <c r="S206" s="58" t="n">
        <v>0.5</v>
      </c>
      <c r="T206" s="9" t="n">
        <v>42</v>
      </c>
      <c r="U206" s="56" t="n">
        <f aca="false">I206*O206</f>
        <v>90.39</v>
      </c>
      <c r="V206" s="56" t="n">
        <f aca="false">J206*O206</f>
        <v>271.17</v>
      </c>
      <c r="W206" s="56" t="n">
        <f aca="false">((I206+J206)/2)*O206</f>
        <v>180.78</v>
      </c>
      <c r="X206" s="56" t="n">
        <f aca="false">H206*O206</f>
        <v>2620</v>
      </c>
    </row>
    <row r="207" customFormat="false" ht="15" hidden="false" customHeight="false" outlineLevel="0" collapsed="false">
      <c r="A207" s="48" t="s">
        <v>2061</v>
      </c>
      <c r="B207" s="49" t="s">
        <v>2433</v>
      </c>
      <c r="C207" s="49" t="s">
        <v>2434</v>
      </c>
      <c r="D207" s="49" t="s">
        <v>2101</v>
      </c>
      <c r="E207" s="50" t="s">
        <v>2096</v>
      </c>
      <c r="F207" s="49" t="s">
        <v>2097</v>
      </c>
      <c r="G207" s="49" t="s">
        <v>2097</v>
      </c>
      <c r="H207" s="51" t="n">
        <v>100</v>
      </c>
      <c r="I207" s="51" t="n">
        <v>16.47</v>
      </c>
      <c r="J207" s="51" t="n">
        <v>49.41</v>
      </c>
      <c r="K207" s="52" t="n">
        <v>70</v>
      </c>
      <c r="L207" s="53" t="n">
        <v>34.1</v>
      </c>
      <c r="M207" s="54" t="n">
        <v>75.7</v>
      </c>
      <c r="N207" s="51" t="n">
        <v>0.966113</v>
      </c>
      <c r="O207" s="55" t="n">
        <v>3.79</v>
      </c>
      <c r="P207" s="51" t="n">
        <v>50.59</v>
      </c>
      <c r="Q207" s="49" t="s">
        <v>2098</v>
      </c>
      <c r="R207" s="49" t="s">
        <v>2099</v>
      </c>
      <c r="S207" s="53" t="n">
        <v>0.5</v>
      </c>
      <c r="T207" s="51" t="n">
        <v>70</v>
      </c>
      <c r="U207" s="56" t="n">
        <f aca="false">I207*O207</f>
        <v>62.4213</v>
      </c>
      <c r="V207" s="56" t="n">
        <f aca="false">J207*O207</f>
        <v>187.2639</v>
      </c>
      <c r="W207" s="56" t="n">
        <f aca="false">((I207+J207)/2)*O207</f>
        <v>124.8426</v>
      </c>
      <c r="X207" s="56" t="n">
        <f aca="false">H207*O207</f>
        <v>379</v>
      </c>
    </row>
    <row r="208" customFormat="false" ht="22.35" hidden="false" customHeight="false" outlineLevel="0" collapsed="false">
      <c r="A208" s="48" t="s">
        <v>2061</v>
      </c>
      <c r="B208" s="7" t="s">
        <v>2435</v>
      </c>
      <c r="C208" s="7" t="s">
        <v>2436</v>
      </c>
      <c r="D208" s="7" t="s">
        <v>2101</v>
      </c>
      <c r="E208" s="57" t="s">
        <v>2102</v>
      </c>
      <c r="F208" s="7" t="s">
        <v>2097</v>
      </c>
      <c r="G208" s="7" t="s">
        <v>2097</v>
      </c>
      <c r="H208" s="9" t="n">
        <v>134</v>
      </c>
      <c r="I208" s="9" t="n">
        <v>158.11</v>
      </c>
      <c r="J208" s="9" t="n">
        <v>474.32</v>
      </c>
      <c r="K208" s="52" t="n">
        <v>480</v>
      </c>
      <c r="L208" s="58" t="n">
        <v>50.2</v>
      </c>
      <c r="M208" s="59" t="n">
        <v>65.7</v>
      </c>
      <c r="N208" s="9" t="n">
        <v>6.29903</v>
      </c>
      <c r="O208" s="8" t="n">
        <v>5.15</v>
      </c>
      <c r="P208" s="9" t="n">
        <v>-340.32</v>
      </c>
      <c r="Q208" s="7" t="s">
        <v>2103</v>
      </c>
      <c r="R208" s="7" t="s">
        <v>2099</v>
      </c>
      <c r="S208" s="58" t="n">
        <v>0.5</v>
      </c>
      <c r="T208" s="9" t="n">
        <v>240</v>
      </c>
      <c r="U208" s="56" t="n">
        <f aca="false">I208*O208</f>
        <v>814.2665</v>
      </c>
      <c r="V208" s="56" t="n">
        <f aca="false">J208*O208</f>
        <v>2442.748</v>
      </c>
      <c r="W208" s="56" t="n">
        <f aca="false">((I208+J208)/2)*O208</f>
        <v>1628.50725</v>
      </c>
      <c r="X208" s="56" t="n">
        <f aca="false">H208*O208</f>
        <v>690.1</v>
      </c>
    </row>
    <row r="209" customFormat="false" ht="22.35" hidden="false" customHeight="false" outlineLevel="0" collapsed="false">
      <c r="A209" s="48" t="s">
        <v>2061</v>
      </c>
      <c r="B209" s="49" t="s">
        <v>2437</v>
      </c>
      <c r="C209" s="49" t="s">
        <v>2438</v>
      </c>
      <c r="D209" s="49" t="s">
        <v>2101</v>
      </c>
      <c r="E209" s="57" t="s">
        <v>2102</v>
      </c>
      <c r="F209" s="49" t="s">
        <v>2097</v>
      </c>
      <c r="G209" s="49" t="s">
        <v>2097</v>
      </c>
      <c r="H209" s="51" t="n">
        <v>1707</v>
      </c>
      <c r="I209" s="51" t="n">
        <v>861.59</v>
      </c>
      <c r="J209" s="51" t="n">
        <v>2584.76</v>
      </c>
      <c r="K209" s="52" t="n">
        <v>2756</v>
      </c>
      <c r="L209" s="53" t="n">
        <v>30.9</v>
      </c>
      <c r="M209" s="54" t="n">
        <v>86.5</v>
      </c>
      <c r="N209" s="51" t="n">
        <v>55.766123</v>
      </c>
      <c r="O209" s="55" t="n">
        <v>1.487</v>
      </c>
      <c r="P209" s="51" t="n">
        <v>-877.76</v>
      </c>
      <c r="Q209" s="49" t="s">
        <v>2103</v>
      </c>
      <c r="R209" s="49" t="s">
        <v>2099</v>
      </c>
      <c r="S209" s="53" t="n">
        <v>0.5</v>
      </c>
      <c r="T209" s="51" t="n">
        <v>551.2</v>
      </c>
      <c r="U209" s="56" t="n">
        <f aca="false">I209*O209</f>
        <v>1281.18433</v>
      </c>
      <c r="V209" s="56" t="n">
        <f aca="false">J209*O209</f>
        <v>3843.53812</v>
      </c>
      <c r="W209" s="56" t="n">
        <f aca="false">((I209+J209)/2)*O209</f>
        <v>2562.361225</v>
      </c>
      <c r="X209" s="56" t="n">
        <f aca="false">H209*O209</f>
        <v>2538.309</v>
      </c>
    </row>
    <row r="210" customFormat="false" ht="15" hidden="false" customHeight="false" outlineLevel="0" collapsed="false">
      <c r="A210" s="48" t="s">
        <v>2061</v>
      </c>
      <c r="B210" s="7" t="s">
        <v>2439</v>
      </c>
      <c r="C210" s="7" t="s">
        <v>2440</v>
      </c>
      <c r="D210" s="7" t="s">
        <v>2101</v>
      </c>
      <c r="E210" s="50" t="s">
        <v>2096</v>
      </c>
      <c r="F210" s="7" t="s">
        <v>2097</v>
      </c>
      <c r="G210" s="7" t="s">
        <v>2097</v>
      </c>
      <c r="H210" s="9" t="n">
        <v>2410</v>
      </c>
      <c r="I210" s="9" t="n">
        <v>758.36</v>
      </c>
      <c r="J210" s="9" t="n">
        <v>2275.08</v>
      </c>
      <c r="K210" s="52" t="n">
        <v>3086.72</v>
      </c>
      <c r="L210" s="58" t="n">
        <v>21.4</v>
      </c>
      <c r="M210" s="59" t="n">
        <v>63.3</v>
      </c>
      <c r="N210" s="9" t="n">
        <v>70.874775</v>
      </c>
      <c r="O210" s="8" t="n">
        <v>3.766</v>
      </c>
      <c r="P210" s="9" t="n">
        <v>134.92</v>
      </c>
      <c r="Q210" s="7" t="s">
        <v>2098</v>
      </c>
      <c r="R210" s="7" t="s">
        <v>2099</v>
      </c>
      <c r="S210" s="58" t="n">
        <v>0.5</v>
      </c>
      <c r="T210" s="9" t="n">
        <v>1543.36</v>
      </c>
      <c r="U210" s="56" t="n">
        <f aca="false">I210*O210</f>
        <v>2855.98376</v>
      </c>
      <c r="V210" s="56" t="n">
        <f aca="false">J210*O210</f>
        <v>8567.95128</v>
      </c>
      <c r="W210" s="56" t="n">
        <f aca="false">((I210+J210)/2)*O210</f>
        <v>5711.96752</v>
      </c>
      <c r="X210" s="56" t="n">
        <f aca="false">H210*O210</f>
        <v>9076.06</v>
      </c>
    </row>
    <row r="211" customFormat="false" ht="22.35" hidden="false" customHeight="false" outlineLevel="0" collapsed="false">
      <c r="A211" s="48" t="s">
        <v>2061</v>
      </c>
      <c r="B211" s="49" t="s">
        <v>2441</v>
      </c>
      <c r="C211" s="49" t="s">
        <v>1744</v>
      </c>
      <c r="D211" s="49" t="s">
        <v>2095</v>
      </c>
      <c r="E211" s="61" t="s">
        <v>2113</v>
      </c>
      <c r="F211" s="49" t="s">
        <v>2097</v>
      </c>
      <c r="G211" s="49" t="s">
        <v>2097</v>
      </c>
      <c r="H211" s="51" t="n">
        <v>5212</v>
      </c>
      <c r="I211" s="51" t="n">
        <v>4103.77</v>
      </c>
      <c r="J211" s="51" t="n">
        <v>8207.54</v>
      </c>
      <c r="K211" s="52" t="n">
        <v>10000</v>
      </c>
      <c r="L211" s="53" t="n">
        <v>25.7</v>
      </c>
      <c r="M211" s="54" t="n">
        <v>82</v>
      </c>
      <c r="N211" s="51" t="n">
        <v>159.679671</v>
      </c>
      <c r="O211" s="55" t="n">
        <v>1.6</v>
      </c>
      <c r="P211" s="51" t="n">
        <v>-2995.54</v>
      </c>
      <c r="Q211" s="49" t="s">
        <v>2103</v>
      </c>
      <c r="R211" s="49" t="s">
        <v>2099</v>
      </c>
      <c r="S211" s="53" t="n">
        <v>1</v>
      </c>
      <c r="T211" s="51" t="n">
        <v>2000</v>
      </c>
      <c r="U211" s="56" t="n">
        <f aca="false">I211*O211</f>
        <v>6566.032</v>
      </c>
      <c r="V211" s="56" t="n">
        <f aca="false">J211*O211</f>
        <v>13132.064</v>
      </c>
      <c r="W211" s="56" t="n">
        <f aca="false">((I211+J211)/2)*O211</f>
        <v>9849.048</v>
      </c>
      <c r="X211" s="56" t="n">
        <f aca="false">H211*O211</f>
        <v>8339.2</v>
      </c>
    </row>
    <row r="212" customFormat="false" ht="22.35" hidden="false" customHeight="false" outlineLevel="0" collapsed="false">
      <c r="A212" s="48" t="s">
        <v>2061</v>
      </c>
      <c r="B212" s="7" t="s">
        <v>2442</v>
      </c>
      <c r="C212" s="7" t="s">
        <v>2443</v>
      </c>
      <c r="D212" s="7" t="s">
        <v>2095</v>
      </c>
      <c r="E212" s="61" t="s">
        <v>2113</v>
      </c>
      <c r="F212" s="7" t="s">
        <v>2097</v>
      </c>
      <c r="G212" s="7" t="s">
        <v>2097</v>
      </c>
      <c r="H212" s="9" t="n">
        <v>4054</v>
      </c>
      <c r="I212" s="9" t="n">
        <v>5884.7</v>
      </c>
      <c r="J212" s="9" t="n">
        <v>11769.4</v>
      </c>
      <c r="K212" s="52" t="n">
        <v>14400</v>
      </c>
      <c r="L212" s="58" t="n">
        <v>42.2</v>
      </c>
      <c r="M212" s="59" t="n">
        <v>87.5</v>
      </c>
      <c r="N212" s="9" t="n">
        <v>139.447959</v>
      </c>
      <c r="O212" s="8" t="n">
        <v>1.862</v>
      </c>
      <c r="P212" s="9" t="n">
        <v>-7715.4</v>
      </c>
      <c r="Q212" s="7" t="s">
        <v>2103</v>
      </c>
      <c r="R212" s="7" t="s">
        <v>2099</v>
      </c>
      <c r="S212" s="58" t="n">
        <v>1</v>
      </c>
      <c r="T212" s="9" t="n">
        <v>4800</v>
      </c>
      <c r="U212" s="56" t="n">
        <f aca="false">I212*O212</f>
        <v>10957.3114</v>
      </c>
      <c r="V212" s="56" t="n">
        <f aca="false">J212*O212</f>
        <v>21914.6228</v>
      </c>
      <c r="W212" s="56" t="n">
        <f aca="false">((I212+J212)/2)*O212</f>
        <v>16435.9671</v>
      </c>
      <c r="X212" s="56" t="n">
        <f aca="false">H212*O212</f>
        <v>7548.548</v>
      </c>
    </row>
    <row r="213" customFormat="false" ht="22.35" hidden="false" customHeight="false" outlineLevel="0" collapsed="false">
      <c r="A213" s="48" t="s">
        <v>2061</v>
      </c>
      <c r="B213" s="49" t="s">
        <v>2444</v>
      </c>
      <c r="C213" s="49" t="s">
        <v>2445</v>
      </c>
      <c r="D213" s="49" t="s">
        <v>2109</v>
      </c>
      <c r="E213" s="60" t="s">
        <v>2110</v>
      </c>
      <c r="F213" s="49" t="s">
        <v>2097</v>
      </c>
      <c r="G213" s="49" t="s">
        <v>2097</v>
      </c>
      <c r="H213" s="51" t="n">
        <v>40000</v>
      </c>
      <c r="I213" s="51" t="n">
        <v>163496.2</v>
      </c>
      <c r="J213" s="51" t="n">
        <v>272493.67</v>
      </c>
      <c r="K213" s="52" t="n">
        <v>272493.67</v>
      </c>
      <c r="L213" s="53" t="n">
        <v>86</v>
      </c>
      <c r="M213" s="54" t="n">
        <v>81.4</v>
      </c>
      <c r="N213" s="51" t="n">
        <v>1267.412397</v>
      </c>
      <c r="O213" s="55" t="n">
        <v>4.5</v>
      </c>
      <c r="P213" s="51" t="n">
        <v>-232493.67</v>
      </c>
      <c r="Q213" s="49" t="s">
        <v>2103</v>
      </c>
      <c r="R213" s="49" t="s">
        <v>2099</v>
      </c>
      <c r="S213" s="53" t="n">
        <v>1.5</v>
      </c>
      <c r="T213" s="51" t="n">
        <v>1</v>
      </c>
      <c r="U213" s="56" t="n">
        <f aca="false">I213*O213</f>
        <v>735732.9</v>
      </c>
      <c r="V213" s="56" t="n">
        <f aca="false">J213*O213</f>
        <v>1226221.515</v>
      </c>
      <c r="W213" s="56" t="n">
        <f aca="false">((I213+J213)/2)*O213</f>
        <v>980977.2075</v>
      </c>
      <c r="X213" s="56" t="n">
        <f aca="false">H213*O213</f>
        <v>180000</v>
      </c>
    </row>
    <row r="214" customFormat="false" ht="22.35" hidden="false" customHeight="false" outlineLevel="0" collapsed="false">
      <c r="A214" s="48" t="s">
        <v>2061</v>
      </c>
      <c r="B214" s="7" t="s">
        <v>2446</v>
      </c>
      <c r="C214" s="7" t="s">
        <v>2277</v>
      </c>
      <c r="D214" s="7" t="s">
        <v>2109</v>
      </c>
      <c r="E214" s="60" t="s">
        <v>2110</v>
      </c>
      <c r="F214" s="7" t="s">
        <v>2097</v>
      </c>
      <c r="G214" s="7" t="s">
        <v>2097</v>
      </c>
      <c r="H214" s="9" t="n">
        <v>40000</v>
      </c>
      <c r="I214" s="9" t="n">
        <v>94992.76</v>
      </c>
      <c r="J214" s="9" t="n">
        <v>158321.27</v>
      </c>
      <c r="K214" s="52" t="n">
        <v>158321.27</v>
      </c>
      <c r="L214" s="58" t="n">
        <v>62.2</v>
      </c>
      <c r="M214" s="59" t="n">
        <v>71.4</v>
      </c>
      <c r="N214" s="9" t="n">
        <v>1018.143247</v>
      </c>
      <c r="O214" s="8" t="n">
        <v>1.34</v>
      </c>
      <c r="P214" s="9" t="n">
        <v>-118321.27</v>
      </c>
      <c r="Q214" s="7" t="s">
        <v>2103</v>
      </c>
      <c r="R214" s="7" t="s">
        <v>2099</v>
      </c>
      <c r="S214" s="58" t="n">
        <v>1.5</v>
      </c>
      <c r="T214" s="9" t="n">
        <v>1</v>
      </c>
      <c r="U214" s="56" t="n">
        <f aca="false">I214*O214</f>
        <v>127290.2984</v>
      </c>
      <c r="V214" s="56" t="n">
        <f aca="false">J214*O214</f>
        <v>212150.5018</v>
      </c>
      <c r="W214" s="56" t="n">
        <f aca="false">((I214+J214)/2)*O214</f>
        <v>169720.4001</v>
      </c>
      <c r="X214" s="56" t="n">
        <f aca="false">H214*O214</f>
        <v>53600</v>
      </c>
    </row>
    <row r="215" customFormat="false" ht="22.35" hidden="false" customHeight="false" outlineLevel="0" collapsed="false">
      <c r="A215" s="48" t="s">
        <v>2061</v>
      </c>
      <c r="B215" s="49" t="s">
        <v>2447</v>
      </c>
      <c r="C215" s="49" t="s">
        <v>2448</v>
      </c>
      <c r="D215" s="49" t="s">
        <v>2109</v>
      </c>
      <c r="E215" s="60" t="s">
        <v>2110</v>
      </c>
      <c r="F215" s="49" t="s">
        <v>2097</v>
      </c>
      <c r="G215" s="49" t="s">
        <v>2097</v>
      </c>
      <c r="H215" s="51" t="n">
        <v>40000</v>
      </c>
      <c r="I215" s="51" t="n">
        <v>183452.31</v>
      </c>
      <c r="J215" s="51" t="n">
        <v>305753.85</v>
      </c>
      <c r="K215" s="52" t="n">
        <v>305753.85</v>
      </c>
      <c r="L215" s="53" t="n">
        <v>96.9</v>
      </c>
      <c r="M215" s="54" t="n">
        <v>79.6</v>
      </c>
      <c r="N215" s="51" t="n">
        <v>1262.141779</v>
      </c>
      <c r="O215" s="55" t="n">
        <v>5.195</v>
      </c>
      <c r="P215" s="51" t="n">
        <v>-265753.85</v>
      </c>
      <c r="Q215" s="49" t="s">
        <v>2103</v>
      </c>
      <c r="R215" s="49" t="s">
        <v>2099</v>
      </c>
      <c r="S215" s="53" t="n">
        <v>1.5</v>
      </c>
      <c r="T215" s="51" t="n">
        <v>1</v>
      </c>
      <c r="U215" s="56" t="n">
        <f aca="false">I215*O215</f>
        <v>953034.75045</v>
      </c>
      <c r="V215" s="56" t="n">
        <f aca="false">J215*O215</f>
        <v>1588391.25075</v>
      </c>
      <c r="W215" s="56" t="n">
        <f aca="false">((I215+J215)/2)*O215</f>
        <v>1270713.0006</v>
      </c>
      <c r="X215" s="56" t="n">
        <f aca="false">H215*O215</f>
        <v>207800</v>
      </c>
    </row>
    <row r="216" customFormat="false" ht="22.35" hidden="false" customHeight="false" outlineLevel="0" collapsed="false">
      <c r="A216" s="48" t="s">
        <v>2061</v>
      </c>
      <c r="B216" s="7" t="s">
        <v>2449</v>
      </c>
      <c r="C216" s="7" t="s">
        <v>2450</v>
      </c>
      <c r="D216" s="7" t="s">
        <v>2101</v>
      </c>
      <c r="E216" s="57" t="s">
        <v>2102</v>
      </c>
      <c r="F216" s="7" t="s">
        <v>2097</v>
      </c>
      <c r="G216" s="7" t="s">
        <v>2097</v>
      </c>
      <c r="H216" s="9" t="n">
        <v>169</v>
      </c>
      <c r="I216" s="9" t="n">
        <v>316.2</v>
      </c>
      <c r="J216" s="9" t="n">
        <v>948.61</v>
      </c>
      <c r="K216" s="52" t="n">
        <v>1764</v>
      </c>
      <c r="L216" s="58" t="n">
        <v>102.6</v>
      </c>
      <c r="M216" s="59" t="n">
        <v>92.3</v>
      </c>
      <c r="N216" s="9" t="n">
        <v>6.163795</v>
      </c>
      <c r="O216" s="8" t="n">
        <v>8.5946</v>
      </c>
      <c r="P216" s="9" t="n">
        <v>-779.61</v>
      </c>
      <c r="Q216" s="7" t="s">
        <v>2103</v>
      </c>
      <c r="R216" s="7" t="s">
        <v>2099</v>
      </c>
      <c r="S216" s="58" t="n">
        <v>0.5</v>
      </c>
      <c r="T216" s="9" t="n">
        <v>882</v>
      </c>
      <c r="U216" s="56" t="n">
        <f aca="false">I216*O216</f>
        <v>2717.61252</v>
      </c>
      <c r="V216" s="56" t="n">
        <f aca="false">J216*O216</f>
        <v>8152.923506</v>
      </c>
      <c r="W216" s="56" t="n">
        <f aca="false">((I216+J216)/2)*O216</f>
        <v>5435.268013</v>
      </c>
      <c r="X216" s="56" t="n">
        <f aca="false">H216*O216</f>
        <v>1452.4874</v>
      </c>
    </row>
    <row r="217" customFormat="false" ht="15" hidden="false" customHeight="false" outlineLevel="0" collapsed="false">
      <c r="A217" s="48" t="s">
        <v>2061</v>
      </c>
      <c r="B217" s="49" t="s">
        <v>2451</v>
      </c>
      <c r="C217" s="49" t="s">
        <v>2452</v>
      </c>
      <c r="D217" s="49" t="s">
        <v>2101</v>
      </c>
      <c r="E217" s="50" t="s">
        <v>2096</v>
      </c>
      <c r="F217" s="49" t="s">
        <v>2097</v>
      </c>
      <c r="G217" s="49" t="s">
        <v>2097</v>
      </c>
      <c r="H217" s="51" t="n">
        <v>435</v>
      </c>
      <c r="I217" s="51" t="n">
        <v>83.21</v>
      </c>
      <c r="J217" s="51" t="n">
        <v>249.64</v>
      </c>
      <c r="K217" s="52" t="n">
        <v>5000</v>
      </c>
      <c r="L217" s="53" t="n">
        <v>16.7</v>
      </c>
      <c r="M217" s="54" t="n">
        <v>67.9</v>
      </c>
      <c r="N217" s="51" t="n">
        <v>9.965753</v>
      </c>
      <c r="O217" s="55" t="n">
        <v>0.5705</v>
      </c>
      <c r="P217" s="51" t="n">
        <v>185.36</v>
      </c>
      <c r="Q217" s="49" t="s">
        <v>2098</v>
      </c>
      <c r="R217" s="49" t="s">
        <v>2099</v>
      </c>
      <c r="S217" s="53" t="n">
        <v>0.5</v>
      </c>
      <c r="T217" s="51" t="n">
        <v>5000</v>
      </c>
      <c r="U217" s="56" t="n">
        <f aca="false">I217*O217</f>
        <v>47.471305</v>
      </c>
      <c r="V217" s="56" t="n">
        <f aca="false">J217*O217</f>
        <v>142.41962</v>
      </c>
      <c r="W217" s="56" t="n">
        <f aca="false">((I217+J217)/2)*O217</f>
        <v>94.9454625</v>
      </c>
      <c r="X217" s="56" t="n">
        <f aca="false">H217*O217</f>
        <v>248.1675</v>
      </c>
    </row>
    <row r="218" customFormat="false" ht="22.35" hidden="false" customHeight="false" outlineLevel="0" collapsed="false">
      <c r="A218" s="48" t="s">
        <v>2061</v>
      </c>
      <c r="B218" s="7" t="s">
        <v>2453</v>
      </c>
      <c r="C218" s="7" t="s">
        <v>2454</v>
      </c>
      <c r="D218" s="7" t="s">
        <v>2095</v>
      </c>
      <c r="E218" s="61" t="s">
        <v>2113</v>
      </c>
      <c r="F218" s="7" t="s">
        <v>2097</v>
      </c>
      <c r="G218" s="7" t="s">
        <v>2097</v>
      </c>
      <c r="H218" s="9" t="n">
        <v>10000</v>
      </c>
      <c r="I218" s="9" t="n">
        <v>11385.21</v>
      </c>
      <c r="J218" s="9" t="n">
        <v>22770.42</v>
      </c>
      <c r="K218" s="52" t="n">
        <v>29760</v>
      </c>
      <c r="L218" s="58" t="n">
        <v>39.2</v>
      </c>
      <c r="M218" s="59" t="n">
        <v>66.7</v>
      </c>
      <c r="N218" s="9" t="n">
        <v>290.438986</v>
      </c>
      <c r="O218" s="8" t="n">
        <v>3.857</v>
      </c>
      <c r="P218" s="9" t="n">
        <v>-12770.42</v>
      </c>
      <c r="Q218" s="7" t="s">
        <v>2103</v>
      </c>
      <c r="R218" s="7" t="s">
        <v>2099</v>
      </c>
      <c r="S218" s="58" t="n">
        <v>1</v>
      </c>
      <c r="T218" s="9" t="n">
        <v>9920</v>
      </c>
      <c r="U218" s="56" t="n">
        <f aca="false">I218*O218</f>
        <v>43912.75497</v>
      </c>
      <c r="V218" s="56" t="n">
        <f aca="false">J218*O218</f>
        <v>87825.50994</v>
      </c>
      <c r="W218" s="56" t="n">
        <f aca="false">((I218+J218)/2)*O218</f>
        <v>65869.132455</v>
      </c>
      <c r="X218" s="56" t="n">
        <f aca="false">H218*O218</f>
        <v>38570</v>
      </c>
    </row>
    <row r="219" customFormat="false" ht="22.35" hidden="false" customHeight="false" outlineLevel="0" collapsed="false">
      <c r="A219" s="48" t="s">
        <v>2061</v>
      </c>
      <c r="B219" s="49" t="s">
        <v>2455</v>
      </c>
      <c r="C219" s="49" t="s">
        <v>2456</v>
      </c>
      <c r="D219" s="49" t="s">
        <v>2095</v>
      </c>
      <c r="E219" s="61" t="s">
        <v>2113</v>
      </c>
      <c r="F219" s="49" t="s">
        <v>2097</v>
      </c>
      <c r="G219" s="49" t="s">
        <v>2097</v>
      </c>
      <c r="H219" s="51" t="n">
        <v>3662</v>
      </c>
      <c r="I219" s="51" t="n">
        <v>3900.16</v>
      </c>
      <c r="J219" s="51" t="n">
        <v>7800.32</v>
      </c>
      <c r="K219" s="52" t="n">
        <v>8550</v>
      </c>
      <c r="L219" s="53" t="n">
        <v>32.6</v>
      </c>
      <c r="M219" s="54" t="n">
        <v>79.3</v>
      </c>
      <c r="N219" s="51" t="n">
        <v>119.636836</v>
      </c>
      <c r="O219" s="55" t="n">
        <v>1.72</v>
      </c>
      <c r="P219" s="51" t="n">
        <v>-4138.32</v>
      </c>
      <c r="Q219" s="49" t="s">
        <v>2103</v>
      </c>
      <c r="R219" s="49" t="s">
        <v>2099</v>
      </c>
      <c r="S219" s="53" t="n">
        <v>1</v>
      </c>
      <c r="T219" s="51" t="n">
        <v>1425</v>
      </c>
      <c r="U219" s="56" t="n">
        <f aca="false">I219*O219</f>
        <v>6708.2752</v>
      </c>
      <c r="V219" s="56" t="n">
        <f aca="false">J219*O219</f>
        <v>13416.5504</v>
      </c>
      <c r="W219" s="56" t="n">
        <f aca="false">((I219+J219)/2)*O219</f>
        <v>10062.4128</v>
      </c>
      <c r="X219" s="56" t="n">
        <f aca="false">H219*O219</f>
        <v>6298.64</v>
      </c>
    </row>
    <row r="220" customFormat="false" ht="22.35" hidden="false" customHeight="false" outlineLevel="0" collapsed="false">
      <c r="A220" s="48" t="s">
        <v>2061</v>
      </c>
      <c r="B220" s="7" t="s">
        <v>2457</v>
      </c>
      <c r="C220" s="7" t="s">
        <v>1531</v>
      </c>
      <c r="D220" s="7" t="s">
        <v>2101</v>
      </c>
      <c r="E220" s="57" t="s">
        <v>2102</v>
      </c>
      <c r="F220" s="7" t="s">
        <v>2097</v>
      </c>
      <c r="G220" s="7" t="s">
        <v>2097</v>
      </c>
      <c r="H220" s="9" t="n">
        <v>1160</v>
      </c>
      <c r="I220" s="9" t="n">
        <v>707.9</v>
      </c>
      <c r="J220" s="9" t="n">
        <v>2123.7</v>
      </c>
      <c r="K220" s="52" t="n">
        <v>2394</v>
      </c>
      <c r="L220" s="58" t="n">
        <v>42.8</v>
      </c>
      <c r="M220" s="59" t="n">
        <v>78.6</v>
      </c>
      <c r="N220" s="9" t="n">
        <v>33.079549</v>
      </c>
      <c r="O220" s="8" t="n">
        <v>3.6772</v>
      </c>
      <c r="P220" s="9" t="n">
        <v>-963.7</v>
      </c>
      <c r="Q220" s="7" t="s">
        <v>2103</v>
      </c>
      <c r="R220" s="7" t="s">
        <v>2099</v>
      </c>
      <c r="S220" s="58" t="n">
        <v>0.5</v>
      </c>
      <c r="T220" s="9" t="n">
        <v>798</v>
      </c>
      <c r="U220" s="56" t="n">
        <f aca="false">I220*O220</f>
        <v>2603.08988</v>
      </c>
      <c r="V220" s="56" t="n">
        <f aca="false">J220*O220</f>
        <v>7809.26964</v>
      </c>
      <c r="W220" s="56" t="n">
        <f aca="false">((I220+J220)/2)*O220</f>
        <v>5206.17976</v>
      </c>
      <c r="X220" s="56" t="n">
        <f aca="false">H220*O220</f>
        <v>4265.552</v>
      </c>
    </row>
    <row r="221" customFormat="false" ht="22.35" hidden="false" customHeight="false" outlineLevel="0" collapsed="false">
      <c r="A221" s="48" t="s">
        <v>2061</v>
      </c>
      <c r="B221" s="49" t="s">
        <v>2458</v>
      </c>
      <c r="C221" s="49" t="s">
        <v>2459</v>
      </c>
      <c r="D221" s="49" t="s">
        <v>2095</v>
      </c>
      <c r="E221" s="61" t="s">
        <v>2113</v>
      </c>
      <c r="F221" s="49" t="s">
        <v>2097</v>
      </c>
      <c r="G221" s="49" t="s">
        <v>2097</v>
      </c>
      <c r="H221" s="51" t="n">
        <v>4711</v>
      </c>
      <c r="I221" s="51" t="n">
        <v>5985.65</v>
      </c>
      <c r="J221" s="51" t="n">
        <v>11971.3</v>
      </c>
      <c r="K221" s="52" t="n">
        <v>17636.8</v>
      </c>
      <c r="L221" s="53" t="n">
        <v>33.6</v>
      </c>
      <c r="M221" s="54" t="n">
        <v>41.2</v>
      </c>
      <c r="N221" s="51" t="n">
        <v>178.144356</v>
      </c>
      <c r="O221" s="55" t="n">
        <v>0.9992</v>
      </c>
      <c r="P221" s="51" t="n">
        <v>-7260.3</v>
      </c>
      <c r="Q221" s="49" t="s">
        <v>2103</v>
      </c>
      <c r="R221" s="49" t="s">
        <v>2099</v>
      </c>
      <c r="S221" s="53" t="n">
        <v>1</v>
      </c>
      <c r="T221" s="51" t="n">
        <v>8818.4</v>
      </c>
      <c r="U221" s="56" t="n">
        <f aca="false">I221*O221</f>
        <v>5980.86148</v>
      </c>
      <c r="V221" s="56" t="n">
        <f aca="false">J221*O221</f>
        <v>11961.72296</v>
      </c>
      <c r="W221" s="56" t="n">
        <f aca="false">((I221+J221)/2)*O221</f>
        <v>8971.29222</v>
      </c>
      <c r="X221" s="56" t="n">
        <f aca="false">H221*O221</f>
        <v>4707.2312</v>
      </c>
    </row>
    <row r="222" customFormat="false" ht="22.35" hidden="false" customHeight="false" outlineLevel="0" collapsed="false">
      <c r="A222" s="48" t="s">
        <v>2061</v>
      </c>
      <c r="B222" s="7" t="s">
        <v>2460</v>
      </c>
      <c r="C222" s="7" t="s">
        <v>2461</v>
      </c>
      <c r="D222" s="7" t="s">
        <v>2101</v>
      </c>
      <c r="E222" s="57" t="s">
        <v>2102</v>
      </c>
      <c r="F222" s="7" t="s">
        <v>2097</v>
      </c>
      <c r="G222" s="7" t="s">
        <v>2097</v>
      </c>
      <c r="H222" s="9" t="n">
        <v>3293</v>
      </c>
      <c r="I222" s="9" t="n">
        <v>1763.66</v>
      </c>
      <c r="J222" s="9" t="n">
        <v>5290.98</v>
      </c>
      <c r="K222" s="52" t="n">
        <v>6120</v>
      </c>
      <c r="L222" s="58" t="n">
        <v>28.8</v>
      </c>
      <c r="M222" s="59" t="n">
        <v>87</v>
      </c>
      <c r="N222" s="9" t="n">
        <v>122.476466</v>
      </c>
      <c r="O222" s="8" t="n">
        <v>3.85</v>
      </c>
      <c r="P222" s="9" t="n">
        <v>-1997.98</v>
      </c>
      <c r="Q222" s="7" t="s">
        <v>2103</v>
      </c>
      <c r="R222" s="7" t="s">
        <v>2099</v>
      </c>
      <c r="S222" s="58" t="n">
        <v>0.5</v>
      </c>
      <c r="T222" s="9" t="n">
        <v>2040</v>
      </c>
      <c r="U222" s="56" t="n">
        <f aca="false">I222*O222</f>
        <v>6790.091</v>
      </c>
      <c r="V222" s="56" t="n">
        <f aca="false">J222*O222</f>
        <v>20370.273</v>
      </c>
      <c r="W222" s="56" t="n">
        <f aca="false">((I222+J222)/2)*O222</f>
        <v>13580.182</v>
      </c>
      <c r="X222" s="56" t="n">
        <f aca="false">H222*O222</f>
        <v>12678.05</v>
      </c>
    </row>
    <row r="223" customFormat="false" ht="15" hidden="false" customHeight="false" outlineLevel="0" collapsed="false">
      <c r="A223" s="48" t="s">
        <v>2061</v>
      </c>
      <c r="B223" s="49" t="s">
        <v>2462</v>
      </c>
      <c r="C223" s="49" t="s">
        <v>2463</v>
      </c>
      <c r="D223" s="49" t="s">
        <v>2095</v>
      </c>
      <c r="E223" s="50" t="s">
        <v>2096</v>
      </c>
      <c r="F223" s="49" t="s">
        <v>2097</v>
      </c>
      <c r="G223" s="49" t="s">
        <v>2097</v>
      </c>
      <c r="H223" s="51" t="n">
        <v>25650</v>
      </c>
      <c r="I223" s="51" t="n">
        <v>8754.71</v>
      </c>
      <c r="J223" s="51" t="n">
        <v>17509.42</v>
      </c>
      <c r="K223" s="52" t="n">
        <v>17509.42</v>
      </c>
      <c r="L223" s="53" t="n">
        <v>32.4</v>
      </c>
      <c r="M223" s="54" t="n">
        <v>53.6</v>
      </c>
      <c r="N223" s="51" t="n">
        <v>270.207181</v>
      </c>
      <c r="O223" s="55" t="n">
        <v>3.621</v>
      </c>
      <c r="P223" s="51" t="n">
        <v>8140.58</v>
      </c>
      <c r="Q223" s="49" t="s">
        <v>2098</v>
      </c>
      <c r="R223" s="49" t="s">
        <v>2099</v>
      </c>
      <c r="S223" s="53" t="n">
        <v>1</v>
      </c>
      <c r="T223" s="51" t="n">
        <v>1</v>
      </c>
      <c r="U223" s="56" t="n">
        <f aca="false">I223*O223</f>
        <v>31700.80491</v>
      </c>
      <c r="V223" s="56" t="n">
        <f aca="false">J223*O223</f>
        <v>63401.60982</v>
      </c>
      <c r="W223" s="56" t="n">
        <f aca="false">((I223+J223)/2)*O223</f>
        <v>47551.207365</v>
      </c>
      <c r="X223" s="56" t="n">
        <f aca="false">H223*O223</f>
        <v>92878.65</v>
      </c>
    </row>
    <row r="224" customFormat="false" ht="22.35" hidden="false" customHeight="false" outlineLevel="0" collapsed="false">
      <c r="A224" s="48" t="s">
        <v>2061</v>
      </c>
      <c r="B224" s="7" t="s">
        <v>2464</v>
      </c>
      <c r="C224" s="7" t="s">
        <v>1904</v>
      </c>
      <c r="D224" s="7" t="s">
        <v>2095</v>
      </c>
      <c r="E224" s="61" t="s">
        <v>2113</v>
      </c>
      <c r="F224" s="7" t="s">
        <v>2097</v>
      </c>
      <c r="G224" s="7" t="s">
        <v>2097</v>
      </c>
      <c r="H224" s="9" t="n">
        <v>27884</v>
      </c>
      <c r="I224" s="9" t="n">
        <v>28559.54</v>
      </c>
      <c r="J224" s="9" t="n">
        <v>57119.08</v>
      </c>
      <c r="K224" s="52" t="n">
        <v>57119.08</v>
      </c>
      <c r="L224" s="58" t="n">
        <v>52</v>
      </c>
      <c r="M224" s="59" t="n">
        <v>72.3</v>
      </c>
      <c r="N224" s="9" t="n">
        <v>549.22189</v>
      </c>
      <c r="O224" s="8" t="n">
        <v>2.4784</v>
      </c>
      <c r="P224" s="9" t="n">
        <v>-29235.08</v>
      </c>
      <c r="Q224" s="7" t="s">
        <v>2103</v>
      </c>
      <c r="R224" s="7" t="s">
        <v>2099</v>
      </c>
      <c r="S224" s="58" t="n">
        <v>1</v>
      </c>
      <c r="T224" s="9" t="n">
        <v>1</v>
      </c>
      <c r="U224" s="56" t="n">
        <f aca="false">I224*O224</f>
        <v>70781.963936</v>
      </c>
      <c r="V224" s="56" t="n">
        <f aca="false">J224*O224</f>
        <v>141563.927872</v>
      </c>
      <c r="W224" s="56" t="n">
        <f aca="false">((I224+J224)/2)*O224</f>
        <v>106172.945904</v>
      </c>
      <c r="X224" s="56" t="n">
        <f aca="false">H224*O224</f>
        <v>69107.7056</v>
      </c>
    </row>
    <row r="225" customFormat="false" ht="22.35" hidden="false" customHeight="false" outlineLevel="0" collapsed="false">
      <c r="A225" s="48" t="s">
        <v>2061</v>
      </c>
      <c r="B225" s="49" t="s">
        <v>2465</v>
      </c>
      <c r="C225" s="49" t="s">
        <v>2466</v>
      </c>
      <c r="D225" s="49" t="s">
        <v>2101</v>
      </c>
      <c r="E225" s="57" t="s">
        <v>2102</v>
      </c>
      <c r="F225" s="49" t="s">
        <v>2097</v>
      </c>
      <c r="G225" s="49" t="s">
        <v>2097</v>
      </c>
      <c r="H225" s="51" t="n">
        <v>845</v>
      </c>
      <c r="I225" s="51" t="n">
        <v>1938.56</v>
      </c>
      <c r="J225" s="51" t="n">
        <v>5815.68</v>
      </c>
      <c r="K225" s="52" t="n">
        <v>7936.56</v>
      </c>
      <c r="L225" s="53" t="n">
        <v>93.1</v>
      </c>
      <c r="M225" s="54" t="n">
        <v>50</v>
      </c>
      <c r="N225" s="51" t="n">
        <v>41.644699</v>
      </c>
      <c r="O225" s="55" t="n">
        <v>1.8431</v>
      </c>
      <c r="P225" s="51" t="n">
        <v>-4970.68</v>
      </c>
      <c r="Q225" s="49" t="s">
        <v>2103</v>
      </c>
      <c r="R225" s="49" t="s">
        <v>2099</v>
      </c>
      <c r="S225" s="53" t="n">
        <v>0.5</v>
      </c>
      <c r="T225" s="51" t="n">
        <v>3968.28</v>
      </c>
      <c r="U225" s="56" t="n">
        <f aca="false">I225*O225</f>
        <v>3572.959936</v>
      </c>
      <c r="V225" s="56" t="n">
        <f aca="false">J225*O225</f>
        <v>10718.879808</v>
      </c>
      <c r="W225" s="56" t="n">
        <f aca="false">((I225+J225)/2)*O225</f>
        <v>7145.919872</v>
      </c>
      <c r="X225" s="56" t="n">
        <f aca="false">H225*O225</f>
        <v>1557.4195</v>
      </c>
    </row>
    <row r="226" customFormat="false" ht="22.35" hidden="false" customHeight="false" outlineLevel="0" collapsed="false">
      <c r="A226" s="48" t="s">
        <v>2061</v>
      </c>
      <c r="B226" s="7" t="s">
        <v>2467</v>
      </c>
      <c r="C226" s="7" t="s">
        <v>2468</v>
      </c>
      <c r="D226" s="7" t="s">
        <v>2095</v>
      </c>
      <c r="E226" s="61" t="s">
        <v>2113</v>
      </c>
      <c r="F226" s="7" t="s">
        <v>2097</v>
      </c>
      <c r="G226" s="7" t="s">
        <v>2097</v>
      </c>
      <c r="H226" s="9" t="n">
        <v>4324</v>
      </c>
      <c r="I226" s="9" t="n">
        <v>4033.39</v>
      </c>
      <c r="J226" s="9" t="n">
        <v>8066.78</v>
      </c>
      <c r="K226" s="52" t="n">
        <v>8400</v>
      </c>
      <c r="L226" s="58" t="n">
        <v>26.5</v>
      </c>
      <c r="M226" s="59" t="n">
        <v>84.1</v>
      </c>
      <c r="N226" s="9" t="n">
        <v>152.203247</v>
      </c>
      <c r="O226" s="8" t="n">
        <v>1.887</v>
      </c>
      <c r="P226" s="9" t="n">
        <v>-3742.78</v>
      </c>
      <c r="Q226" s="7" t="s">
        <v>2103</v>
      </c>
      <c r="R226" s="7" t="s">
        <v>2099</v>
      </c>
      <c r="S226" s="58" t="n">
        <v>1</v>
      </c>
      <c r="T226" s="9" t="n">
        <v>2100</v>
      </c>
      <c r="U226" s="56" t="n">
        <f aca="false">I226*O226</f>
        <v>7611.00693</v>
      </c>
      <c r="V226" s="56" t="n">
        <f aca="false">J226*O226</f>
        <v>15222.01386</v>
      </c>
      <c r="W226" s="56" t="n">
        <f aca="false">((I226+J226)/2)*O226</f>
        <v>11416.510395</v>
      </c>
      <c r="X226" s="56" t="n">
        <f aca="false">H226*O226</f>
        <v>8159.388</v>
      </c>
    </row>
    <row r="227" customFormat="false" ht="22.35" hidden="false" customHeight="false" outlineLevel="0" collapsed="false">
      <c r="A227" s="48" t="s">
        <v>2061</v>
      </c>
      <c r="B227" s="49" t="s">
        <v>2469</v>
      </c>
      <c r="C227" s="49" t="s">
        <v>1992</v>
      </c>
      <c r="D227" s="49" t="s">
        <v>2095</v>
      </c>
      <c r="E227" s="61" t="s">
        <v>2113</v>
      </c>
      <c r="F227" s="49" t="s">
        <v>2097</v>
      </c>
      <c r="G227" s="49" t="s">
        <v>2097</v>
      </c>
      <c r="H227" s="51" t="n">
        <v>6260</v>
      </c>
      <c r="I227" s="51" t="n">
        <v>3559.34</v>
      </c>
      <c r="J227" s="51" t="n">
        <v>7118.68</v>
      </c>
      <c r="K227" s="52" t="n">
        <v>8000</v>
      </c>
      <c r="L227" s="53" t="n">
        <v>23.4</v>
      </c>
      <c r="M227" s="54" t="n">
        <v>63.5</v>
      </c>
      <c r="N227" s="51" t="n">
        <v>152.108562</v>
      </c>
      <c r="O227" s="55" t="n">
        <v>3.17</v>
      </c>
      <c r="P227" s="51" t="n">
        <v>-858.68</v>
      </c>
      <c r="Q227" s="49" t="s">
        <v>2103</v>
      </c>
      <c r="R227" s="49" t="s">
        <v>2099</v>
      </c>
      <c r="S227" s="53" t="n">
        <v>1</v>
      </c>
      <c r="T227" s="51" t="n">
        <v>2000</v>
      </c>
      <c r="U227" s="56" t="n">
        <f aca="false">I227*O227</f>
        <v>11283.1078</v>
      </c>
      <c r="V227" s="56" t="n">
        <f aca="false">J227*O227</f>
        <v>22566.2156</v>
      </c>
      <c r="W227" s="56" t="n">
        <f aca="false">((I227+J227)/2)*O227</f>
        <v>16924.6617</v>
      </c>
      <c r="X227" s="56" t="n">
        <f aca="false">H227*O227</f>
        <v>19844.2</v>
      </c>
    </row>
    <row r="228" customFormat="false" ht="22.35" hidden="false" customHeight="false" outlineLevel="0" collapsed="false">
      <c r="A228" s="48" t="s">
        <v>2061</v>
      </c>
      <c r="B228" s="7" t="s">
        <v>2470</v>
      </c>
      <c r="C228" s="7" t="s">
        <v>2471</v>
      </c>
      <c r="D228" s="7" t="s">
        <v>2109</v>
      </c>
      <c r="E228" s="60" t="s">
        <v>2110</v>
      </c>
      <c r="F228" s="7" t="s">
        <v>2097</v>
      </c>
      <c r="G228" s="7" t="s">
        <v>2097</v>
      </c>
      <c r="H228" s="9" t="n">
        <v>1489</v>
      </c>
      <c r="I228" s="9" t="n">
        <v>1861.04</v>
      </c>
      <c r="J228" s="9" t="n">
        <v>3101.73</v>
      </c>
      <c r="K228" s="52" t="n">
        <v>3500</v>
      </c>
      <c r="L228" s="58" t="n">
        <v>30.5</v>
      </c>
      <c r="M228" s="59" t="n">
        <v>52.9</v>
      </c>
      <c r="N228" s="9" t="n">
        <v>40.67837</v>
      </c>
      <c r="O228" s="8" t="n">
        <v>2.7883</v>
      </c>
      <c r="P228" s="9" t="n">
        <v>-1612.73</v>
      </c>
      <c r="Q228" s="7" t="s">
        <v>2103</v>
      </c>
      <c r="R228" s="7" t="s">
        <v>2099</v>
      </c>
      <c r="S228" s="58" t="n">
        <v>1.5</v>
      </c>
      <c r="T228" s="9" t="n">
        <v>500</v>
      </c>
      <c r="U228" s="56" t="n">
        <f aca="false">I228*O228</f>
        <v>5189.137832</v>
      </c>
      <c r="V228" s="56" t="n">
        <f aca="false">J228*O228</f>
        <v>8648.553759</v>
      </c>
      <c r="W228" s="56" t="n">
        <f aca="false">((I228+J228)/2)*O228</f>
        <v>6918.8457955</v>
      </c>
      <c r="X228" s="56" t="n">
        <f aca="false">H228*O228</f>
        <v>4151.7787</v>
      </c>
    </row>
    <row r="229" customFormat="false" ht="22.35" hidden="false" customHeight="false" outlineLevel="0" collapsed="false">
      <c r="A229" s="48" t="s">
        <v>2061</v>
      </c>
      <c r="B229" s="49" t="s">
        <v>2472</v>
      </c>
      <c r="C229" s="49" t="s">
        <v>2473</v>
      </c>
      <c r="D229" s="49" t="s">
        <v>2095</v>
      </c>
      <c r="E229" s="61" t="s">
        <v>2113</v>
      </c>
      <c r="F229" s="49" t="s">
        <v>2097</v>
      </c>
      <c r="G229" s="49" t="s">
        <v>2097</v>
      </c>
      <c r="H229" s="51" t="n">
        <v>10000</v>
      </c>
      <c r="I229" s="51" t="n">
        <v>16525</v>
      </c>
      <c r="J229" s="51" t="n">
        <v>33050</v>
      </c>
      <c r="K229" s="52" t="n">
        <v>33050</v>
      </c>
      <c r="L229" s="53" t="n">
        <v>39.3</v>
      </c>
      <c r="M229" s="54" t="n">
        <v>66.7</v>
      </c>
      <c r="N229" s="51" t="n">
        <v>420.483397</v>
      </c>
      <c r="O229" s="55" t="n">
        <v>3.597</v>
      </c>
      <c r="P229" s="51" t="n">
        <v>-23050</v>
      </c>
      <c r="Q229" s="49" t="s">
        <v>2103</v>
      </c>
      <c r="R229" s="49" t="s">
        <v>2099</v>
      </c>
      <c r="S229" s="53" t="n">
        <v>1</v>
      </c>
      <c r="T229" s="51" t="n">
        <v>1</v>
      </c>
      <c r="U229" s="56" t="n">
        <f aca="false">I229*O229</f>
        <v>59440.425</v>
      </c>
      <c r="V229" s="56" t="n">
        <f aca="false">J229*O229</f>
        <v>118880.85</v>
      </c>
      <c r="W229" s="56" t="n">
        <f aca="false">((I229+J229)/2)*O229</f>
        <v>89160.6375</v>
      </c>
      <c r="X229" s="56" t="n">
        <f aca="false">H229*O229</f>
        <v>35970</v>
      </c>
    </row>
    <row r="230" customFormat="false" ht="22.35" hidden="false" customHeight="false" outlineLevel="0" collapsed="false">
      <c r="A230" s="48" t="s">
        <v>2061</v>
      </c>
      <c r="B230" s="7" t="s">
        <v>2474</v>
      </c>
      <c r="C230" s="7" t="s">
        <v>1744</v>
      </c>
      <c r="D230" s="7" t="s">
        <v>2101</v>
      </c>
      <c r="E230" s="57" t="s">
        <v>2102</v>
      </c>
      <c r="F230" s="7" t="s">
        <v>2097</v>
      </c>
      <c r="G230" s="7" t="s">
        <v>2097</v>
      </c>
      <c r="H230" s="9" t="n">
        <v>988</v>
      </c>
      <c r="I230" s="9" t="n">
        <v>1642.73</v>
      </c>
      <c r="J230" s="9" t="n">
        <v>4928.18</v>
      </c>
      <c r="K230" s="52" t="n">
        <v>5280</v>
      </c>
      <c r="L230" s="58" t="n">
        <v>140.8</v>
      </c>
      <c r="M230" s="59" t="n">
        <v>16.7</v>
      </c>
      <c r="N230" s="9" t="n">
        <v>23.334164</v>
      </c>
      <c r="O230" s="8" t="n">
        <v>4.8508</v>
      </c>
      <c r="P230" s="9" t="n">
        <v>-3940.18</v>
      </c>
      <c r="Q230" s="7" t="s">
        <v>2103</v>
      </c>
      <c r="R230" s="7" t="s">
        <v>2099</v>
      </c>
      <c r="S230" s="58" t="n">
        <v>0.5</v>
      </c>
      <c r="T230" s="9" t="n">
        <v>1760</v>
      </c>
      <c r="U230" s="56" t="n">
        <f aca="false">I230*O230</f>
        <v>7968.554684</v>
      </c>
      <c r="V230" s="56" t="n">
        <f aca="false">J230*O230</f>
        <v>23905.615544</v>
      </c>
      <c r="W230" s="56" t="n">
        <f aca="false">((I230+J230)/2)*O230</f>
        <v>15937.085114</v>
      </c>
      <c r="X230" s="56" t="n">
        <f aca="false">H230*O230</f>
        <v>4792.5904</v>
      </c>
    </row>
    <row r="231" customFormat="false" ht="22.35" hidden="false" customHeight="false" outlineLevel="0" collapsed="false">
      <c r="A231" s="48" t="s">
        <v>2061</v>
      </c>
      <c r="B231" s="49" t="s">
        <v>2475</v>
      </c>
      <c r="C231" s="49" t="s">
        <v>2476</v>
      </c>
      <c r="D231" s="49" t="s">
        <v>2095</v>
      </c>
      <c r="E231" s="61" t="s">
        <v>2113</v>
      </c>
      <c r="F231" s="49" t="s">
        <v>2097</v>
      </c>
      <c r="G231" s="49" t="s">
        <v>2097</v>
      </c>
      <c r="H231" s="51" t="n">
        <v>4143</v>
      </c>
      <c r="I231" s="51" t="n">
        <v>3647.31</v>
      </c>
      <c r="J231" s="51" t="n">
        <v>7294.62</v>
      </c>
      <c r="K231" s="52" t="n">
        <v>8994.8</v>
      </c>
      <c r="L231" s="53" t="n">
        <v>28.4</v>
      </c>
      <c r="M231" s="54" t="n">
        <v>88.4</v>
      </c>
      <c r="N231" s="51" t="n">
        <v>128.426425</v>
      </c>
      <c r="O231" s="55" t="n">
        <v>3.55</v>
      </c>
      <c r="P231" s="51" t="n">
        <v>-3151.62</v>
      </c>
      <c r="Q231" s="49" t="s">
        <v>2103</v>
      </c>
      <c r="R231" s="49" t="s">
        <v>2099</v>
      </c>
      <c r="S231" s="53" t="n">
        <v>1</v>
      </c>
      <c r="T231" s="51" t="n">
        <v>2248.7</v>
      </c>
      <c r="U231" s="56" t="n">
        <f aca="false">I231*O231</f>
        <v>12947.9505</v>
      </c>
      <c r="V231" s="56" t="n">
        <f aca="false">J231*O231</f>
        <v>25895.901</v>
      </c>
      <c r="W231" s="56" t="n">
        <f aca="false">((I231+J231)/2)*O231</f>
        <v>19421.92575</v>
      </c>
      <c r="X231" s="56" t="n">
        <f aca="false">H231*O231</f>
        <v>14707.65</v>
      </c>
    </row>
    <row r="232" customFormat="false" ht="22.35" hidden="false" customHeight="false" outlineLevel="0" collapsed="false">
      <c r="A232" s="48" t="s">
        <v>2061</v>
      </c>
      <c r="B232" s="7" t="s">
        <v>2477</v>
      </c>
      <c r="C232" s="7" t="s">
        <v>2478</v>
      </c>
      <c r="D232" s="7" t="s">
        <v>2095</v>
      </c>
      <c r="E232" s="61" t="s">
        <v>2113</v>
      </c>
      <c r="F232" s="7" t="s">
        <v>2097</v>
      </c>
      <c r="G232" s="7" t="s">
        <v>2097</v>
      </c>
      <c r="H232" s="9" t="n">
        <v>692</v>
      </c>
      <c r="I232" s="9" t="n">
        <v>1220.81</v>
      </c>
      <c r="J232" s="9" t="n">
        <v>2441.62</v>
      </c>
      <c r="K232" s="52" t="n">
        <v>2646</v>
      </c>
      <c r="L232" s="58" t="n">
        <v>45.1</v>
      </c>
      <c r="M232" s="59" t="n">
        <v>69.6</v>
      </c>
      <c r="N232" s="9" t="n">
        <v>27.068877</v>
      </c>
      <c r="O232" s="8" t="n">
        <v>7.7</v>
      </c>
      <c r="P232" s="9" t="n">
        <v>-1749.62</v>
      </c>
      <c r="Q232" s="7" t="s">
        <v>2103</v>
      </c>
      <c r="R232" s="7" t="s">
        <v>2099</v>
      </c>
      <c r="S232" s="58" t="n">
        <v>1</v>
      </c>
      <c r="T232" s="9" t="n">
        <v>1323</v>
      </c>
      <c r="U232" s="56" t="n">
        <f aca="false">I232*O232</f>
        <v>9400.237</v>
      </c>
      <c r="V232" s="56" t="n">
        <f aca="false">J232*O232</f>
        <v>18800.474</v>
      </c>
      <c r="W232" s="56" t="n">
        <f aca="false">((I232+J232)/2)*O232</f>
        <v>14100.3555</v>
      </c>
      <c r="X232" s="56" t="n">
        <f aca="false">H232*O232</f>
        <v>5328.4</v>
      </c>
    </row>
    <row r="233" customFormat="false" ht="22.35" hidden="false" customHeight="false" outlineLevel="0" collapsed="false">
      <c r="A233" s="48" t="s">
        <v>2061</v>
      </c>
      <c r="B233" s="49" t="s">
        <v>2479</v>
      </c>
      <c r="C233" s="49" t="s">
        <v>1904</v>
      </c>
      <c r="D233" s="49" t="s">
        <v>2095</v>
      </c>
      <c r="E233" s="61" t="s">
        <v>2113</v>
      </c>
      <c r="F233" s="49" t="s">
        <v>2097</v>
      </c>
      <c r="G233" s="49" t="s">
        <v>2097</v>
      </c>
      <c r="H233" s="51" t="n">
        <v>18000</v>
      </c>
      <c r="I233" s="51" t="n">
        <v>36446.04</v>
      </c>
      <c r="J233" s="51" t="n">
        <v>72892.08</v>
      </c>
      <c r="K233" s="52" t="n">
        <v>72892.08</v>
      </c>
      <c r="L233" s="53" t="n">
        <v>52.9</v>
      </c>
      <c r="M233" s="54" t="n">
        <v>76.5</v>
      </c>
      <c r="N233" s="51" t="n">
        <v>688.961096</v>
      </c>
      <c r="O233" s="55" t="n">
        <v>5.15</v>
      </c>
      <c r="P233" s="51" t="n">
        <v>-54892.08</v>
      </c>
      <c r="Q233" s="49" t="s">
        <v>2103</v>
      </c>
      <c r="R233" s="49" t="s">
        <v>2099</v>
      </c>
      <c r="S233" s="53" t="n">
        <v>1</v>
      </c>
      <c r="T233" s="51" t="n">
        <v>1</v>
      </c>
      <c r="U233" s="56" t="n">
        <f aca="false">I233*O233</f>
        <v>187697.106</v>
      </c>
      <c r="V233" s="56" t="n">
        <f aca="false">J233*O233</f>
        <v>375394.212</v>
      </c>
      <c r="W233" s="56" t="n">
        <f aca="false">((I233+J233)/2)*O233</f>
        <v>281545.659</v>
      </c>
      <c r="X233" s="56" t="n">
        <f aca="false">H233*O233</f>
        <v>92700</v>
      </c>
    </row>
    <row r="234" customFormat="false" ht="22.35" hidden="false" customHeight="false" outlineLevel="0" collapsed="false">
      <c r="A234" s="48" t="s">
        <v>2061</v>
      </c>
      <c r="B234" s="7" t="s">
        <v>2480</v>
      </c>
      <c r="C234" s="7" t="s">
        <v>2476</v>
      </c>
      <c r="D234" s="7" t="s">
        <v>2109</v>
      </c>
      <c r="E234" s="60" t="s">
        <v>2110</v>
      </c>
      <c r="F234" s="7" t="s">
        <v>2097</v>
      </c>
      <c r="G234" s="7" t="s">
        <v>2097</v>
      </c>
      <c r="H234" s="9" t="n">
        <v>35716</v>
      </c>
      <c r="I234" s="9" t="n">
        <v>71432</v>
      </c>
      <c r="J234" s="9" t="n">
        <v>177856.15</v>
      </c>
      <c r="K234" s="52" t="n">
        <v>177856.15</v>
      </c>
      <c r="L234" s="58" t="n">
        <v>33.2</v>
      </c>
      <c r="M234" s="59" t="n">
        <v>73.3</v>
      </c>
      <c r="N234" s="9" t="n">
        <v>3205.546647</v>
      </c>
      <c r="O234" s="8" t="n">
        <v>1.55</v>
      </c>
      <c r="P234" s="9" t="n">
        <v>-142140.15</v>
      </c>
      <c r="Q234" s="7" t="s">
        <v>2103</v>
      </c>
      <c r="R234" s="7" t="s">
        <v>2481</v>
      </c>
      <c r="S234" s="58" t="n">
        <v>1.5</v>
      </c>
      <c r="T234" s="9" t="n">
        <v>1</v>
      </c>
      <c r="U234" s="56" t="n">
        <f aca="false">I234*O234</f>
        <v>110719.6</v>
      </c>
      <c r="V234" s="56" t="n">
        <f aca="false">J234*O234</f>
        <v>275677.0325</v>
      </c>
      <c r="W234" s="56" t="n">
        <f aca="false">((I234+J234)/2)*O234</f>
        <v>193198.31625</v>
      </c>
      <c r="X234" s="56" t="n">
        <f aca="false">H234*O234</f>
        <v>55359.8</v>
      </c>
    </row>
    <row r="235" customFormat="false" ht="22.35" hidden="false" customHeight="false" outlineLevel="0" collapsed="false">
      <c r="A235" s="48" t="s">
        <v>2061</v>
      </c>
      <c r="B235" s="49" t="s">
        <v>2482</v>
      </c>
      <c r="C235" s="49" t="s">
        <v>2473</v>
      </c>
      <c r="D235" s="49" t="s">
        <v>2109</v>
      </c>
      <c r="E235" s="60" t="s">
        <v>2110</v>
      </c>
      <c r="F235" s="49" t="s">
        <v>2097</v>
      </c>
      <c r="G235" s="49" t="s">
        <v>2097</v>
      </c>
      <c r="H235" s="51" t="n">
        <v>36000</v>
      </c>
      <c r="I235" s="51" t="n">
        <v>72000</v>
      </c>
      <c r="J235" s="51" t="n">
        <v>132994.21</v>
      </c>
      <c r="K235" s="52" t="n">
        <v>132994.21</v>
      </c>
      <c r="L235" s="53" t="n">
        <v>29.9</v>
      </c>
      <c r="M235" s="54" t="n">
        <v>87.9</v>
      </c>
      <c r="N235" s="51" t="n">
        <v>2039.94026</v>
      </c>
      <c r="O235" s="55" t="n">
        <v>1.651</v>
      </c>
      <c r="P235" s="51" t="n">
        <v>-96994.21</v>
      </c>
      <c r="Q235" s="49" t="s">
        <v>2103</v>
      </c>
      <c r="R235" s="49" t="s">
        <v>2483</v>
      </c>
      <c r="S235" s="53" t="n">
        <v>1.5</v>
      </c>
      <c r="T235" s="51" t="n">
        <v>1</v>
      </c>
      <c r="U235" s="56" t="n">
        <f aca="false">I235*O235</f>
        <v>118872</v>
      </c>
      <c r="V235" s="56" t="n">
        <f aca="false">J235*O235</f>
        <v>219573.44071</v>
      </c>
      <c r="W235" s="56" t="n">
        <f aca="false">((I235+J235)/2)*O235</f>
        <v>169222.720355</v>
      </c>
      <c r="X235" s="56" t="n">
        <f aca="false">H235*O235</f>
        <v>59436</v>
      </c>
    </row>
    <row r="236" customFormat="false" ht="22.35" hidden="false" customHeight="false" outlineLevel="0" collapsed="false">
      <c r="A236" s="48" t="s">
        <v>2061</v>
      </c>
      <c r="B236" s="7" t="s">
        <v>2484</v>
      </c>
      <c r="C236" s="7" t="s">
        <v>1842</v>
      </c>
      <c r="D236" s="7" t="s">
        <v>2095</v>
      </c>
      <c r="E236" s="61" t="s">
        <v>2113</v>
      </c>
      <c r="F236" s="7" t="s">
        <v>2097</v>
      </c>
      <c r="G236" s="7" t="s">
        <v>2097</v>
      </c>
      <c r="H236" s="9" t="n">
        <v>20000</v>
      </c>
      <c r="I236" s="9" t="n">
        <v>50199.13</v>
      </c>
      <c r="J236" s="9" t="n">
        <v>100398.26</v>
      </c>
      <c r="K236" s="52" t="n">
        <v>103335.12</v>
      </c>
      <c r="L236" s="58" t="n">
        <v>75.7</v>
      </c>
      <c r="M236" s="59" t="n">
        <v>84.8</v>
      </c>
      <c r="N236" s="9" t="n">
        <v>663.132455</v>
      </c>
      <c r="O236" s="8" t="n">
        <v>2.74</v>
      </c>
      <c r="P236" s="9" t="n">
        <v>-80398.26</v>
      </c>
      <c r="Q236" s="7" t="s">
        <v>2103</v>
      </c>
      <c r="R236" s="7" t="s">
        <v>2099</v>
      </c>
      <c r="S236" s="58" t="n">
        <v>1</v>
      </c>
      <c r="T236" s="9" t="n">
        <v>14762.16</v>
      </c>
      <c r="U236" s="56" t="n">
        <f aca="false">I236*O236</f>
        <v>137545.6162</v>
      </c>
      <c r="V236" s="56" t="n">
        <f aca="false">J236*O236</f>
        <v>275091.2324</v>
      </c>
      <c r="W236" s="56" t="n">
        <f aca="false">((I236+J236)/2)*O236</f>
        <v>206318.4243</v>
      </c>
      <c r="X236" s="56" t="n">
        <f aca="false">H236*O236</f>
        <v>54800</v>
      </c>
    </row>
    <row r="237" customFormat="false" ht="22.35" hidden="false" customHeight="false" outlineLevel="0" collapsed="false">
      <c r="A237" s="48" t="s">
        <v>2061</v>
      </c>
      <c r="B237" s="49" t="s">
        <v>2485</v>
      </c>
      <c r="C237" s="49" t="s">
        <v>2486</v>
      </c>
      <c r="D237" s="49" t="s">
        <v>2095</v>
      </c>
      <c r="E237" s="61" t="s">
        <v>2113</v>
      </c>
      <c r="F237" s="49" t="s">
        <v>2097</v>
      </c>
      <c r="G237" s="49" t="s">
        <v>2097</v>
      </c>
      <c r="H237" s="51" t="n">
        <v>5376</v>
      </c>
      <c r="I237" s="51" t="n">
        <v>5321.02</v>
      </c>
      <c r="J237" s="51" t="n">
        <v>10642.04</v>
      </c>
      <c r="K237" s="52" t="n">
        <v>10800</v>
      </c>
      <c r="L237" s="53" t="n">
        <v>24.1</v>
      </c>
      <c r="M237" s="54" t="n">
        <v>76.1</v>
      </c>
      <c r="N237" s="51" t="n">
        <v>220.789301</v>
      </c>
      <c r="O237" s="55" t="n">
        <v>2.78</v>
      </c>
      <c r="P237" s="51" t="n">
        <v>-5266.04</v>
      </c>
      <c r="Q237" s="49" t="s">
        <v>2103</v>
      </c>
      <c r="R237" s="49" t="s">
        <v>2099</v>
      </c>
      <c r="S237" s="53" t="n">
        <v>1</v>
      </c>
      <c r="T237" s="51" t="n">
        <v>3600</v>
      </c>
      <c r="U237" s="56" t="n">
        <f aca="false">I237*O237</f>
        <v>14792.4356</v>
      </c>
      <c r="V237" s="56" t="n">
        <f aca="false">J237*O237</f>
        <v>29584.8712</v>
      </c>
      <c r="W237" s="56" t="n">
        <f aca="false">((I237+J237)/2)*O237</f>
        <v>22188.6534</v>
      </c>
      <c r="X237" s="56" t="n">
        <f aca="false">H237*O237</f>
        <v>14945.28</v>
      </c>
    </row>
    <row r="238" customFormat="false" ht="22.35" hidden="false" customHeight="false" outlineLevel="0" collapsed="false">
      <c r="A238" s="48" t="s">
        <v>2061</v>
      </c>
      <c r="B238" s="7" t="s">
        <v>2487</v>
      </c>
      <c r="C238" s="7" t="s">
        <v>1749</v>
      </c>
      <c r="D238" s="7" t="s">
        <v>2095</v>
      </c>
      <c r="E238" s="61" t="s">
        <v>2113</v>
      </c>
      <c r="F238" s="7" t="s">
        <v>2097</v>
      </c>
      <c r="G238" s="7" t="s">
        <v>2097</v>
      </c>
      <c r="H238" s="9" t="n">
        <v>1248</v>
      </c>
      <c r="I238" s="9" t="n">
        <v>1218.45</v>
      </c>
      <c r="J238" s="9" t="n">
        <v>2436.9</v>
      </c>
      <c r="K238" s="52" t="n">
        <v>3600</v>
      </c>
      <c r="L238" s="58" t="n">
        <v>20.9</v>
      </c>
      <c r="M238" s="59" t="n">
        <v>83.3</v>
      </c>
      <c r="N238" s="9" t="n">
        <v>58.299028</v>
      </c>
      <c r="O238" s="8" t="n">
        <v>4.78</v>
      </c>
      <c r="P238" s="9" t="n">
        <v>-1188.9</v>
      </c>
      <c r="Q238" s="7" t="s">
        <v>2103</v>
      </c>
      <c r="R238" s="7" t="s">
        <v>2099</v>
      </c>
      <c r="S238" s="58" t="n">
        <v>1</v>
      </c>
      <c r="T238" s="9" t="n">
        <v>1800</v>
      </c>
      <c r="U238" s="56" t="n">
        <f aca="false">I238*O238</f>
        <v>5824.191</v>
      </c>
      <c r="V238" s="56" t="n">
        <f aca="false">J238*O238</f>
        <v>11648.382</v>
      </c>
      <c r="W238" s="56" t="n">
        <f aca="false">((I238+J238)/2)*O238</f>
        <v>8736.2865</v>
      </c>
      <c r="X238" s="56" t="n">
        <f aca="false">H238*O238</f>
        <v>5965.44</v>
      </c>
    </row>
    <row r="239" customFormat="false" ht="22.35" hidden="false" customHeight="false" outlineLevel="0" collapsed="false">
      <c r="A239" s="48" t="s">
        <v>2061</v>
      </c>
      <c r="B239" s="49" t="s">
        <v>2488</v>
      </c>
      <c r="C239" s="49" t="s">
        <v>2398</v>
      </c>
      <c r="D239" s="49" t="s">
        <v>2109</v>
      </c>
      <c r="E239" s="60" t="s">
        <v>2110</v>
      </c>
      <c r="F239" s="49" t="s">
        <v>2097</v>
      </c>
      <c r="G239" s="49" t="s">
        <v>2097</v>
      </c>
      <c r="H239" s="51" t="n">
        <v>25800</v>
      </c>
      <c r="I239" s="51" t="n">
        <v>43206.32</v>
      </c>
      <c r="J239" s="51" t="n">
        <v>72010.54</v>
      </c>
      <c r="K239" s="52" t="n">
        <v>72010.54</v>
      </c>
      <c r="L239" s="53" t="n">
        <v>36.3</v>
      </c>
      <c r="M239" s="54" t="n">
        <v>65.4</v>
      </c>
      <c r="N239" s="51" t="n">
        <v>793.504568</v>
      </c>
      <c r="O239" s="55" t="n">
        <v>2.22</v>
      </c>
      <c r="P239" s="51" t="n">
        <v>-46210.54</v>
      </c>
      <c r="Q239" s="49" t="s">
        <v>2103</v>
      </c>
      <c r="R239" s="49" t="s">
        <v>2099</v>
      </c>
      <c r="S239" s="53" t="n">
        <v>1.5</v>
      </c>
      <c r="T239" s="51" t="n">
        <v>1</v>
      </c>
      <c r="U239" s="56" t="n">
        <f aca="false">I239*O239</f>
        <v>95918.0304</v>
      </c>
      <c r="V239" s="56" t="n">
        <f aca="false">J239*O239</f>
        <v>159863.3988</v>
      </c>
      <c r="W239" s="56" t="n">
        <f aca="false">((I239+J239)/2)*O239</f>
        <v>127890.7146</v>
      </c>
      <c r="X239" s="56" t="n">
        <f aca="false">H239*O239</f>
        <v>57276</v>
      </c>
    </row>
    <row r="240" customFormat="false" ht="15" hidden="false" customHeight="false" outlineLevel="0" collapsed="false">
      <c r="A240" s="48" t="s">
        <v>2061</v>
      </c>
      <c r="B240" s="7" t="s">
        <v>2489</v>
      </c>
      <c r="C240" s="7" t="s">
        <v>2490</v>
      </c>
      <c r="D240" s="7" t="s">
        <v>2101</v>
      </c>
      <c r="E240" s="50" t="s">
        <v>2096</v>
      </c>
      <c r="F240" s="7" t="s">
        <v>2097</v>
      </c>
      <c r="G240" s="7" t="s">
        <v>2097</v>
      </c>
      <c r="H240" s="9" t="n">
        <v>100</v>
      </c>
      <c r="I240" s="9" t="n">
        <v>1.21</v>
      </c>
      <c r="J240" s="9" t="n">
        <v>3.63</v>
      </c>
      <c r="K240" s="52" t="n">
        <v>496.04</v>
      </c>
      <c r="L240" s="58" t="n">
        <v>16.2</v>
      </c>
      <c r="M240" s="59" t="n">
        <v>88.9</v>
      </c>
      <c r="N240" s="9" t="n">
        <v>0.149329</v>
      </c>
      <c r="O240" s="8" t="n">
        <v>22.4709</v>
      </c>
      <c r="P240" s="9" t="n">
        <v>96.37</v>
      </c>
      <c r="Q240" s="7" t="s">
        <v>2098</v>
      </c>
      <c r="R240" s="7" t="s">
        <v>2099</v>
      </c>
      <c r="S240" s="58" t="n">
        <v>0.5</v>
      </c>
      <c r="T240" s="9" t="n">
        <v>496.04</v>
      </c>
      <c r="U240" s="56" t="n">
        <f aca="false">I240*O240</f>
        <v>27.189789</v>
      </c>
      <c r="V240" s="56" t="n">
        <f aca="false">J240*O240</f>
        <v>81.569367</v>
      </c>
      <c r="W240" s="56" t="n">
        <f aca="false">((I240+J240)/2)*O240</f>
        <v>54.379578</v>
      </c>
      <c r="X240" s="56" t="n">
        <f aca="false">H240*O240</f>
        <v>2247.09</v>
      </c>
    </row>
    <row r="241" customFormat="false" ht="22.35" hidden="false" customHeight="false" outlineLevel="0" collapsed="false">
      <c r="A241" s="48" t="s">
        <v>2061</v>
      </c>
      <c r="B241" s="49" t="s">
        <v>2491</v>
      </c>
      <c r="C241" s="49" t="s">
        <v>2492</v>
      </c>
      <c r="D241" s="49" t="s">
        <v>2101</v>
      </c>
      <c r="E241" s="57" t="s">
        <v>2102</v>
      </c>
      <c r="F241" s="49" t="s">
        <v>2097</v>
      </c>
      <c r="G241" s="49" t="s">
        <v>2097</v>
      </c>
      <c r="H241" s="51" t="n">
        <v>588</v>
      </c>
      <c r="I241" s="51" t="n">
        <v>224.47</v>
      </c>
      <c r="J241" s="51" t="n">
        <v>673.41</v>
      </c>
      <c r="K241" s="52" t="n">
        <v>940</v>
      </c>
      <c r="L241" s="53" t="n">
        <v>20.8</v>
      </c>
      <c r="M241" s="54" t="n">
        <v>62.9</v>
      </c>
      <c r="N241" s="51" t="n">
        <v>21.583548</v>
      </c>
      <c r="O241" s="55" t="n">
        <v>2.86</v>
      </c>
      <c r="P241" s="51" t="n">
        <v>-85.41</v>
      </c>
      <c r="Q241" s="49" t="s">
        <v>2103</v>
      </c>
      <c r="R241" s="49" t="s">
        <v>2099</v>
      </c>
      <c r="S241" s="53" t="n">
        <v>0.5</v>
      </c>
      <c r="T241" s="51" t="n">
        <v>470</v>
      </c>
      <c r="U241" s="56" t="n">
        <f aca="false">I241*O241</f>
        <v>641.9842</v>
      </c>
      <c r="V241" s="56" t="n">
        <f aca="false">J241*O241</f>
        <v>1925.9526</v>
      </c>
      <c r="W241" s="56" t="n">
        <f aca="false">((I241+J241)/2)*O241</f>
        <v>1283.9684</v>
      </c>
      <c r="X241" s="56" t="n">
        <f aca="false">H241*O241</f>
        <v>1681.68</v>
      </c>
    </row>
    <row r="242" customFormat="false" ht="22.35" hidden="false" customHeight="false" outlineLevel="0" collapsed="false">
      <c r="A242" s="48" t="s">
        <v>2061</v>
      </c>
      <c r="B242" s="7" t="s">
        <v>2493</v>
      </c>
      <c r="C242" s="7" t="s">
        <v>1744</v>
      </c>
      <c r="D242" s="7" t="s">
        <v>2095</v>
      </c>
      <c r="E242" s="61" t="s">
        <v>2113</v>
      </c>
      <c r="F242" s="7" t="s">
        <v>2097</v>
      </c>
      <c r="G242" s="7" t="s">
        <v>2097</v>
      </c>
      <c r="H242" s="9" t="n">
        <v>4785</v>
      </c>
      <c r="I242" s="9" t="n">
        <v>3839.39</v>
      </c>
      <c r="J242" s="9" t="n">
        <v>7678.78</v>
      </c>
      <c r="K242" s="52" t="n">
        <v>7920</v>
      </c>
      <c r="L242" s="58" t="n">
        <v>24.2</v>
      </c>
      <c r="M242" s="59" t="n">
        <v>90.9</v>
      </c>
      <c r="N242" s="9" t="n">
        <v>158.652356</v>
      </c>
      <c r="O242" s="8" t="n">
        <v>3.65</v>
      </c>
      <c r="P242" s="9" t="n">
        <v>-2893.78</v>
      </c>
      <c r="Q242" s="7" t="s">
        <v>2103</v>
      </c>
      <c r="R242" s="7" t="s">
        <v>2099</v>
      </c>
      <c r="S242" s="58" t="n">
        <v>1</v>
      </c>
      <c r="T242" s="9" t="n">
        <v>440</v>
      </c>
      <c r="U242" s="56" t="n">
        <f aca="false">I242*O242</f>
        <v>14013.7735</v>
      </c>
      <c r="V242" s="56" t="n">
        <f aca="false">J242*O242</f>
        <v>28027.547</v>
      </c>
      <c r="W242" s="56" t="n">
        <f aca="false">((I242+J242)/2)*O242</f>
        <v>21020.66025</v>
      </c>
      <c r="X242" s="56" t="n">
        <f aca="false">H242*O242</f>
        <v>17465.25</v>
      </c>
    </row>
    <row r="243" customFormat="false" ht="22.35" hidden="false" customHeight="false" outlineLevel="0" collapsed="false">
      <c r="A243" s="48" t="s">
        <v>2061</v>
      </c>
      <c r="B243" s="49" t="s">
        <v>2494</v>
      </c>
      <c r="C243" s="49" t="s">
        <v>2495</v>
      </c>
      <c r="D243" s="49" t="s">
        <v>2101</v>
      </c>
      <c r="E243" s="57" t="s">
        <v>2102</v>
      </c>
      <c r="F243" s="49" t="s">
        <v>2097</v>
      </c>
      <c r="G243" s="49" t="s">
        <v>2097</v>
      </c>
      <c r="H243" s="51" t="n">
        <v>2493</v>
      </c>
      <c r="I243" s="51" t="n">
        <v>1988.41</v>
      </c>
      <c r="J243" s="51" t="n">
        <v>5965.23</v>
      </c>
      <c r="K243" s="52" t="n">
        <v>6303</v>
      </c>
      <c r="L243" s="53" t="n">
        <v>46.3</v>
      </c>
      <c r="M243" s="54" t="n">
        <v>75.7</v>
      </c>
      <c r="N243" s="51" t="n">
        <v>85.892521</v>
      </c>
      <c r="O243" s="55" t="n">
        <v>2.74</v>
      </c>
      <c r="P243" s="51" t="n">
        <v>-3472.23</v>
      </c>
      <c r="Q243" s="49" t="s">
        <v>2103</v>
      </c>
      <c r="R243" s="49" t="s">
        <v>2099</v>
      </c>
      <c r="S243" s="53" t="n">
        <v>0.5</v>
      </c>
      <c r="T243" s="51" t="n">
        <v>2101</v>
      </c>
      <c r="U243" s="56" t="n">
        <f aca="false">I243*O243</f>
        <v>5448.2434</v>
      </c>
      <c r="V243" s="56" t="n">
        <f aca="false">J243*O243</f>
        <v>16344.7302</v>
      </c>
      <c r="W243" s="56" t="n">
        <f aca="false">((I243+J243)/2)*O243</f>
        <v>10896.4868</v>
      </c>
      <c r="X243" s="56" t="n">
        <f aca="false">H243*O243</f>
        <v>6830.82</v>
      </c>
    </row>
    <row r="244" customFormat="false" ht="22.35" hidden="false" customHeight="false" outlineLevel="0" collapsed="false">
      <c r="A244" s="48" t="s">
        <v>2061</v>
      </c>
      <c r="B244" s="7" t="s">
        <v>2496</v>
      </c>
      <c r="C244" s="7" t="s">
        <v>2497</v>
      </c>
      <c r="D244" s="7" t="s">
        <v>2095</v>
      </c>
      <c r="E244" s="61" t="s">
        <v>2113</v>
      </c>
      <c r="F244" s="7" t="s">
        <v>2097</v>
      </c>
      <c r="G244" s="7" t="s">
        <v>2097</v>
      </c>
      <c r="H244" s="9" t="n">
        <v>16000</v>
      </c>
      <c r="I244" s="9" t="n">
        <v>19547.36</v>
      </c>
      <c r="J244" s="9" t="n">
        <v>39094.72</v>
      </c>
      <c r="K244" s="52" t="n">
        <v>52500</v>
      </c>
      <c r="L244" s="58" t="n">
        <v>34.8</v>
      </c>
      <c r="M244" s="59" t="n">
        <v>90</v>
      </c>
      <c r="N244" s="9" t="n">
        <v>561.705884</v>
      </c>
      <c r="O244" s="8" t="n">
        <v>2.7</v>
      </c>
      <c r="P244" s="9" t="n">
        <v>-23094.72</v>
      </c>
      <c r="Q244" s="7" t="s">
        <v>2103</v>
      </c>
      <c r="R244" s="7" t="s">
        <v>2099</v>
      </c>
      <c r="S244" s="58" t="n">
        <v>1</v>
      </c>
      <c r="T244" s="9" t="n">
        <v>17500</v>
      </c>
      <c r="U244" s="56" t="n">
        <f aca="false">I244*O244</f>
        <v>52777.872</v>
      </c>
      <c r="V244" s="56" t="n">
        <f aca="false">J244*O244</f>
        <v>105555.744</v>
      </c>
      <c r="W244" s="56" t="n">
        <f aca="false">((I244+J244)/2)*O244</f>
        <v>79166.808</v>
      </c>
      <c r="X244" s="56" t="n">
        <f aca="false">H244*O244</f>
        <v>43200</v>
      </c>
    </row>
    <row r="245" customFormat="false" ht="22.35" hidden="false" customHeight="false" outlineLevel="0" collapsed="false">
      <c r="A245" s="48" t="s">
        <v>2061</v>
      </c>
      <c r="B245" s="49" t="s">
        <v>2498</v>
      </c>
      <c r="C245" s="49" t="s">
        <v>2499</v>
      </c>
      <c r="D245" s="49" t="s">
        <v>2101</v>
      </c>
      <c r="E245" s="57" t="s">
        <v>2102</v>
      </c>
      <c r="F245" s="49" t="s">
        <v>2097</v>
      </c>
      <c r="G245" s="49" t="s">
        <v>2097</v>
      </c>
      <c r="H245" s="51" t="n">
        <v>325</v>
      </c>
      <c r="I245" s="51" t="n">
        <v>691.82</v>
      </c>
      <c r="J245" s="51" t="n">
        <v>2075.46</v>
      </c>
      <c r="K245" s="52" t="n">
        <v>2205</v>
      </c>
      <c r="L245" s="53" t="n">
        <v>42.4</v>
      </c>
      <c r="M245" s="54" t="n">
        <v>63.6</v>
      </c>
      <c r="N245" s="51" t="n">
        <v>32.633041</v>
      </c>
      <c r="O245" s="55" t="n">
        <v>3.3593</v>
      </c>
      <c r="P245" s="51" t="n">
        <v>-1750.46</v>
      </c>
      <c r="Q245" s="49" t="s">
        <v>2103</v>
      </c>
      <c r="R245" s="49" t="s">
        <v>2099</v>
      </c>
      <c r="S245" s="53" t="n">
        <v>0.5</v>
      </c>
      <c r="T245" s="51" t="n">
        <v>441</v>
      </c>
      <c r="U245" s="56" t="n">
        <f aca="false">I245*O245</f>
        <v>2324.030926</v>
      </c>
      <c r="V245" s="56" t="n">
        <f aca="false">J245*O245</f>
        <v>6972.092778</v>
      </c>
      <c r="W245" s="56" t="n">
        <f aca="false">((I245+J245)/2)*O245</f>
        <v>4648.061852</v>
      </c>
      <c r="X245" s="56" t="n">
        <f aca="false">H245*O245</f>
        <v>1091.7725</v>
      </c>
    </row>
    <row r="246" customFormat="false" ht="22.35" hidden="false" customHeight="false" outlineLevel="0" collapsed="false">
      <c r="A246" s="48" t="s">
        <v>2061</v>
      </c>
      <c r="B246" s="7" t="s">
        <v>2500</v>
      </c>
      <c r="C246" s="7" t="s">
        <v>2473</v>
      </c>
      <c r="D246" s="7" t="s">
        <v>2109</v>
      </c>
      <c r="E246" s="60" t="s">
        <v>2110</v>
      </c>
      <c r="F246" s="7" t="s">
        <v>2097</v>
      </c>
      <c r="G246" s="7" t="s">
        <v>2097</v>
      </c>
      <c r="H246" s="9" t="n">
        <v>39603</v>
      </c>
      <c r="I246" s="9" t="n">
        <v>103056.8</v>
      </c>
      <c r="J246" s="9" t="n">
        <v>295772.46</v>
      </c>
      <c r="K246" s="52" t="n">
        <v>295772.46</v>
      </c>
      <c r="L246" s="58" t="n">
        <v>37.4</v>
      </c>
      <c r="M246" s="59" t="n">
        <v>82.3</v>
      </c>
      <c r="N246" s="9" t="n">
        <v>5152.825023</v>
      </c>
      <c r="O246" s="8" t="n">
        <v>1.45</v>
      </c>
      <c r="P246" s="9" t="n">
        <v>-256169.46</v>
      </c>
      <c r="Q246" s="7" t="s">
        <v>2103</v>
      </c>
      <c r="R246" s="7" t="s">
        <v>2501</v>
      </c>
      <c r="S246" s="58" t="n">
        <v>1.5</v>
      </c>
      <c r="T246" s="9" t="n">
        <v>1</v>
      </c>
      <c r="U246" s="56" t="n">
        <f aca="false">I246*O246</f>
        <v>149432.36</v>
      </c>
      <c r="V246" s="56" t="n">
        <f aca="false">J246*O246</f>
        <v>428870.067</v>
      </c>
      <c r="W246" s="56" t="n">
        <f aca="false">((I246+J246)/2)*O246</f>
        <v>289151.2135</v>
      </c>
      <c r="X246" s="56" t="n">
        <f aca="false">H246*O246</f>
        <v>57424.35</v>
      </c>
    </row>
    <row r="247" customFormat="false" ht="22.35" hidden="false" customHeight="false" outlineLevel="0" collapsed="false">
      <c r="A247" s="48" t="s">
        <v>2061</v>
      </c>
      <c r="B247" s="49" t="s">
        <v>2502</v>
      </c>
      <c r="C247" s="49" t="s">
        <v>2503</v>
      </c>
      <c r="D247" s="49" t="s">
        <v>2101</v>
      </c>
      <c r="E247" s="57" t="s">
        <v>2102</v>
      </c>
      <c r="F247" s="49" t="s">
        <v>2097</v>
      </c>
      <c r="G247" s="49" t="s">
        <v>2097</v>
      </c>
      <c r="H247" s="51" t="n">
        <v>365</v>
      </c>
      <c r="I247" s="51" t="n">
        <v>1249.97</v>
      </c>
      <c r="J247" s="51" t="n">
        <v>3749.92</v>
      </c>
      <c r="K247" s="52" t="n">
        <v>4140</v>
      </c>
      <c r="L247" s="53" t="n">
        <v>71.1</v>
      </c>
      <c r="M247" s="54" t="n">
        <v>60</v>
      </c>
      <c r="N247" s="51" t="n">
        <v>35.160973</v>
      </c>
      <c r="O247" s="55" t="n">
        <v>2.5196</v>
      </c>
      <c r="P247" s="51" t="n">
        <v>-3384.92</v>
      </c>
      <c r="Q247" s="49" t="s">
        <v>2103</v>
      </c>
      <c r="R247" s="49" t="s">
        <v>2099</v>
      </c>
      <c r="S247" s="53" t="n">
        <v>0.5</v>
      </c>
      <c r="T247" s="51" t="n">
        <v>460</v>
      </c>
      <c r="U247" s="56" t="n">
        <f aca="false">I247*O247</f>
        <v>3149.424412</v>
      </c>
      <c r="V247" s="56" t="n">
        <f aca="false">J247*O247</f>
        <v>9448.298432</v>
      </c>
      <c r="W247" s="56" t="n">
        <f aca="false">((I247+J247)/2)*O247</f>
        <v>6298.861422</v>
      </c>
      <c r="X247" s="56" t="n">
        <f aca="false">H247*O247</f>
        <v>919.654</v>
      </c>
    </row>
    <row r="248" customFormat="false" ht="22.35" hidden="false" customHeight="false" outlineLevel="0" collapsed="false">
      <c r="A248" s="48" t="s">
        <v>2061</v>
      </c>
      <c r="B248" s="7" t="s">
        <v>2504</v>
      </c>
      <c r="C248" s="7" t="s">
        <v>2495</v>
      </c>
      <c r="D248" s="7" t="s">
        <v>2095</v>
      </c>
      <c r="E248" s="61" t="s">
        <v>2113</v>
      </c>
      <c r="F248" s="7" t="s">
        <v>2097</v>
      </c>
      <c r="G248" s="7" t="s">
        <v>2097</v>
      </c>
      <c r="H248" s="9" t="n">
        <v>20000</v>
      </c>
      <c r="I248" s="9" t="n">
        <v>23798.54</v>
      </c>
      <c r="J248" s="9" t="n">
        <v>47597.08</v>
      </c>
      <c r="K248" s="52" t="n">
        <v>47638.5</v>
      </c>
      <c r="L248" s="58" t="n">
        <v>35.6</v>
      </c>
      <c r="M248" s="59" t="n">
        <v>79.2</v>
      </c>
      <c r="N248" s="9" t="n">
        <v>668.49837</v>
      </c>
      <c r="O248" s="8" t="n">
        <v>1.828</v>
      </c>
      <c r="P248" s="9" t="n">
        <v>-27597.08</v>
      </c>
      <c r="Q248" s="7" t="s">
        <v>2103</v>
      </c>
      <c r="R248" s="7" t="s">
        <v>2099</v>
      </c>
      <c r="S248" s="58" t="n">
        <v>1</v>
      </c>
      <c r="T248" s="9" t="n">
        <v>523.5</v>
      </c>
      <c r="U248" s="56" t="n">
        <f aca="false">I248*O248</f>
        <v>43503.73112</v>
      </c>
      <c r="V248" s="56" t="n">
        <f aca="false">J248*O248</f>
        <v>87007.46224</v>
      </c>
      <c r="W248" s="56" t="n">
        <f aca="false">((I248+J248)/2)*O248</f>
        <v>65255.59668</v>
      </c>
      <c r="X248" s="56" t="n">
        <f aca="false">H248*O248</f>
        <v>36560</v>
      </c>
    </row>
    <row r="249" customFormat="false" ht="22.35" hidden="false" customHeight="false" outlineLevel="0" collapsed="false">
      <c r="A249" s="48" t="s">
        <v>2061</v>
      </c>
      <c r="B249" s="49" t="s">
        <v>2505</v>
      </c>
      <c r="C249" s="49" t="s">
        <v>2506</v>
      </c>
      <c r="D249" s="49" t="s">
        <v>2109</v>
      </c>
      <c r="E249" s="60" t="s">
        <v>2110</v>
      </c>
      <c r="F249" s="49" t="s">
        <v>2097</v>
      </c>
      <c r="G249" s="49" t="s">
        <v>2097</v>
      </c>
      <c r="H249" s="51" t="n">
        <v>21634</v>
      </c>
      <c r="I249" s="51" t="n">
        <v>61353.37</v>
      </c>
      <c r="J249" s="51" t="n">
        <v>102255.62</v>
      </c>
      <c r="K249" s="52" t="n">
        <v>102255.62</v>
      </c>
      <c r="L249" s="53" t="n">
        <v>29.3</v>
      </c>
      <c r="M249" s="54" t="n">
        <v>86.1</v>
      </c>
      <c r="N249" s="51" t="n">
        <v>1395.981068</v>
      </c>
      <c r="O249" s="55" t="n">
        <v>0.72</v>
      </c>
      <c r="P249" s="51" t="n">
        <v>-80621.62</v>
      </c>
      <c r="Q249" s="49" t="s">
        <v>2103</v>
      </c>
      <c r="R249" s="49" t="s">
        <v>2099</v>
      </c>
      <c r="S249" s="53" t="n">
        <v>1.5</v>
      </c>
      <c r="T249" s="51" t="n">
        <v>1</v>
      </c>
      <c r="U249" s="56" t="n">
        <f aca="false">I249*O249</f>
        <v>44174.4264</v>
      </c>
      <c r="V249" s="56" t="n">
        <f aca="false">J249*O249</f>
        <v>73624.0464</v>
      </c>
      <c r="W249" s="56" t="n">
        <f aca="false">((I249+J249)/2)*O249</f>
        <v>58899.2364</v>
      </c>
      <c r="X249" s="56" t="n">
        <f aca="false">H249*O249</f>
        <v>15576.48</v>
      </c>
    </row>
    <row r="250" customFormat="false" ht="22.35" hidden="false" customHeight="false" outlineLevel="0" collapsed="false">
      <c r="A250" s="48" t="s">
        <v>2061</v>
      </c>
      <c r="B250" s="7" t="s">
        <v>2507</v>
      </c>
      <c r="C250" s="7" t="s">
        <v>2508</v>
      </c>
      <c r="D250" s="7" t="s">
        <v>2101</v>
      </c>
      <c r="E250" s="57" t="s">
        <v>2102</v>
      </c>
      <c r="F250" s="7" t="s">
        <v>2097</v>
      </c>
      <c r="G250" s="7" t="s">
        <v>2097</v>
      </c>
      <c r="H250" s="9" t="n">
        <v>2271</v>
      </c>
      <c r="I250" s="9" t="n">
        <v>3244.62</v>
      </c>
      <c r="J250" s="9" t="n">
        <v>9733.85</v>
      </c>
      <c r="K250" s="52" t="n">
        <v>9936</v>
      </c>
      <c r="L250" s="58" t="n">
        <v>83.2</v>
      </c>
      <c r="M250" s="59" t="n">
        <v>71.7</v>
      </c>
      <c r="N250" s="9" t="n">
        <v>77.995599</v>
      </c>
      <c r="O250" s="8" t="n">
        <v>2.12</v>
      </c>
      <c r="P250" s="9" t="n">
        <v>-7462.85</v>
      </c>
      <c r="Q250" s="7" t="s">
        <v>2103</v>
      </c>
      <c r="R250" s="7" t="s">
        <v>2099</v>
      </c>
      <c r="S250" s="58" t="n">
        <v>0.5</v>
      </c>
      <c r="T250" s="9" t="n">
        <v>432</v>
      </c>
      <c r="U250" s="56" t="n">
        <f aca="false">I250*O250</f>
        <v>6878.5944</v>
      </c>
      <c r="V250" s="56" t="n">
        <f aca="false">J250*O250</f>
        <v>20635.762</v>
      </c>
      <c r="W250" s="56" t="n">
        <f aca="false">((I250+J250)/2)*O250</f>
        <v>13757.1782</v>
      </c>
      <c r="X250" s="56" t="n">
        <f aca="false">H250*O250</f>
        <v>4814.52</v>
      </c>
    </row>
    <row r="251" customFormat="false" ht="22.35" hidden="false" customHeight="false" outlineLevel="0" collapsed="false">
      <c r="A251" s="48" t="s">
        <v>2061</v>
      </c>
      <c r="B251" s="49" t="s">
        <v>2509</v>
      </c>
      <c r="C251" s="49" t="s">
        <v>2510</v>
      </c>
      <c r="D251" s="49" t="s">
        <v>2109</v>
      </c>
      <c r="E251" s="60" t="s">
        <v>2110</v>
      </c>
      <c r="F251" s="49" t="s">
        <v>2097</v>
      </c>
      <c r="G251" s="49" t="s">
        <v>2097</v>
      </c>
      <c r="H251" s="51" t="n">
        <v>44826</v>
      </c>
      <c r="I251" s="51" t="n">
        <v>40802.68</v>
      </c>
      <c r="J251" s="51" t="n">
        <v>68004.46</v>
      </c>
      <c r="K251" s="52" t="n">
        <v>68004.46</v>
      </c>
      <c r="L251" s="53" t="n">
        <v>27.2</v>
      </c>
      <c r="M251" s="54" t="n">
        <v>80.9</v>
      </c>
      <c r="N251" s="51" t="n">
        <v>1000.065593</v>
      </c>
      <c r="O251" s="55" t="n">
        <v>0.72</v>
      </c>
      <c r="P251" s="51" t="n">
        <v>-23178.46</v>
      </c>
      <c r="Q251" s="49" t="s">
        <v>2103</v>
      </c>
      <c r="R251" s="49" t="s">
        <v>2099</v>
      </c>
      <c r="S251" s="53" t="n">
        <v>1.5</v>
      </c>
      <c r="T251" s="51" t="n">
        <v>1</v>
      </c>
      <c r="U251" s="56" t="n">
        <f aca="false">I251*O251</f>
        <v>29377.9296</v>
      </c>
      <c r="V251" s="56" t="n">
        <f aca="false">J251*O251</f>
        <v>48963.2112</v>
      </c>
      <c r="W251" s="56" t="n">
        <f aca="false">((I251+J251)/2)*O251</f>
        <v>39170.5704</v>
      </c>
      <c r="X251" s="56" t="n">
        <f aca="false">H251*O251</f>
        <v>32274.72</v>
      </c>
    </row>
    <row r="252" customFormat="false" ht="22.35" hidden="false" customHeight="false" outlineLevel="0" collapsed="false">
      <c r="A252" s="48" t="s">
        <v>2061</v>
      </c>
      <c r="B252" s="7" t="s">
        <v>2511</v>
      </c>
      <c r="C252" s="7" t="s">
        <v>1611</v>
      </c>
      <c r="D252" s="7" t="s">
        <v>2101</v>
      </c>
      <c r="E252" s="57" t="s">
        <v>2102</v>
      </c>
      <c r="F252" s="7" t="s">
        <v>2097</v>
      </c>
      <c r="G252" s="7" t="s">
        <v>2097</v>
      </c>
      <c r="H252" s="9" t="n">
        <v>671</v>
      </c>
      <c r="I252" s="9" t="n">
        <v>418.61</v>
      </c>
      <c r="J252" s="9" t="n">
        <v>1255.83</v>
      </c>
      <c r="K252" s="52" t="n">
        <v>1302</v>
      </c>
      <c r="L252" s="58" t="n">
        <v>37.6</v>
      </c>
      <c r="M252" s="59" t="n">
        <v>88.9</v>
      </c>
      <c r="N252" s="9" t="n">
        <v>22.266452</v>
      </c>
      <c r="O252" s="8" t="n">
        <v>1.933</v>
      </c>
      <c r="P252" s="9" t="n">
        <v>-584.83</v>
      </c>
      <c r="Q252" s="7" t="s">
        <v>2103</v>
      </c>
      <c r="R252" s="7" t="s">
        <v>2099</v>
      </c>
      <c r="S252" s="58" t="n">
        <v>0.5</v>
      </c>
      <c r="T252" s="9" t="n">
        <v>1302</v>
      </c>
      <c r="U252" s="56" t="n">
        <f aca="false">I252*O252</f>
        <v>809.17313</v>
      </c>
      <c r="V252" s="56" t="n">
        <f aca="false">J252*O252</f>
        <v>2427.51939</v>
      </c>
      <c r="W252" s="56" t="n">
        <f aca="false">((I252+J252)/2)*O252</f>
        <v>1618.34626</v>
      </c>
      <c r="X252" s="56" t="n">
        <f aca="false">H252*O252</f>
        <v>1297.043</v>
      </c>
    </row>
    <row r="253" customFormat="false" ht="22.35" hidden="false" customHeight="false" outlineLevel="0" collapsed="false">
      <c r="A253" s="48" t="s">
        <v>2061</v>
      </c>
      <c r="B253" s="49" t="s">
        <v>2512</v>
      </c>
      <c r="C253" s="49" t="s">
        <v>2513</v>
      </c>
      <c r="D253" s="49" t="s">
        <v>2095</v>
      </c>
      <c r="E253" s="61" t="s">
        <v>2113</v>
      </c>
      <c r="F253" s="49" t="s">
        <v>2097</v>
      </c>
      <c r="G253" s="49" t="s">
        <v>2097</v>
      </c>
      <c r="H253" s="51" t="n">
        <v>4179</v>
      </c>
      <c r="I253" s="51" t="n">
        <v>3438.61</v>
      </c>
      <c r="J253" s="51" t="n">
        <v>6877.22</v>
      </c>
      <c r="K253" s="52" t="n">
        <v>7260</v>
      </c>
      <c r="L253" s="53" t="n">
        <v>22.4</v>
      </c>
      <c r="M253" s="54" t="n">
        <v>82.1</v>
      </c>
      <c r="N253" s="51" t="n">
        <v>153.509296</v>
      </c>
      <c r="O253" s="55" t="n">
        <v>1.0633</v>
      </c>
      <c r="P253" s="51" t="n">
        <v>-2698.22</v>
      </c>
      <c r="Q253" s="49" t="s">
        <v>2103</v>
      </c>
      <c r="R253" s="49" t="s">
        <v>2099</v>
      </c>
      <c r="S253" s="53" t="n">
        <v>1</v>
      </c>
      <c r="T253" s="51" t="n">
        <v>2420</v>
      </c>
      <c r="U253" s="56" t="n">
        <f aca="false">I253*O253</f>
        <v>3656.274013</v>
      </c>
      <c r="V253" s="56" t="n">
        <f aca="false">J253*O253</f>
        <v>7312.548026</v>
      </c>
      <c r="W253" s="56" t="n">
        <f aca="false">((I253+J253)/2)*O253</f>
        <v>5484.4110195</v>
      </c>
      <c r="X253" s="56" t="n">
        <f aca="false">H253*O253</f>
        <v>4443.5307</v>
      </c>
    </row>
    <row r="254" customFormat="false" ht="22.35" hidden="false" customHeight="false" outlineLevel="0" collapsed="false">
      <c r="A254" s="48" t="s">
        <v>2061</v>
      </c>
      <c r="B254" s="7" t="s">
        <v>2514</v>
      </c>
      <c r="C254" s="7" t="s">
        <v>2515</v>
      </c>
      <c r="D254" s="7" t="s">
        <v>2095</v>
      </c>
      <c r="E254" s="61" t="s">
        <v>2113</v>
      </c>
      <c r="F254" s="7" t="s">
        <v>2097</v>
      </c>
      <c r="G254" s="7" t="s">
        <v>2097</v>
      </c>
      <c r="H254" s="9" t="n">
        <v>3220</v>
      </c>
      <c r="I254" s="9" t="n">
        <v>3038.47</v>
      </c>
      <c r="J254" s="9" t="n">
        <v>6076.94</v>
      </c>
      <c r="K254" s="52" t="n">
        <v>7260</v>
      </c>
      <c r="L254" s="58" t="n">
        <v>28.8</v>
      </c>
      <c r="M254" s="59" t="n">
        <v>71.7</v>
      </c>
      <c r="N254" s="9" t="n">
        <v>105.502452</v>
      </c>
      <c r="O254" s="8" t="n">
        <v>0.76</v>
      </c>
      <c r="P254" s="9" t="n">
        <v>-2856.94</v>
      </c>
      <c r="Q254" s="7" t="s">
        <v>2103</v>
      </c>
      <c r="R254" s="7" t="s">
        <v>2099</v>
      </c>
      <c r="S254" s="58" t="n">
        <v>1</v>
      </c>
      <c r="T254" s="9" t="n">
        <v>7260</v>
      </c>
      <c r="U254" s="56" t="n">
        <f aca="false">I254*O254</f>
        <v>2309.2372</v>
      </c>
      <c r="V254" s="56" t="n">
        <f aca="false">J254*O254</f>
        <v>4618.4744</v>
      </c>
      <c r="W254" s="56" t="n">
        <f aca="false">((I254+J254)/2)*O254</f>
        <v>3463.8558</v>
      </c>
      <c r="X254" s="56" t="n">
        <f aca="false">H254*O254</f>
        <v>2447.2</v>
      </c>
    </row>
    <row r="255" customFormat="false" ht="22.35" hidden="false" customHeight="false" outlineLevel="0" collapsed="false">
      <c r="A255" s="48" t="s">
        <v>2061</v>
      </c>
      <c r="B255" s="49" t="s">
        <v>2516</v>
      </c>
      <c r="C255" s="49" t="s">
        <v>2517</v>
      </c>
      <c r="D255" s="49" t="s">
        <v>2101</v>
      </c>
      <c r="E255" s="57" t="s">
        <v>2102</v>
      </c>
      <c r="F255" s="49" t="s">
        <v>2097</v>
      </c>
      <c r="G255" s="49" t="s">
        <v>2097</v>
      </c>
      <c r="H255" s="51" t="n">
        <v>497</v>
      </c>
      <c r="I255" s="51" t="n">
        <v>317.98</v>
      </c>
      <c r="J255" s="51" t="n">
        <v>953.94</v>
      </c>
      <c r="K255" s="52" t="n">
        <v>1631.4</v>
      </c>
      <c r="L255" s="53" t="n">
        <v>30.6</v>
      </c>
      <c r="M255" s="54" t="n">
        <v>61.3</v>
      </c>
      <c r="N255" s="51" t="n">
        <v>20.782973</v>
      </c>
      <c r="O255" s="55" t="n">
        <v>3.15</v>
      </c>
      <c r="P255" s="51" t="n">
        <v>-456.94</v>
      </c>
      <c r="Q255" s="49" t="s">
        <v>2103</v>
      </c>
      <c r="R255" s="49" t="s">
        <v>2099</v>
      </c>
      <c r="S255" s="53" t="n">
        <v>0.5</v>
      </c>
      <c r="T255" s="51" t="n">
        <v>1631.4</v>
      </c>
      <c r="U255" s="56" t="n">
        <f aca="false">I255*O255</f>
        <v>1001.637</v>
      </c>
      <c r="V255" s="56" t="n">
        <f aca="false">J255*O255</f>
        <v>3004.911</v>
      </c>
      <c r="W255" s="56" t="n">
        <f aca="false">((I255+J255)/2)*O255</f>
        <v>2003.274</v>
      </c>
      <c r="X255" s="56" t="n">
        <f aca="false">H255*O255</f>
        <v>1565.55</v>
      </c>
    </row>
    <row r="256" customFormat="false" ht="22.35" hidden="false" customHeight="false" outlineLevel="0" collapsed="false">
      <c r="A256" s="48" t="s">
        <v>2061</v>
      </c>
      <c r="B256" s="7" t="s">
        <v>2518</v>
      </c>
      <c r="C256" s="7" t="s">
        <v>2519</v>
      </c>
      <c r="D256" s="7" t="s">
        <v>2095</v>
      </c>
      <c r="E256" s="61" t="s">
        <v>2113</v>
      </c>
      <c r="F256" s="7" t="s">
        <v>2097</v>
      </c>
      <c r="G256" s="7" t="s">
        <v>2097</v>
      </c>
      <c r="H256" s="9" t="n">
        <v>197</v>
      </c>
      <c r="I256" s="9" t="n">
        <v>132.58</v>
      </c>
      <c r="J256" s="9" t="n">
        <v>265.16</v>
      </c>
      <c r="K256" s="52" t="n">
        <v>420</v>
      </c>
      <c r="L256" s="58" t="n">
        <v>28</v>
      </c>
      <c r="M256" s="59" t="n">
        <v>82.8</v>
      </c>
      <c r="N256" s="9" t="n">
        <v>4.735082</v>
      </c>
      <c r="O256" s="8" t="n">
        <v>1.8535</v>
      </c>
      <c r="P256" s="9" t="n">
        <v>-68.16</v>
      </c>
      <c r="Q256" s="7" t="s">
        <v>2103</v>
      </c>
      <c r="R256" s="7" t="s">
        <v>2099</v>
      </c>
      <c r="S256" s="58" t="n">
        <v>1</v>
      </c>
      <c r="T256" s="9" t="n">
        <v>420</v>
      </c>
      <c r="U256" s="56" t="n">
        <f aca="false">I256*O256</f>
        <v>245.73703</v>
      </c>
      <c r="V256" s="56" t="n">
        <f aca="false">J256*O256</f>
        <v>491.47406</v>
      </c>
      <c r="W256" s="56" t="n">
        <f aca="false">((I256+J256)/2)*O256</f>
        <v>368.605545</v>
      </c>
      <c r="X256" s="56" t="n">
        <f aca="false">H256*O256</f>
        <v>365.1395</v>
      </c>
    </row>
    <row r="257" customFormat="false" ht="22.35" hidden="false" customHeight="false" outlineLevel="0" collapsed="false">
      <c r="A257" s="48" t="s">
        <v>2061</v>
      </c>
      <c r="B257" s="49" t="s">
        <v>2520</v>
      </c>
      <c r="C257" s="49" t="s">
        <v>2521</v>
      </c>
      <c r="D257" s="49" t="s">
        <v>2109</v>
      </c>
      <c r="E257" s="60" t="s">
        <v>2110</v>
      </c>
      <c r="F257" s="49" t="s">
        <v>2097</v>
      </c>
      <c r="G257" s="49" t="s">
        <v>2097</v>
      </c>
      <c r="H257" s="51" t="n">
        <v>21694</v>
      </c>
      <c r="I257" s="51" t="n">
        <v>26122.24</v>
      </c>
      <c r="J257" s="51" t="n">
        <v>43537.06</v>
      </c>
      <c r="K257" s="52" t="n">
        <v>43537.06</v>
      </c>
      <c r="L257" s="53" t="n">
        <v>28</v>
      </c>
      <c r="M257" s="54" t="n">
        <v>88.2</v>
      </c>
      <c r="N257" s="51" t="n">
        <v>621.958015</v>
      </c>
      <c r="O257" s="55" t="n">
        <v>0.69</v>
      </c>
      <c r="P257" s="51" t="n">
        <v>-21843.06</v>
      </c>
      <c r="Q257" s="49" t="s">
        <v>2103</v>
      </c>
      <c r="R257" s="49" t="s">
        <v>2099</v>
      </c>
      <c r="S257" s="53" t="n">
        <v>1.5</v>
      </c>
      <c r="T257" s="51" t="n">
        <v>1</v>
      </c>
      <c r="U257" s="56" t="n">
        <f aca="false">I257*O257</f>
        <v>18024.3456</v>
      </c>
      <c r="V257" s="56" t="n">
        <f aca="false">J257*O257</f>
        <v>30040.5714</v>
      </c>
      <c r="W257" s="56" t="n">
        <f aca="false">((I257+J257)/2)*O257</f>
        <v>24032.4585</v>
      </c>
      <c r="X257" s="56" t="n">
        <f aca="false">H257*O257</f>
        <v>14968.86</v>
      </c>
    </row>
    <row r="258" customFormat="false" ht="22.35" hidden="false" customHeight="false" outlineLevel="0" collapsed="false">
      <c r="A258" s="48" t="s">
        <v>2061</v>
      </c>
      <c r="B258" s="7" t="s">
        <v>2522</v>
      </c>
      <c r="C258" s="7" t="s">
        <v>2523</v>
      </c>
      <c r="D258" s="7" t="s">
        <v>2095</v>
      </c>
      <c r="E258" s="61" t="s">
        <v>2113</v>
      </c>
      <c r="F258" s="7" t="s">
        <v>2097</v>
      </c>
      <c r="G258" s="7" t="s">
        <v>2097</v>
      </c>
      <c r="H258" s="9" t="n">
        <v>2521</v>
      </c>
      <c r="I258" s="9" t="n">
        <v>2749.91</v>
      </c>
      <c r="J258" s="9" t="n">
        <v>5499.82</v>
      </c>
      <c r="K258" s="52" t="n">
        <v>6600</v>
      </c>
      <c r="L258" s="58" t="n">
        <v>30.8</v>
      </c>
      <c r="M258" s="59" t="n">
        <v>78.1</v>
      </c>
      <c r="N258" s="9" t="n">
        <v>89.282932</v>
      </c>
      <c r="O258" s="8" t="n">
        <v>1.8568</v>
      </c>
      <c r="P258" s="9" t="n">
        <v>-2978.82</v>
      </c>
      <c r="Q258" s="7" t="s">
        <v>2103</v>
      </c>
      <c r="R258" s="7" t="s">
        <v>2099</v>
      </c>
      <c r="S258" s="58" t="n">
        <v>1</v>
      </c>
      <c r="T258" s="9" t="n">
        <v>2200</v>
      </c>
      <c r="U258" s="56" t="n">
        <f aca="false">I258*O258</f>
        <v>5106.032888</v>
      </c>
      <c r="V258" s="56" t="n">
        <f aca="false">J258*O258</f>
        <v>10212.065776</v>
      </c>
      <c r="W258" s="56" t="n">
        <f aca="false">((I258+J258)/2)*O258</f>
        <v>7659.049332</v>
      </c>
      <c r="X258" s="56" t="n">
        <f aca="false">H258*O258</f>
        <v>4680.9928</v>
      </c>
    </row>
    <row r="259" customFormat="false" ht="22.35" hidden="false" customHeight="false" outlineLevel="0" collapsed="false">
      <c r="A259" s="48" t="s">
        <v>2061</v>
      </c>
      <c r="B259" s="49" t="s">
        <v>2524</v>
      </c>
      <c r="C259" s="49" t="s">
        <v>2525</v>
      </c>
      <c r="D259" s="49" t="s">
        <v>2095</v>
      </c>
      <c r="E259" s="61" t="s">
        <v>2113</v>
      </c>
      <c r="F259" s="49" t="s">
        <v>2097</v>
      </c>
      <c r="G259" s="49" t="s">
        <v>2097</v>
      </c>
      <c r="H259" s="51" t="n">
        <v>7000</v>
      </c>
      <c r="I259" s="51" t="n">
        <v>6398.55</v>
      </c>
      <c r="J259" s="51" t="n">
        <v>12797.1</v>
      </c>
      <c r="K259" s="52" t="n">
        <v>13320</v>
      </c>
      <c r="L259" s="53" t="n">
        <v>26.5</v>
      </c>
      <c r="M259" s="54" t="n">
        <v>82.8</v>
      </c>
      <c r="N259" s="51" t="n">
        <v>241.454595</v>
      </c>
      <c r="O259" s="55" t="n">
        <v>2.42</v>
      </c>
      <c r="P259" s="51" t="n">
        <v>-5797.1</v>
      </c>
      <c r="Q259" s="49" t="s">
        <v>2103</v>
      </c>
      <c r="R259" s="49" t="s">
        <v>2099</v>
      </c>
      <c r="S259" s="53" t="n">
        <v>1</v>
      </c>
      <c r="T259" s="51" t="n">
        <v>1110</v>
      </c>
      <c r="U259" s="56" t="n">
        <f aca="false">I259*O259</f>
        <v>15484.491</v>
      </c>
      <c r="V259" s="56" t="n">
        <f aca="false">J259*O259</f>
        <v>30968.982</v>
      </c>
      <c r="W259" s="56" t="n">
        <f aca="false">((I259+J259)/2)*O259</f>
        <v>23226.7365</v>
      </c>
      <c r="X259" s="56" t="n">
        <f aca="false">H259*O259</f>
        <v>16940</v>
      </c>
    </row>
    <row r="260" customFormat="false" ht="15" hidden="false" customHeight="false" outlineLevel="0" collapsed="false">
      <c r="A260" s="48" t="s">
        <v>2061</v>
      </c>
      <c r="B260" s="7" t="s">
        <v>2526</v>
      </c>
      <c r="C260" s="7" t="s">
        <v>2527</v>
      </c>
      <c r="D260" s="7" t="s">
        <v>2101</v>
      </c>
      <c r="E260" s="50" t="s">
        <v>2096</v>
      </c>
      <c r="F260" s="7" t="s">
        <v>2097</v>
      </c>
      <c r="G260" s="7" t="s">
        <v>2097</v>
      </c>
      <c r="H260" s="9" t="n">
        <v>100</v>
      </c>
      <c r="I260" s="9" t="n">
        <v>3.44</v>
      </c>
      <c r="J260" s="9" t="n">
        <v>10.31</v>
      </c>
      <c r="K260" s="52" t="n">
        <v>435</v>
      </c>
      <c r="L260" s="58" t="n">
        <v>15.4</v>
      </c>
      <c r="M260" s="59" t="n">
        <v>91.7</v>
      </c>
      <c r="N260" s="9" t="n">
        <v>0.446356</v>
      </c>
      <c r="O260" s="8" t="n">
        <v>1.95</v>
      </c>
      <c r="P260" s="9" t="n">
        <v>89.69</v>
      </c>
      <c r="Q260" s="7" t="s">
        <v>2098</v>
      </c>
      <c r="R260" s="7" t="s">
        <v>2099</v>
      </c>
      <c r="S260" s="58" t="n">
        <v>0.5</v>
      </c>
      <c r="T260" s="9" t="n">
        <v>435</v>
      </c>
      <c r="U260" s="56" t="n">
        <f aca="false">I260*O260</f>
        <v>6.708</v>
      </c>
      <c r="V260" s="56" t="n">
        <f aca="false">J260*O260</f>
        <v>20.1045</v>
      </c>
      <c r="W260" s="56" t="n">
        <f aca="false">((I260+J260)/2)*O260</f>
        <v>13.40625</v>
      </c>
      <c r="X260" s="56" t="n">
        <f aca="false">H260*O260</f>
        <v>195</v>
      </c>
    </row>
    <row r="261" customFormat="false" ht="22.35" hidden="false" customHeight="false" outlineLevel="0" collapsed="false">
      <c r="A261" s="48" t="s">
        <v>2061</v>
      </c>
      <c r="B261" s="49" t="s">
        <v>2528</v>
      </c>
      <c r="C261" s="49" t="s">
        <v>2529</v>
      </c>
      <c r="D261" s="49" t="s">
        <v>2095</v>
      </c>
      <c r="E261" s="61" t="s">
        <v>2113</v>
      </c>
      <c r="F261" s="49" t="s">
        <v>2097</v>
      </c>
      <c r="G261" s="49" t="s">
        <v>2097</v>
      </c>
      <c r="H261" s="51" t="n">
        <v>2305</v>
      </c>
      <c r="I261" s="51" t="n">
        <v>1852.99</v>
      </c>
      <c r="J261" s="51" t="n">
        <v>3705.98</v>
      </c>
      <c r="K261" s="52" t="n">
        <v>4920</v>
      </c>
      <c r="L261" s="53" t="n">
        <v>30.4</v>
      </c>
      <c r="M261" s="54" t="n">
        <v>83.3</v>
      </c>
      <c r="N261" s="51" t="n">
        <v>60.95374</v>
      </c>
      <c r="O261" s="55" t="n">
        <v>1</v>
      </c>
      <c r="P261" s="51" t="n">
        <v>-1400.98</v>
      </c>
      <c r="Q261" s="49" t="s">
        <v>2103</v>
      </c>
      <c r="R261" s="49" t="s">
        <v>2099</v>
      </c>
      <c r="S261" s="53" t="n">
        <v>1</v>
      </c>
      <c r="T261" s="51" t="n">
        <v>2460</v>
      </c>
      <c r="U261" s="56" t="n">
        <f aca="false">I261*O261</f>
        <v>1852.99</v>
      </c>
      <c r="V261" s="56" t="n">
        <f aca="false">J261*O261</f>
        <v>3705.98</v>
      </c>
      <c r="W261" s="56" t="n">
        <f aca="false">((I261+J261)/2)*O261</f>
        <v>2779.485</v>
      </c>
      <c r="X261" s="56" t="n">
        <f aca="false">H261*O261</f>
        <v>2305</v>
      </c>
    </row>
    <row r="262" customFormat="false" ht="22.35" hidden="false" customHeight="false" outlineLevel="0" collapsed="false">
      <c r="A262" s="48" t="s">
        <v>2061</v>
      </c>
      <c r="B262" s="7" t="s">
        <v>2530</v>
      </c>
      <c r="C262" s="7" t="s">
        <v>2527</v>
      </c>
      <c r="D262" s="7" t="s">
        <v>2101</v>
      </c>
      <c r="E262" s="57" t="s">
        <v>2102</v>
      </c>
      <c r="F262" s="7" t="s">
        <v>2097</v>
      </c>
      <c r="G262" s="7" t="s">
        <v>2097</v>
      </c>
      <c r="H262" s="9" t="n">
        <v>447</v>
      </c>
      <c r="I262" s="9" t="n">
        <v>150.87</v>
      </c>
      <c r="J262" s="9" t="n">
        <v>452.61</v>
      </c>
      <c r="K262" s="52" t="n">
        <v>900</v>
      </c>
      <c r="L262" s="58" t="n">
        <v>24.6</v>
      </c>
      <c r="M262" s="59" t="n">
        <v>73.9</v>
      </c>
      <c r="N262" s="9" t="n">
        <v>12.265945</v>
      </c>
      <c r="O262" s="8" t="n">
        <v>3.26</v>
      </c>
      <c r="P262" s="9" t="n">
        <v>-5.61</v>
      </c>
      <c r="Q262" s="7" t="s">
        <v>2103</v>
      </c>
      <c r="R262" s="7" t="s">
        <v>2099</v>
      </c>
      <c r="S262" s="58" t="n">
        <v>0.5</v>
      </c>
      <c r="T262" s="9" t="n">
        <v>450</v>
      </c>
      <c r="U262" s="56" t="n">
        <f aca="false">I262*O262</f>
        <v>491.8362</v>
      </c>
      <c r="V262" s="56" t="n">
        <f aca="false">J262*O262</f>
        <v>1475.5086</v>
      </c>
      <c r="W262" s="56" t="n">
        <f aca="false">((I262+J262)/2)*O262</f>
        <v>983.6724</v>
      </c>
      <c r="X262" s="56" t="n">
        <f aca="false">H262*O262</f>
        <v>1457.22</v>
      </c>
    </row>
    <row r="263" customFormat="false" ht="22.35" hidden="false" customHeight="false" outlineLevel="0" collapsed="false">
      <c r="A263" s="48" t="s">
        <v>2061</v>
      </c>
      <c r="B263" s="49" t="s">
        <v>2531</v>
      </c>
      <c r="C263" s="49" t="s">
        <v>2532</v>
      </c>
      <c r="D263" s="49" t="s">
        <v>2109</v>
      </c>
      <c r="E263" s="60" t="s">
        <v>2110</v>
      </c>
      <c r="F263" s="49" t="s">
        <v>2097</v>
      </c>
      <c r="G263" s="49" t="s">
        <v>2097</v>
      </c>
      <c r="H263" s="51" t="n">
        <v>27113</v>
      </c>
      <c r="I263" s="51" t="n">
        <v>32126.45</v>
      </c>
      <c r="J263" s="51" t="n">
        <v>53544.08</v>
      </c>
      <c r="K263" s="52" t="n">
        <v>53544.08</v>
      </c>
      <c r="L263" s="53" t="n">
        <v>34.8</v>
      </c>
      <c r="M263" s="54" t="n">
        <v>84.4</v>
      </c>
      <c r="N263" s="51" t="n">
        <v>615.449231</v>
      </c>
      <c r="O263" s="55" t="n">
        <v>0.89</v>
      </c>
      <c r="P263" s="51" t="n">
        <v>-26431.08</v>
      </c>
      <c r="Q263" s="49" t="s">
        <v>2103</v>
      </c>
      <c r="R263" s="49" t="s">
        <v>2099</v>
      </c>
      <c r="S263" s="53" t="n">
        <v>1.5</v>
      </c>
      <c r="T263" s="51" t="n">
        <v>1</v>
      </c>
      <c r="U263" s="56" t="n">
        <f aca="false">I263*O263</f>
        <v>28592.5405</v>
      </c>
      <c r="V263" s="56" t="n">
        <f aca="false">J263*O263</f>
        <v>47654.2312</v>
      </c>
      <c r="W263" s="56" t="n">
        <f aca="false">((I263+J263)/2)*O263</f>
        <v>38123.38585</v>
      </c>
      <c r="X263" s="56" t="n">
        <f aca="false">H263*O263</f>
        <v>24130.57</v>
      </c>
    </row>
    <row r="264" customFormat="false" ht="22.35" hidden="false" customHeight="false" outlineLevel="0" collapsed="false">
      <c r="A264" s="48" t="s">
        <v>2061</v>
      </c>
      <c r="B264" s="7" t="s">
        <v>2533</v>
      </c>
      <c r="C264" s="7" t="s">
        <v>2534</v>
      </c>
      <c r="D264" s="7" t="s">
        <v>2095</v>
      </c>
      <c r="E264" s="61" t="s">
        <v>2113</v>
      </c>
      <c r="F264" s="7" t="s">
        <v>2097</v>
      </c>
      <c r="G264" s="7" t="s">
        <v>2097</v>
      </c>
      <c r="H264" s="9" t="n">
        <v>1140</v>
      </c>
      <c r="I264" s="9" t="n">
        <v>2026.73</v>
      </c>
      <c r="J264" s="9" t="n">
        <v>4053.46</v>
      </c>
      <c r="K264" s="52" t="n">
        <v>5732</v>
      </c>
      <c r="L264" s="58" t="n">
        <v>22.4</v>
      </c>
      <c r="M264" s="59" t="n">
        <v>82.4</v>
      </c>
      <c r="N264" s="9" t="n">
        <v>90.479055</v>
      </c>
      <c r="O264" s="8" t="n">
        <v>1.314</v>
      </c>
      <c r="P264" s="9" t="n">
        <v>-2913.46</v>
      </c>
      <c r="Q264" s="7" t="s">
        <v>2103</v>
      </c>
      <c r="R264" s="7" t="s">
        <v>2099</v>
      </c>
      <c r="S264" s="58" t="n">
        <v>1</v>
      </c>
      <c r="T264" s="9" t="n">
        <v>2866</v>
      </c>
      <c r="U264" s="56" t="n">
        <f aca="false">I264*O264</f>
        <v>2663.12322</v>
      </c>
      <c r="V264" s="56" t="n">
        <f aca="false">J264*O264</f>
        <v>5326.24644</v>
      </c>
      <c r="W264" s="56" t="n">
        <f aca="false">((I264+J264)/2)*O264</f>
        <v>3994.68483</v>
      </c>
      <c r="X264" s="56" t="n">
        <f aca="false">H264*O264</f>
        <v>1497.96</v>
      </c>
    </row>
    <row r="265" customFormat="false" ht="22.35" hidden="false" customHeight="false" outlineLevel="0" collapsed="false">
      <c r="A265" s="48" t="s">
        <v>2061</v>
      </c>
      <c r="B265" s="49" t="s">
        <v>2535</v>
      </c>
      <c r="C265" s="49" t="s">
        <v>2536</v>
      </c>
      <c r="D265" s="49" t="s">
        <v>2101</v>
      </c>
      <c r="E265" s="57" t="s">
        <v>2102</v>
      </c>
      <c r="F265" s="49" t="s">
        <v>2097</v>
      </c>
      <c r="G265" s="49" t="s">
        <v>2097</v>
      </c>
      <c r="H265" s="51" t="n">
        <v>1068</v>
      </c>
      <c r="I265" s="51" t="n">
        <v>400.26</v>
      </c>
      <c r="J265" s="51" t="n">
        <v>1200.78</v>
      </c>
      <c r="K265" s="52" t="n">
        <v>1746.04</v>
      </c>
      <c r="L265" s="53" t="n">
        <v>17.7</v>
      </c>
      <c r="M265" s="54" t="n">
        <v>77.1</v>
      </c>
      <c r="N265" s="51" t="n">
        <v>45.227178</v>
      </c>
      <c r="O265" s="55" t="n">
        <v>1.44</v>
      </c>
      <c r="P265" s="51" t="n">
        <v>-132.78</v>
      </c>
      <c r="Q265" s="49" t="s">
        <v>2103</v>
      </c>
      <c r="R265" s="49" t="s">
        <v>2099</v>
      </c>
      <c r="S265" s="53" t="n">
        <v>0.5</v>
      </c>
      <c r="T265" s="51" t="n">
        <v>1746.04</v>
      </c>
      <c r="U265" s="56" t="n">
        <f aca="false">I265*O265</f>
        <v>576.3744</v>
      </c>
      <c r="V265" s="56" t="n">
        <f aca="false">J265*O265</f>
        <v>1729.1232</v>
      </c>
      <c r="W265" s="56" t="n">
        <f aca="false">((I265+J265)/2)*O265</f>
        <v>1152.7488</v>
      </c>
      <c r="X265" s="56" t="n">
        <f aca="false">H265*O265</f>
        <v>1537.92</v>
      </c>
    </row>
    <row r="266" customFormat="false" ht="22.35" hidden="false" customHeight="false" outlineLevel="0" collapsed="false">
      <c r="A266" s="48" t="s">
        <v>2061</v>
      </c>
      <c r="B266" s="7" t="s">
        <v>2537</v>
      </c>
      <c r="C266" s="7" t="s">
        <v>2538</v>
      </c>
      <c r="D266" s="7" t="s">
        <v>2109</v>
      </c>
      <c r="E266" s="60" t="s">
        <v>2110</v>
      </c>
      <c r="F266" s="7" t="s">
        <v>2097</v>
      </c>
      <c r="G266" s="7" t="s">
        <v>2097</v>
      </c>
      <c r="H266" s="9" t="n">
        <v>50000</v>
      </c>
      <c r="I266" s="9" t="n">
        <v>123642.63</v>
      </c>
      <c r="J266" s="9" t="n">
        <v>206071.05</v>
      </c>
      <c r="K266" s="52" t="n">
        <v>206071.05</v>
      </c>
      <c r="L266" s="58" t="n">
        <v>49</v>
      </c>
      <c r="M266" s="59" t="n">
        <v>85.6</v>
      </c>
      <c r="N266" s="9" t="n">
        <v>1682.212706</v>
      </c>
      <c r="O266" s="8" t="n">
        <v>0.64</v>
      </c>
      <c r="P266" s="9" t="n">
        <v>-156071.05</v>
      </c>
      <c r="Q266" s="7" t="s">
        <v>2103</v>
      </c>
      <c r="R266" s="7" t="s">
        <v>2099</v>
      </c>
      <c r="S266" s="58" t="n">
        <v>1.5</v>
      </c>
      <c r="T266" s="9" t="n">
        <v>1</v>
      </c>
      <c r="U266" s="56" t="n">
        <f aca="false">I266*O266</f>
        <v>79131.2832</v>
      </c>
      <c r="V266" s="56" t="n">
        <f aca="false">J266*O266</f>
        <v>131885.472</v>
      </c>
      <c r="W266" s="56" t="n">
        <f aca="false">((I266+J266)/2)*O266</f>
        <v>105508.3776</v>
      </c>
      <c r="X266" s="56" t="n">
        <f aca="false">H266*O266</f>
        <v>32000</v>
      </c>
    </row>
    <row r="267" customFormat="false" ht="22.35" hidden="false" customHeight="false" outlineLevel="0" collapsed="false">
      <c r="A267" s="48" t="s">
        <v>2061</v>
      </c>
      <c r="B267" s="49" t="s">
        <v>2539</v>
      </c>
      <c r="C267" s="49" t="s">
        <v>2540</v>
      </c>
      <c r="D267" s="49" t="s">
        <v>2109</v>
      </c>
      <c r="E267" s="60" t="s">
        <v>2110</v>
      </c>
      <c r="F267" s="49" t="s">
        <v>2097</v>
      </c>
      <c r="G267" s="49" t="s">
        <v>2097</v>
      </c>
      <c r="H267" s="51" t="n">
        <v>18000</v>
      </c>
      <c r="I267" s="51" t="n">
        <v>71586.74</v>
      </c>
      <c r="J267" s="51" t="n">
        <v>119311.23</v>
      </c>
      <c r="K267" s="52" t="n">
        <v>133448</v>
      </c>
      <c r="L267" s="53" t="n">
        <v>51</v>
      </c>
      <c r="M267" s="54" t="n">
        <v>67.5</v>
      </c>
      <c r="N267" s="51" t="n">
        <v>935.774359</v>
      </c>
      <c r="O267" s="55" t="n">
        <v>1.73</v>
      </c>
      <c r="P267" s="51" t="n">
        <v>-101311.23</v>
      </c>
      <c r="Q267" s="49" t="s">
        <v>2103</v>
      </c>
      <c r="R267" s="49" t="s">
        <v>2099</v>
      </c>
      <c r="S267" s="53" t="n">
        <v>1.5</v>
      </c>
      <c r="T267" s="51" t="n">
        <v>16681</v>
      </c>
      <c r="U267" s="56" t="n">
        <f aca="false">I267*O267</f>
        <v>123845.0602</v>
      </c>
      <c r="V267" s="56" t="n">
        <f aca="false">J267*O267</f>
        <v>206408.4279</v>
      </c>
      <c r="W267" s="56" t="n">
        <f aca="false">((I267+J267)/2)*O267</f>
        <v>165126.74405</v>
      </c>
      <c r="X267" s="56" t="n">
        <f aca="false">H267*O267</f>
        <v>31140</v>
      </c>
    </row>
    <row r="268" customFormat="false" ht="22.35" hidden="false" customHeight="false" outlineLevel="0" collapsed="false">
      <c r="A268" s="48" t="s">
        <v>2061</v>
      </c>
      <c r="B268" s="7" t="s">
        <v>2541</v>
      </c>
      <c r="C268" s="7" t="s">
        <v>2542</v>
      </c>
      <c r="D268" s="7" t="s">
        <v>2095</v>
      </c>
      <c r="E268" s="61" t="s">
        <v>2113</v>
      </c>
      <c r="F268" s="7" t="s">
        <v>2097</v>
      </c>
      <c r="G268" s="7" t="s">
        <v>2097</v>
      </c>
      <c r="H268" s="9" t="n">
        <v>1243</v>
      </c>
      <c r="I268" s="9" t="n">
        <v>1173.26</v>
      </c>
      <c r="J268" s="9" t="n">
        <v>2346.52</v>
      </c>
      <c r="K268" s="52" t="n">
        <v>2400</v>
      </c>
      <c r="L268" s="58" t="n">
        <v>21.1</v>
      </c>
      <c r="M268" s="59" t="n">
        <v>76.3</v>
      </c>
      <c r="N268" s="9" t="n">
        <v>55.604836</v>
      </c>
      <c r="O268" s="8" t="n">
        <v>1.095</v>
      </c>
      <c r="P268" s="9" t="n">
        <v>-1103.52</v>
      </c>
      <c r="Q268" s="7" t="s">
        <v>2103</v>
      </c>
      <c r="R268" s="7" t="s">
        <v>2099</v>
      </c>
      <c r="S268" s="58" t="n">
        <v>1</v>
      </c>
      <c r="T268" s="9" t="n">
        <v>400</v>
      </c>
      <c r="U268" s="56" t="n">
        <f aca="false">I268*O268</f>
        <v>1284.7197</v>
      </c>
      <c r="V268" s="56" t="n">
        <f aca="false">J268*O268</f>
        <v>2569.4394</v>
      </c>
      <c r="W268" s="56" t="n">
        <f aca="false">((I268+J268)/2)*O268</f>
        <v>1927.07955</v>
      </c>
      <c r="X268" s="56" t="n">
        <f aca="false">H268*O268</f>
        <v>1361.085</v>
      </c>
    </row>
    <row r="269" customFormat="false" ht="15" hidden="false" customHeight="false" outlineLevel="0" collapsed="false">
      <c r="A269" s="48" t="s">
        <v>2061</v>
      </c>
      <c r="B269" s="49" t="s">
        <v>2543</v>
      </c>
      <c r="C269" s="49" t="s">
        <v>2544</v>
      </c>
      <c r="D269" s="49" t="s">
        <v>2101</v>
      </c>
      <c r="E269" s="50" t="s">
        <v>2096</v>
      </c>
      <c r="F269" s="49" t="s">
        <v>2097</v>
      </c>
      <c r="G269" s="49" t="s">
        <v>2097</v>
      </c>
      <c r="H269" s="51" t="n">
        <v>530</v>
      </c>
      <c r="I269" s="51" t="n">
        <v>55.7</v>
      </c>
      <c r="J269" s="51" t="n">
        <v>167.1</v>
      </c>
      <c r="K269" s="52" t="n">
        <v>720</v>
      </c>
      <c r="L269" s="53" t="n">
        <v>12.8</v>
      </c>
      <c r="M269" s="54" t="n">
        <v>88.5</v>
      </c>
      <c r="N269" s="51" t="n">
        <v>8.703178</v>
      </c>
      <c r="O269" s="55" t="n">
        <v>1.03</v>
      </c>
      <c r="P269" s="51" t="n">
        <v>362.9</v>
      </c>
      <c r="Q269" s="49" t="s">
        <v>2098</v>
      </c>
      <c r="R269" s="49" t="s">
        <v>2099</v>
      </c>
      <c r="S269" s="53" t="n">
        <v>0.5</v>
      </c>
      <c r="T269" s="51" t="n">
        <v>720</v>
      </c>
      <c r="U269" s="56" t="n">
        <f aca="false">I269*O269</f>
        <v>57.371</v>
      </c>
      <c r="V269" s="56" t="n">
        <f aca="false">J269*O269</f>
        <v>172.113</v>
      </c>
      <c r="W269" s="56" t="n">
        <f aca="false">((I269+J269)/2)*O269</f>
        <v>114.742</v>
      </c>
      <c r="X269" s="56" t="n">
        <f aca="false">H269*O269</f>
        <v>545.9</v>
      </c>
    </row>
    <row r="270" customFormat="false" ht="15" hidden="false" customHeight="false" outlineLevel="0" collapsed="false">
      <c r="A270" s="48" t="s">
        <v>2061</v>
      </c>
      <c r="B270" s="7" t="s">
        <v>2545</v>
      </c>
      <c r="C270" s="7" t="s">
        <v>2546</v>
      </c>
      <c r="D270" s="7" t="s">
        <v>2109</v>
      </c>
      <c r="E270" s="50" t="s">
        <v>2096</v>
      </c>
      <c r="F270" s="7" t="s">
        <v>2097</v>
      </c>
      <c r="G270" s="7" t="s">
        <v>2097</v>
      </c>
      <c r="H270" s="9" t="n">
        <v>20106</v>
      </c>
      <c r="I270" s="9" t="n">
        <v>5838.11</v>
      </c>
      <c r="J270" s="9" t="n">
        <v>9730.18</v>
      </c>
      <c r="K270" s="52" t="n">
        <v>9730.18</v>
      </c>
      <c r="L270" s="58" t="n">
        <v>12.8</v>
      </c>
      <c r="M270" s="59" t="n">
        <v>82.9</v>
      </c>
      <c r="N270" s="9" t="n">
        <v>304.068335</v>
      </c>
      <c r="O270" s="8" t="n">
        <v>0.893</v>
      </c>
      <c r="P270" s="9" t="n">
        <v>10375.82</v>
      </c>
      <c r="Q270" s="7" t="s">
        <v>2098</v>
      </c>
      <c r="R270" s="7" t="s">
        <v>2099</v>
      </c>
      <c r="S270" s="58" t="n">
        <v>1.5</v>
      </c>
      <c r="T270" s="9" t="n">
        <v>1</v>
      </c>
      <c r="U270" s="56" t="n">
        <f aca="false">I270*O270</f>
        <v>5213.43223</v>
      </c>
      <c r="V270" s="56" t="n">
        <f aca="false">J270*O270</f>
        <v>8689.05074</v>
      </c>
      <c r="W270" s="56" t="n">
        <f aca="false">((I270+J270)/2)*O270</f>
        <v>6951.241485</v>
      </c>
      <c r="X270" s="56" t="n">
        <f aca="false">H270*O270</f>
        <v>17954.658</v>
      </c>
    </row>
    <row r="271" customFormat="false" ht="22.35" hidden="false" customHeight="false" outlineLevel="0" collapsed="false">
      <c r="A271" s="48" t="s">
        <v>2061</v>
      </c>
      <c r="B271" s="49" t="s">
        <v>2547</v>
      </c>
      <c r="C271" s="49" t="s">
        <v>2548</v>
      </c>
      <c r="D271" s="49" t="s">
        <v>2101</v>
      </c>
      <c r="E271" s="57" t="s">
        <v>2102</v>
      </c>
      <c r="F271" s="49" t="s">
        <v>2097</v>
      </c>
      <c r="G271" s="49" t="s">
        <v>2097</v>
      </c>
      <c r="H271" s="51" t="n">
        <v>1490</v>
      </c>
      <c r="I271" s="51" t="n">
        <v>772.2</v>
      </c>
      <c r="J271" s="51" t="n">
        <v>2316.6</v>
      </c>
      <c r="K271" s="52" t="n">
        <v>4250</v>
      </c>
      <c r="L271" s="53" t="n">
        <v>25.2</v>
      </c>
      <c r="M271" s="54" t="n">
        <v>77.8</v>
      </c>
      <c r="N271" s="51" t="n">
        <v>61.285795</v>
      </c>
      <c r="O271" s="55" t="n">
        <v>1.5408</v>
      </c>
      <c r="P271" s="51" t="n">
        <v>-826.6</v>
      </c>
      <c r="Q271" s="49" t="s">
        <v>2103</v>
      </c>
      <c r="R271" s="49" t="s">
        <v>2099</v>
      </c>
      <c r="S271" s="53" t="n">
        <v>0.5</v>
      </c>
      <c r="T271" s="51" t="n">
        <v>4250</v>
      </c>
      <c r="U271" s="56" t="n">
        <f aca="false">I271*O271</f>
        <v>1189.80576</v>
      </c>
      <c r="V271" s="56" t="n">
        <f aca="false">J271*O271</f>
        <v>3569.41728</v>
      </c>
      <c r="W271" s="56" t="n">
        <f aca="false">((I271+J271)/2)*O271</f>
        <v>2379.61152</v>
      </c>
      <c r="X271" s="56" t="n">
        <f aca="false">H271*O271</f>
        <v>2295.792</v>
      </c>
    </row>
    <row r="272" customFormat="false" ht="22.35" hidden="false" customHeight="false" outlineLevel="0" collapsed="false">
      <c r="A272" s="48" t="s">
        <v>2061</v>
      </c>
      <c r="B272" s="7" t="s">
        <v>2549</v>
      </c>
      <c r="C272" s="7" t="s">
        <v>2550</v>
      </c>
      <c r="D272" s="7" t="s">
        <v>2095</v>
      </c>
      <c r="E272" s="61" t="s">
        <v>2113</v>
      </c>
      <c r="F272" s="7" t="s">
        <v>2097</v>
      </c>
      <c r="G272" s="7" t="s">
        <v>2097</v>
      </c>
      <c r="H272" s="9" t="n">
        <v>3732</v>
      </c>
      <c r="I272" s="9" t="n">
        <v>2966.79</v>
      </c>
      <c r="J272" s="9" t="n">
        <v>5933.58</v>
      </c>
      <c r="K272" s="52" t="n">
        <v>8698.56</v>
      </c>
      <c r="L272" s="58" t="n">
        <v>21.6</v>
      </c>
      <c r="M272" s="59" t="n">
        <v>88.9</v>
      </c>
      <c r="N272" s="9" t="n">
        <v>137.351397</v>
      </c>
      <c r="O272" s="8" t="n">
        <v>0.4446</v>
      </c>
      <c r="P272" s="9" t="n">
        <v>-2201.58</v>
      </c>
      <c r="Q272" s="7" t="s">
        <v>2103</v>
      </c>
      <c r="R272" s="7" t="s">
        <v>2099</v>
      </c>
      <c r="S272" s="58" t="n">
        <v>1</v>
      </c>
      <c r="T272" s="9" t="n">
        <v>8698.56</v>
      </c>
      <c r="U272" s="56" t="n">
        <f aca="false">I272*O272</f>
        <v>1319.034834</v>
      </c>
      <c r="V272" s="56" t="n">
        <f aca="false">J272*O272</f>
        <v>2638.069668</v>
      </c>
      <c r="W272" s="56" t="n">
        <f aca="false">((I272+J272)/2)*O272</f>
        <v>1978.552251</v>
      </c>
      <c r="X272" s="56" t="n">
        <f aca="false">H272*O272</f>
        <v>1659.2472</v>
      </c>
    </row>
    <row r="273" customFormat="false" ht="22.35" hidden="false" customHeight="false" outlineLevel="0" collapsed="false">
      <c r="A273" s="48" t="s">
        <v>2061</v>
      </c>
      <c r="B273" s="49" t="s">
        <v>2551</v>
      </c>
      <c r="C273" s="49" t="s">
        <v>2552</v>
      </c>
      <c r="D273" s="49" t="s">
        <v>2095</v>
      </c>
      <c r="E273" s="61" t="s">
        <v>2113</v>
      </c>
      <c r="F273" s="49" t="s">
        <v>2097</v>
      </c>
      <c r="G273" s="49" t="s">
        <v>2097</v>
      </c>
      <c r="H273" s="51" t="n">
        <v>6000</v>
      </c>
      <c r="I273" s="51" t="n">
        <v>7803.87</v>
      </c>
      <c r="J273" s="51" t="n">
        <v>15607.74</v>
      </c>
      <c r="K273" s="52" t="n">
        <v>17760</v>
      </c>
      <c r="L273" s="53" t="n">
        <v>34.8</v>
      </c>
      <c r="M273" s="54" t="n">
        <v>75.6</v>
      </c>
      <c r="N273" s="51" t="n">
        <v>224.249178</v>
      </c>
      <c r="O273" s="55" t="n">
        <v>2.6904</v>
      </c>
      <c r="P273" s="51" t="n">
        <v>-9607.74</v>
      </c>
      <c r="Q273" s="49" t="s">
        <v>2103</v>
      </c>
      <c r="R273" s="49" t="s">
        <v>2099</v>
      </c>
      <c r="S273" s="53" t="n">
        <v>1</v>
      </c>
      <c r="T273" s="51" t="n">
        <v>2960</v>
      </c>
      <c r="U273" s="56" t="n">
        <f aca="false">I273*O273</f>
        <v>20995.531848</v>
      </c>
      <c r="V273" s="56" t="n">
        <f aca="false">J273*O273</f>
        <v>41991.063696</v>
      </c>
      <c r="W273" s="56" t="n">
        <f aca="false">((I273+J273)/2)*O273</f>
        <v>31493.297772</v>
      </c>
      <c r="X273" s="56" t="n">
        <f aca="false">H273*O273</f>
        <v>16142.4</v>
      </c>
    </row>
    <row r="274" customFormat="false" ht="22.35" hidden="false" customHeight="false" outlineLevel="0" collapsed="false">
      <c r="A274" s="48" t="s">
        <v>2061</v>
      </c>
      <c r="B274" s="7" t="s">
        <v>2553</v>
      </c>
      <c r="C274" s="7" t="s">
        <v>1983</v>
      </c>
      <c r="D274" s="7" t="s">
        <v>2109</v>
      </c>
      <c r="E274" s="60" t="s">
        <v>2110</v>
      </c>
      <c r="F274" s="7" t="s">
        <v>2097</v>
      </c>
      <c r="G274" s="7" t="s">
        <v>2097</v>
      </c>
      <c r="H274" s="9" t="n">
        <v>30000</v>
      </c>
      <c r="I274" s="9" t="n">
        <v>85845.16</v>
      </c>
      <c r="J274" s="9" t="n">
        <v>143075.27</v>
      </c>
      <c r="K274" s="52" t="n">
        <v>148912</v>
      </c>
      <c r="L274" s="58" t="n">
        <v>42.1</v>
      </c>
      <c r="M274" s="59" t="n">
        <v>69.2</v>
      </c>
      <c r="N274" s="9" t="n">
        <v>1359.384932</v>
      </c>
      <c r="O274" s="8" t="n">
        <v>1.6</v>
      </c>
      <c r="P274" s="9" t="n">
        <v>-113075.27</v>
      </c>
      <c r="Q274" s="7" t="s">
        <v>2103</v>
      </c>
      <c r="R274" s="7" t="s">
        <v>2099</v>
      </c>
      <c r="S274" s="58" t="n">
        <v>1.5</v>
      </c>
      <c r="T274" s="9" t="n">
        <v>14891.2</v>
      </c>
      <c r="U274" s="56" t="n">
        <f aca="false">I274*O274</f>
        <v>137352.256</v>
      </c>
      <c r="V274" s="56" t="n">
        <f aca="false">J274*O274</f>
        <v>228920.432</v>
      </c>
      <c r="W274" s="56" t="n">
        <f aca="false">((I274+J274)/2)*O274</f>
        <v>183136.344</v>
      </c>
      <c r="X274" s="56" t="n">
        <f aca="false">H274*O274</f>
        <v>48000</v>
      </c>
    </row>
    <row r="275" customFormat="false" ht="22.35" hidden="false" customHeight="false" outlineLevel="0" collapsed="false">
      <c r="A275" s="48" t="s">
        <v>2061</v>
      </c>
      <c r="B275" s="49" t="s">
        <v>2554</v>
      </c>
      <c r="C275" s="49" t="s">
        <v>1983</v>
      </c>
      <c r="D275" s="49" t="s">
        <v>2109</v>
      </c>
      <c r="E275" s="60" t="s">
        <v>2110</v>
      </c>
      <c r="F275" s="49" t="s">
        <v>2097</v>
      </c>
      <c r="G275" s="49" t="s">
        <v>2097</v>
      </c>
      <c r="H275" s="51" t="n">
        <v>25000</v>
      </c>
      <c r="I275" s="51" t="n">
        <v>42318.59</v>
      </c>
      <c r="J275" s="51" t="n">
        <v>70530.99</v>
      </c>
      <c r="K275" s="52" t="n">
        <v>70530.99</v>
      </c>
      <c r="L275" s="53" t="n">
        <v>43.4</v>
      </c>
      <c r="M275" s="54" t="n">
        <v>75.5</v>
      </c>
      <c r="N275" s="51" t="n">
        <v>650.055206</v>
      </c>
      <c r="O275" s="55" t="n">
        <v>1.6</v>
      </c>
      <c r="P275" s="51" t="n">
        <v>-45530.99</v>
      </c>
      <c r="Q275" s="49" t="s">
        <v>2103</v>
      </c>
      <c r="R275" s="49" t="s">
        <v>2099</v>
      </c>
      <c r="S275" s="53" t="n">
        <v>1.5</v>
      </c>
      <c r="T275" s="51" t="n">
        <v>1</v>
      </c>
      <c r="U275" s="56" t="n">
        <f aca="false">I275*O275</f>
        <v>67709.744</v>
      </c>
      <c r="V275" s="56" t="n">
        <f aca="false">J275*O275</f>
        <v>112849.584</v>
      </c>
      <c r="W275" s="56" t="n">
        <f aca="false">((I275+J275)/2)*O275</f>
        <v>90279.664</v>
      </c>
      <c r="X275" s="56" t="n">
        <f aca="false">H275*O275</f>
        <v>40000</v>
      </c>
    </row>
    <row r="276" customFormat="false" ht="22.35" hidden="false" customHeight="false" outlineLevel="0" collapsed="false">
      <c r="A276" s="48" t="s">
        <v>2061</v>
      </c>
      <c r="B276" s="7" t="s">
        <v>2555</v>
      </c>
      <c r="C276" s="7" t="s">
        <v>1983</v>
      </c>
      <c r="D276" s="7" t="s">
        <v>2109</v>
      </c>
      <c r="E276" s="60" t="s">
        <v>2110</v>
      </c>
      <c r="F276" s="7" t="s">
        <v>2097</v>
      </c>
      <c r="G276" s="7" t="s">
        <v>2097</v>
      </c>
      <c r="H276" s="9" t="n">
        <v>40000</v>
      </c>
      <c r="I276" s="9" t="n">
        <v>97112.68</v>
      </c>
      <c r="J276" s="9" t="n">
        <v>161854.47</v>
      </c>
      <c r="K276" s="52" t="n">
        <v>161854.47</v>
      </c>
      <c r="L276" s="58" t="n">
        <v>74.6</v>
      </c>
      <c r="M276" s="59" t="n">
        <v>83.8</v>
      </c>
      <c r="N276" s="9" t="n">
        <v>867.852384</v>
      </c>
      <c r="O276" s="8" t="n">
        <v>1.5901</v>
      </c>
      <c r="P276" s="9" t="n">
        <v>-121854.47</v>
      </c>
      <c r="Q276" s="7" t="s">
        <v>2103</v>
      </c>
      <c r="R276" s="7" t="s">
        <v>2099</v>
      </c>
      <c r="S276" s="58" t="n">
        <v>1.5</v>
      </c>
      <c r="T276" s="9" t="n">
        <v>1</v>
      </c>
      <c r="U276" s="56" t="n">
        <f aca="false">I276*O276</f>
        <v>154418.872468</v>
      </c>
      <c r="V276" s="56" t="n">
        <f aca="false">J276*O276</f>
        <v>257364.792747</v>
      </c>
      <c r="W276" s="56" t="n">
        <f aca="false">((I276+J276)/2)*O276</f>
        <v>205891.8326075</v>
      </c>
      <c r="X276" s="56" t="n">
        <f aca="false">H276*O276</f>
        <v>63604</v>
      </c>
    </row>
    <row r="277" customFormat="false" ht="22.35" hidden="false" customHeight="false" outlineLevel="0" collapsed="false">
      <c r="A277" s="48" t="s">
        <v>2061</v>
      </c>
      <c r="B277" s="49" t="s">
        <v>2556</v>
      </c>
      <c r="C277" s="49" t="s">
        <v>1983</v>
      </c>
      <c r="D277" s="49" t="s">
        <v>2109</v>
      </c>
      <c r="E277" s="60" t="s">
        <v>2110</v>
      </c>
      <c r="F277" s="49" t="s">
        <v>2097</v>
      </c>
      <c r="G277" s="49" t="s">
        <v>2097</v>
      </c>
      <c r="H277" s="51" t="n">
        <v>38000</v>
      </c>
      <c r="I277" s="51" t="n">
        <v>90704.89</v>
      </c>
      <c r="J277" s="51" t="n">
        <v>151174.81</v>
      </c>
      <c r="K277" s="52" t="n">
        <v>151174.81</v>
      </c>
      <c r="L277" s="53" t="n">
        <v>46.8</v>
      </c>
      <c r="M277" s="54" t="n">
        <v>84.7</v>
      </c>
      <c r="N277" s="51" t="n">
        <v>1292.092401</v>
      </c>
      <c r="O277" s="55" t="n">
        <v>1.59</v>
      </c>
      <c r="P277" s="51" t="n">
        <v>-113174.81</v>
      </c>
      <c r="Q277" s="49" t="s">
        <v>2103</v>
      </c>
      <c r="R277" s="49" t="s">
        <v>2099</v>
      </c>
      <c r="S277" s="53" t="n">
        <v>1.5</v>
      </c>
      <c r="T277" s="51" t="n">
        <v>1</v>
      </c>
      <c r="U277" s="56" t="n">
        <f aca="false">I277*O277</f>
        <v>144220.7751</v>
      </c>
      <c r="V277" s="56" t="n">
        <f aca="false">J277*O277</f>
        <v>240367.9479</v>
      </c>
      <c r="W277" s="56" t="n">
        <f aca="false">((I277+J277)/2)*O277</f>
        <v>192294.3615</v>
      </c>
      <c r="X277" s="56" t="n">
        <f aca="false">H277*O277</f>
        <v>60420</v>
      </c>
    </row>
    <row r="278" customFormat="false" ht="22.35" hidden="false" customHeight="false" outlineLevel="0" collapsed="false">
      <c r="A278" s="48" t="s">
        <v>2061</v>
      </c>
      <c r="B278" s="7" t="s">
        <v>2557</v>
      </c>
      <c r="C278" s="7" t="s">
        <v>1983</v>
      </c>
      <c r="D278" s="7" t="s">
        <v>2095</v>
      </c>
      <c r="E278" s="61" t="s">
        <v>2113</v>
      </c>
      <c r="F278" s="7" t="s">
        <v>2097</v>
      </c>
      <c r="G278" s="7" t="s">
        <v>2097</v>
      </c>
      <c r="H278" s="9" t="n">
        <v>11000</v>
      </c>
      <c r="I278" s="9" t="n">
        <v>18927.93</v>
      </c>
      <c r="J278" s="9" t="n">
        <v>37855.86</v>
      </c>
      <c r="K278" s="52" t="n">
        <v>39906.88</v>
      </c>
      <c r="L278" s="58" t="n">
        <v>46.9</v>
      </c>
      <c r="M278" s="59" t="n">
        <v>90.2</v>
      </c>
      <c r="N278" s="9" t="n">
        <v>403.580658</v>
      </c>
      <c r="O278" s="8" t="n">
        <v>2.14</v>
      </c>
      <c r="P278" s="9" t="n">
        <v>-26855.86</v>
      </c>
      <c r="Q278" s="7" t="s">
        <v>2103</v>
      </c>
      <c r="R278" s="7" t="s">
        <v>2099</v>
      </c>
      <c r="S278" s="58" t="n">
        <v>1</v>
      </c>
      <c r="T278" s="9" t="n">
        <v>9976.72</v>
      </c>
      <c r="U278" s="56" t="n">
        <f aca="false">I278*O278</f>
        <v>40505.7702</v>
      </c>
      <c r="V278" s="56" t="n">
        <f aca="false">J278*O278</f>
        <v>81011.5404</v>
      </c>
      <c r="W278" s="56" t="n">
        <f aca="false">((I278+J278)/2)*O278</f>
        <v>60758.6553</v>
      </c>
      <c r="X278" s="56" t="n">
        <f aca="false">H278*O278</f>
        <v>23540</v>
      </c>
    </row>
    <row r="279" customFormat="false" ht="22.35" hidden="false" customHeight="false" outlineLevel="0" collapsed="false">
      <c r="A279" s="48" t="s">
        <v>2061</v>
      </c>
      <c r="B279" s="49" t="s">
        <v>2558</v>
      </c>
      <c r="C279" s="49" t="s">
        <v>2559</v>
      </c>
      <c r="D279" s="49" t="s">
        <v>2101</v>
      </c>
      <c r="E279" s="57" t="s">
        <v>2102</v>
      </c>
      <c r="F279" s="49" t="s">
        <v>2097</v>
      </c>
      <c r="G279" s="49" t="s">
        <v>2097</v>
      </c>
      <c r="H279" s="51" t="n">
        <v>786</v>
      </c>
      <c r="I279" s="51" t="n">
        <v>763.15</v>
      </c>
      <c r="J279" s="51" t="n">
        <v>2289.45</v>
      </c>
      <c r="K279" s="52" t="n">
        <v>3000</v>
      </c>
      <c r="L279" s="53" t="n">
        <v>58.3</v>
      </c>
      <c r="M279" s="54" t="n">
        <v>46.2</v>
      </c>
      <c r="N279" s="51" t="n">
        <v>26.180153</v>
      </c>
      <c r="O279" s="55" t="n">
        <v>8.45</v>
      </c>
      <c r="P279" s="51" t="n">
        <v>-1503.45</v>
      </c>
      <c r="Q279" s="49" t="s">
        <v>2103</v>
      </c>
      <c r="R279" s="49" t="s">
        <v>2099</v>
      </c>
      <c r="S279" s="53" t="n">
        <v>0.5</v>
      </c>
      <c r="T279" s="51" t="n">
        <v>1000</v>
      </c>
      <c r="U279" s="56" t="n">
        <f aca="false">I279*O279</f>
        <v>6448.6175</v>
      </c>
      <c r="V279" s="56" t="n">
        <f aca="false">J279*O279</f>
        <v>19345.8525</v>
      </c>
      <c r="W279" s="56" t="n">
        <f aca="false">((I279+J279)/2)*O279</f>
        <v>12897.235</v>
      </c>
      <c r="X279" s="56" t="n">
        <f aca="false">H279*O279</f>
        <v>6641.7</v>
      </c>
    </row>
    <row r="280" customFormat="false" ht="22.35" hidden="false" customHeight="false" outlineLevel="0" collapsed="false">
      <c r="A280" s="48" t="s">
        <v>2061</v>
      </c>
      <c r="B280" s="7" t="s">
        <v>2560</v>
      </c>
      <c r="C280" s="7" t="s">
        <v>1983</v>
      </c>
      <c r="D280" s="7" t="s">
        <v>2101</v>
      </c>
      <c r="E280" s="57" t="s">
        <v>2102</v>
      </c>
      <c r="F280" s="7" t="s">
        <v>2097</v>
      </c>
      <c r="G280" s="7" t="s">
        <v>2097</v>
      </c>
      <c r="H280" s="9" t="n">
        <v>587</v>
      </c>
      <c r="I280" s="9" t="n">
        <v>567.61</v>
      </c>
      <c r="J280" s="9" t="n">
        <v>1702.82</v>
      </c>
      <c r="K280" s="52" t="n">
        <v>1708.72</v>
      </c>
      <c r="L280" s="58" t="n">
        <v>38.9</v>
      </c>
      <c r="M280" s="59" t="n">
        <v>71.4</v>
      </c>
      <c r="N280" s="9" t="n">
        <v>29.182849</v>
      </c>
      <c r="O280" s="8" t="n">
        <v>1.89</v>
      </c>
      <c r="P280" s="9" t="n">
        <v>-1115.82</v>
      </c>
      <c r="Q280" s="7" t="s">
        <v>2103</v>
      </c>
      <c r="R280" s="7" t="s">
        <v>2099</v>
      </c>
      <c r="S280" s="58" t="n">
        <v>0.5</v>
      </c>
      <c r="T280" s="9" t="n">
        <v>55.12</v>
      </c>
      <c r="U280" s="56" t="n">
        <f aca="false">I280*O280</f>
        <v>1072.7829</v>
      </c>
      <c r="V280" s="56" t="n">
        <f aca="false">J280*O280</f>
        <v>3218.3298</v>
      </c>
      <c r="W280" s="56" t="n">
        <f aca="false">((I280+J280)/2)*O280</f>
        <v>2145.55635</v>
      </c>
      <c r="X280" s="56" t="n">
        <f aca="false">H280*O280</f>
        <v>1109.43</v>
      </c>
    </row>
    <row r="281" customFormat="false" ht="15" hidden="false" customHeight="false" outlineLevel="0" collapsed="false">
      <c r="A281" s="48" t="s">
        <v>2061</v>
      </c>
      <c r="B281" s="49" t="s">
        <v>2561</v>
      </c>
      <c r="C281" s="49" t="s">
        <v>2562</v>
      </c>
      <c r="D281" s="49" t="s">
        <v>2101</v>
      </c>
      <c r="E281" s="50" t="s">
        <v>2096</v>
      </c>
      <c r="F281" s="49" t="s">
        <v>2097</v>
      </c>
      <c r="G281" s="49" t="s">
        <v>2097</v>
      </c>
      <c r="H281" s="51" t="n">
        <v>100</v>
      </c>
      <c r="I281" s="51" t="n">
        <v>19.84</v>
      </c>
      <c r="J281" s="51" t="n">
        <v>59.52</v>
      </c>
      <c r="K281" s="52" t="n">
        <v>500</v>
      </c>
      <c r="L281" s="53" t="n">
        <v>16.5</v>
      </c>
      <c r="M281" s="54" t="n">
        <v>91.2</v>
      </c>
      <c r="N281" s="51" t="n">
        <v>2.404781</v>
      </c>
      <c r="O281" s="55" t="n">
        <v>1.96</v>
      </c>
      <c r="P281" s="51" t="n">
        <v>40.48</v>
      </c>
      <c r="Q281" s="49" t="s">
        <v>2098</v>
      </c>
      <c r="R281" s="49" t="s">
        <v>2099</v>
      </c>
      <c r="S281" s="53" t="n">
        <v>0.5</v>
      </c>
      <c r="T281" s="51" t="n">
        <v>500</v>
      </c>
      <c r="U281" s="56" t="n">
        <f aca="false">I281*O281</f>
        <v>38.8864</v>
      </c>
      <c r="V281" s="56" t="n">
        <f aca="false">J281*O281</f>
        <v>116.6592</v>
      </c>
      <c r="W281" s="56" t="n">
        <f aca="false">((I281+J281)/2)*O281</f>
        <v>77.7728</v>
      </c>
      <c r="X281" s="56" t="n">
        <f aca="false">H281*O281</f>
        <v>196</v>
      </c>
    </row>
    <row r="282" customFormat="false" ht="22.35" hidden="false" customHeight="false" outlineLevel="0" collapsed="false">
      <c r="A282" s="48" t="s">
        <v>2061</v>
      </c>
      <c r="B282" s="7" t="s">
        <v>2563</v>
      </c>
      <c r="C282" s="7" t="s">
        <v>2562</v>
      </c>
      <c r="D282" s="7" t="s">
        <v>2095</v>
      </c>
      <c r="E282" s="61" t="s">
        <v>2113</v>
      </c>
      <c r="F282" s="7" t="s">
        <v>2097</v>
      </c>
      <c r="G282" s="7" t="s">
        <v>2097</v>
      </c>
      <c r="H282" s="9" t="n">
        <v>4289</v>
      </c>
      <c r="I282" s="9" t="n">
        <v>5008.64</v>
      </c>
      <c r="J282" s="9" t="n">
        <v>10017.28</v>
      </c>
      <c r="K282" s="52" t="n">
        <v>10017.28</v>
      </c>
      <c r="L282" s="58" t="n">
        <v>34.4</v>
      </c>
      <c r="M282" s="59" t="n">
        <v>85.5</v>
      </c>
      <c r="N282" s="9" t="n">
        <v>145.600041</v>
      </c>
      <c r="O282" s="8" t="n">
        <v>1.985</v>
      </c>
      <c r="P282" s="9" t="n">
        <v>-5728.28</v>
      </c>
      <c r="Q282" s="7" t="s">
        <v>2103</v>
      </c>
      <c r="R282" s="7" t="s">
        <v>2099</v>
      </c>
      <c r="S282" s="58" t="n">
        <v>1</v>
      </c>
      <c r="T282" s="9" t="n">
        <v>0</v>
      </c>
      <c r="U282" s="56" t="n">
        <f aca="false">I282*O282</f>
        <v>9942.1504</v>
      </c>
      <c r="V282" s="56" t="n">
        <f aca="false">J282*O282</f>
        <v>19884.3008</v>
      </c>
      <c r="W282" s="56" t="n">
        <f aca="false">((I282+J282)/2)*O282</f>
        <v>14913.2256</v>
      </c>
      <c r="X282" s="56" t="n">
        <f aca="false">H282*O282</f>
        <v>8513.665</v>
      </c>
    </row>
    <row r="283" customFormat="false" ht="22.35" hidden="false" customHeight="false" outlineLevel="0" collapsed="false">
      <c r="A283" s="48" t="s">
        <v>2061</v>
      </c>
      <c r="B283" s="49" t="s">
        <v>2564</v>
      </c>
      <c r="C283" s="49" t="s">
        <v>1703</v>
      </c>
      <c r="D283" s="49" t="s">
        <v>2101</v>
      </c>
      <c r="E283" s="57" t="s">
        <v>2102</v>
      </c>
      <c r="F283" s="49" t="s">
        <v>2097</v>
      </c>
      <c r="G283" s="49" t="s">
        <v>2097</v>
      </c>
      <c r="H283" s="51" t="n">
        <v>107</v>
      </c>
      <c r="I283" s="51" t="n">
        <v>90.8</v>
      </c>
      <c r="J283" s="51" t="n">
        <v>272.39</v>
      </c>
      <c r="K283" s="52" t="n">
        <v>330</v>
      </c>
      <c r="L283" s="53" t="n">
        <v>43.2</v>
      </c>
      <c r="M283" s="54" t="n">
        <v>72.2</v>
      </c>
      <c r="N283" s="51" t="n">
        <v>4.203479</v>
      </c>
      <c r="O283" s="55" t="n">
        <v>11.01</v>
      </c>
      <c r="P283" s="51" t="n">
        <v>-165.39</v>
      </c>
      <c r="Q283" s="49" t="s">
        <v>2103</v>
      </c>
      <c r="R283" s="49" t="s">
        <v>2099</v>
      </c>
      <c r="S283" s="53" t="n">
        <v>0.5</v>
      </c>
      <c r="T283" s="51" t="n">
        <v>330</v>
      </c>
      <c r="U283" s="56" t="n">
        <f aca="false">I283*O283</f>
        <v>999.708</v>
      </c>
      <c r="V283" s="56" t="n">
        <f aca="false">J283*O283</f>
        <v>2999.0139</v>
      </c>
      <c r="W283" s="56" t="n">
        <f aca="false">((I283+J283)/2)*O283</f>
        <v>1999.36095</v>
      </c>
      <c r="X283" s="56" t="n">
        <f aca="false">H283*O283</f>
        <v>1178.07</v>
      </c>
    </row>
    <row r="284" customFormat="false" ht="22.35" hidden="false" customHeight="false" outlineLevel="0" collapsed="false">
      <c r="A284" s="48" t="s">
        <v>2061</v>
      </c>
      <c r="B284" s="7" t="s">
        <v>2565</v>
      </c>
      <c r="C284" s="7" t="s">
        <v>2566</v>
      </c>
      <c r="D284" s="7" t="s">
        <v>2095</v>
      </c>
      <c r="E284" s="61" t="s">
        <v>2113</v>
      </c>
      <c r="F284" s="7" t="s">
        <v>2097</v>
      </c>
      <c r="G284" s="7" t="s">
        <v>2097</v>
      </c>
      <c r="H284" s="9" t="n">
        <v>5668</v>
      </c>
      <c r="I284" s="9" t="n">
        <v>6000</v>
      </c>
      <c r="J284" s="9" t="n">
        <v>13616.91</v>
      </c>
      <c r="K284" s="52" t="n">
        <v>19200</v>
      </c>
      <c r="L284" s="58" t="n">
        <v>36.2</v>
      </c>
      <c r="M284" s="59" t="n">
        <v>74.6</v>
      </c>
      <c r="N284" s="9" t="n">
        <v>210.411836</v>
      </c>
      <c r="O284" s="8" t="n">
        <v>6.77</v>
      </c>
      <c r="P284" s="9" t="n">
        <v>-7948.91</v>
      </c>
      <c r="Q284" s="7" t="s">
        <v>2103</v>
      </c>
      <c r="R284" s="7" t="s">
        <v>2567</v>
      </c>
      <c r="S284" s="58" t="n">
        <v>1</v>
      </c>
      <c r="T284" s="9" t="n">
        <v>6400</v>
      </c>
      <c r="U284" s="56" t="n">
        <f aca="false">I284*O284</f>
        <v>40620</v>
      </c>
      <c r="V284" s="56" t="n">
        <f aca="false">J284*O284</f>
        <v>92186.4807</v>
      </c>
      <c r="W284" s="56" t="n">
        <f aca="false">((I284+J284)/2)*O284</f>
        <v>66403.24035</v>
      </c>
      <c r="X284" s="56" t="n">
        <f aca="false">H284*O284</f>
        <v>38372.36</v>
      </c>
    </row>
    <row r="285" customFormat="false" ht="22.35" hidden="false" customHeight="false" outlineLevel="0" collapsed="false">
      <c r="A285" s="76" t="s">
        <v>2063</v>
      </c>
      <c r="B285" s="49" t="s">
        <v>2568</v>
      </c>
      <c r="C285" s="49" t="s">
        <v>2569</v>
      </c>
      <c r="D285" s="49" t="s">
        <v>2570</v>
      </c>
      <c r="E285" s="77" t="s">
        <v>2571</v>
      </c>
      <c r="F285" s="49" t="s">
        <v>2097</v>
      </c>
      <c r="G285" s="49" t="s">
        <v>2097</v>
      </c>
      <c r="H285" s="51" t="n">
        <v>376</v>
      </c>
      <c r="I285" s="51" t="n">
        <v>0</v>
      </c>
      <c r="J285" s="51" t="n">
        <v>0</v>
      </c>
      <c r="K285" s="52" t="n">
        <v>0</v>
      </c>
      <c r="L285" s="53" t="n">
        <v>26.1</v>
      </c>
      <c r="M285" s="54"/>
      <c r="N285" s="51" t="n">
        <v>1.683562</v>
      </c>
      <c r="O285" s="55" t="n">
        <v>0</v>
      </c>
      <c r="P285" s="51" t="n">
        <v>376</v>
      </c>
      <c r="Q285" s="49" t="s">
        <v>2098</v>
      </c>
      <c r="R285" s="49" t="s">
        <v>2572</v>
      </c>
      <c r="S285" s="53" t="n">
        <v>0</v>
      </c>
      <c r="T285" s="51" t="n">
        <v>36</v>
      </c>
      <c r="U285" s="56" t="n">
        <f aca="false">I285*O285</f>
        <v>0</v>
      </c>
      <c r="V285" s="56" t="n">
        <f aca="false">J285*O285</f>
        <v>0</v>
      </c>
      <c r="W285" s="56" t="n">
        <f aca="false">((I285+J285)/2)*O285</f>
        <v>0</v>
      </c>
      <c r="X285" s="56" t="n">
        <f aca="false">H285*O285</f>
        <v>0</v>
      </c>
    </row>
    <row r="286" customFormat="false" ht="22.35" hidden="false" customHeight="false" outlineLevel="0" collapsed="false">
      <c r="A286" s="76" t="s">
        <v>2063</v>
      </c>
      <c r="B286" s="7" t="s">
        <v>2573</v>
      </c>
      <c r="C286" s="7" t="s">
        <v>2569</v>
      </c>
      <c r="D286" s="7" t="s">
        <v>2570</v>
      </c>
      <c r="E286" s="77" t="s">
        <v>2571</v>
      </c>
      <c r="F286" s="7" t="s">
        <v>2097</v>
      </c>
      <c r="G286" s="7" t="s">
        <v>2097</v>
      </c>
      <c r="H286" s="9" t="n">
        <v>48</v>
      </c>
      <c r="I286" s="9" t="n">
        <v>0</v>
      </c>
      <c r="J286" s="9" t="n">
        <v>0</v>
      </c>
      <c r="K286" s="52" t="n">
        <v>0</v>
      </c>
      <c r="L286" s="58" t="n">
        <v>26.1</v>
      </c>
      <c r="M286" s="59"/>
      <c r="N286" s="9" t="n">
        <v>0.339726</v>
      </c>
      <c r="O286" s="8" t="n">
        <v>0</v>
      </c>
      <c r="P286" s="9" t="n">
        <v>48</v>
      </c>
      <c r="Q286" s="7" t="s">
        <v>2098</v>
      </c>
      <c r="R286" s="7" t="s">
        <v>2572</v>
      </c>
      <c r="S286" s="58" t="n">
        <v>0</v>
      </c>
      <c r="T286" s="9" t="n">
        <v>8</v>
      </c>
      <c r="U286" s="56" t="n">
        <f aca="false">I286*O286</f>
        <v>0</v>
      </c>
      <c r="V286" s="56" t="n">
        <f aca="false">J286*O286</f>
        <v>0</v>
      </c>
      <c r="W286" s="56" t="n">
        <f aca="false">((I286+J286)/2)*O286</f>
        <v>0</v>
      </c>
      <c r="X286" s="56" t="n">
        <f aca="false">H286*O286</f>
        <v>0</v>
      </c>
    </row>
    <row r="287" customFormat="false" ht="22.35" hidden="false" customHeight="false" outlineLevel="0" collapsed="false">
      <c r="A287" s="76" t="s">
        <v>2063</v>
      </c>
      <c r="B287" s="49" t="s">
        <v>2574</v>
      </c>
      <c r="C287" s="49" t="s">
        <v>2575</v>
      </c>
      <c r="D287" s="49" t="s">
        <v>2570</v>
      </c>
      <c r="E287" s="77" t="s">
        <v>2571</v>
      </c>
      <c r="F287" s="49" t="s">
        <v>2097</v>
      </c>
      <c r="G287" s="49" t="s">
        <v>2097</v>
      </c>
      <c r="H287" s="51" t="n">
        <v>32</v>
      </c>
      <c r="I287" s="51" t="n">
        <v>0</v>
      </c>
      <c r="J287" s="51" t="n">
        <v>0</v>
      </c>
      <c r="K287" s="52" t="n">
        <v>0</v>
      </c>
      <c r="L287" s="53" t="n">
        <v>58.3</v>
      </c>
      <c r="M287" s="54" t="n">
        <v>100</v>
      </c>
      <c r="N287" s="51" t="n">
        <v>0.435616</v>
      </c>
      <c r="O287" s="55" t="n">
        <v>0</v>
      </c>
      <c r="P287" s="51" t="n">
        <v>32</v>
      </c>
      <c r="Q287" s="49" t="s">
        <v>2098</v>
      </c>
      <c r="R287" s="49" t="s">
        <v>2572</v>
      </c>
      <c r="S287" s="53" t="n">
        <v>0</v>
      </c>
      <c r="T287" s="51" t="n">
        <v>8</v>
      </c>
      <c r="U287" s="56" t="n">
        <f aca="false">I287*O287</f>
        <v>0</v>
      </c>
      <c r="V287" s="56" t="n">
        <f aca="false">J287*O287</f>
        <v>0</v>
      </c>
      <c r="W287" s="56" t="n">
        <f aca="false">((I287+J287)/2)*O287</f>
        <v>0</v>
      </c>
      <c r="X287" s="56" t="n">
        <f aca="false">H287*O287</f>
        <v>0</v>
      </c>
    </row>
    <row r="288" customFormat="false" ht="22.35" hidden="false" customHeight="false" outlineLevel="0" collapsed="false">
      <c r="A288" s="76" t="s">
        <v>2063</v>
      </c>
      <c r="B288" s="7" t="s">
        <v>2576</v>
      </c>
      <c r="C288" s="7" t="s">
        <v>2575</v>
      </c>
      <c r="D288" s="7" t="s">
        <v>2570</v>
      </c>
      <c r="E288" s="77" t="s">
        <v>2571</v>
      </c>
      <c r="F288" s="7" t="s">
        <v>2097</v>
      </c>
      <c r="G288" s="7" t="s">
        <v>2097</v>
      </c>
      <c r="H288" s="9" t="n">
        <v>132</v>
      </c>
      <c r="I288" s="9" t="n">
        <v>0</v>
      </c>
      <c r="J288" s="9" t="n">
        <v>0</v>
      </c>
      <c r="K288" s="52" t="n">
        <v>0</v>
      </c>
      <c r="L288" s="58" t="n">
        <v>39.7</v>
      </c>
      <c r="M288" s="59" t="n">
        <v>97.9</v>
      </c>
      <c r="N288" s="9" t="n">
        <v>1.09863</v>
      </c>
      <c r="O288" s="8" t="n">
        <v>0</v>
      </c>
      <c r="P288" s="9" t="n">
        <v>132</v>
      </c>
      <c r="Q288" s="7" t="s">
        <v>2098</v>
      </c>
      <c r="R288" s="7" t="s">
        <v>2572</v>
      </c>
      <c r="S288" s="58" t="n">
        <v>0</v>
      </c>
      <c r="T288" s="9" t="n">
        <v>36</v>
      </c>
      <c r="U288" s="56" t="n">
        <f aca="false">I288*O288</f>
        <v>0</v>
      </c>
      <c r="V288" s="56" t="n">
        <f aca="false">J288*O288</f>
        <v>0</v>
      </c>
      <c r="W288" s="56" t="n">
        <f aca="false">((I288+J288)/2)*O288</f>
        <v>0</v>
      </c>
      <c r="X288" s="56" t="n">
        <f aca="false">H288*O288</f>
        <v>0</v>
      </c>
    </row>
    <row r="289" customFormat="false" ht="22.35" hidden="false" customHeight="false" outlineLevel="0" collapsed="false">
      <c r="A289" s="76" t="s">
        <v>2063</v>
      </c>
      <c r="B289" s="49" t="s">
        <v>2577</v>
      </c>
      <c r="C289" s="49" t="s">
        <v>2578</v>
      </c>
      <c r="D289" s="49" t="s">
        <v>2570</v>
      </c>
      <c r="E289" s="77" t="s">
        <v>2571</v>
      </c>
      <c r="F289" s="49" t="s">
        <v>2097</v>
      </c>
      <c r="G289" s="49" t="s">
        <v>2097</v>
      </c>
      <c r="H289" s="51" t="n">
        <v>24</v>
      </c>
      <c r="I289" s="51" t="n">
        <v>0</v>
      </c>
      <c r="J289" s="51" t="n">
        <v>0</v>
      </c>
      <c r="K289" s="52" t="n">
        <v>0</v>
      </c>
      <c r="L289" s="53" t="n">
        <v>26.1</v>
      </c>
      <c r="M289" s="54"/>
      <c r="N289" s="51" t="n">
        <v>0.432877</v>
      </c>
      <c r="O289" s="55" t="n">
        <v>0</v>
      </c>
      <c r="P289" s="51" t="n">
        <v>24</v>
      </c>
      <c r="Q289" s="49" t="s">
        <v>2098</v>
      </c>
      <c r="R289" s="49" t="s">
        <v>2572</v>
      </c>
      <c r="S289" s="53" t="n">
        <v>0</v>
      </c>
      <c r="T289" s="51" t="n">
        <v>8</v>
      </c>
      <c r="U289" s="56" t="n">
        <f aca="false">I289*O289</f>
        <v>0</v>
      </c>
      <c r="V289" s="56" t="n">
        <f aca="false">J289*O289</f>
        <v>0</v>
      </c>
      <c r="W289" s="56" t="n">
        <f aca="false">((I289+J289)/2)*O289</f>
        <v>0</v>
      </c>
      <c r="X289" s="56" t="n">
        <f aca="false">H289*O289</f>
        <v>0</v>
      </c>
    </row>
    <row r="290" customFormat="false" ht="22.35" hidden="false" customHeight="false" outlineLevel="0" collapsed="false">
      <c r="A290" s="76" t="s">
        <v>2063</v>
      </c>
      <c r="B290" s="7" t="s">
        <v>2579</v>
      </c>
      <c r="C290" s="7" t="s">
        <v>2578</v>
      </c>
      <c r="D290" s="7" t="s">
        <v>2570</v>
      </c>
      <c r="E290" s="77" t="s">
        <v>2571</v>
      </c>
      <c r="F290" s="7" t="s">
        <v>2097</v>
      </c>
      <c r="G290" s="7" t="s">
        <v>2097</v>
      </c>
      <c r="H290" s="9" t="n">
        <v>16</v>
      </c>
      <c r="I290" s="9" t="n">
        <v>0</v>
      </c>
      <c r="J290" s="9" t="n">
        <v>0</v>
      </c>
      <c r="K290" s="52" t="n">
        <v>0</v>
      </c>
      <c r="L290" s="58" t="n">
        <v>26.1</v>
      </c>
      <c r="M290" s="59"/>
      <c r="N290" s="9" t="n">
        <v>0.150685</v>
      </c>
      <c r="O290" s="8" t="n">
        <v>0</v>
      </c>
      <c r="P290" s="9" t="n">
        <v>16</v>
      </c>
      <c r="Q290" s="7" t="s">
        <v>2098</v>
      </c>
      <c r="R290" s="7" t="s">
        <v>2572</v>
      </c>
      <c r="S290" s="58" t="n">
        <v>0</v>
      </c>
      <c r="T290" s="9" t="n">
        <v>4</v>
      </c>
      <c r="U290" s="56" t="n">
        <f aca="false">I290*O290</f>
        <v>0</v>
      </c>
      <c r="V290" s="56" t="n">
        <f aca="false">J290*O290</f>
        <v>0</v>
      </c>
      <c r="W290" s="56" t="n">
        <f aca="false">((I290+J290)/2)*O290</f>
        <v>0</v>
      </c>
      <c r="X290" s="56" t="n">
        <f aca="false">H290*O290</f>
        <v>0</v>
      </c>
    </row>
    <row r="291" customFormat="false" ht="22.35" hidden="false" customHeight="false" outlineLevel="0" collapsed="false">
      <c r="A291" s="76" t="s">
        <v>2063</v>
      </c>
      <c r="B291" s="49" t="s">
        <v>2580</v>
      </c>
      <c r="C291" s="49" t="s">
        <v>2581</v>
      </c>
      <c r="D291" s="49" t="s">
        <v>2570</v>
      </c>
      <c r="E291" s="77" t="s">
        <v>2571</v>
      </c>
      <c r="F291" s="49" t="s">
        <v>2097</v>
      </c>
      <c r="G291" s="49" t="s">
        <v>2097</v>
      </c>
      <c r="H291" s="51" t="n">
        <v>24</v>
      </c>
      <c r="I291" s="51" t="n">
        <v>0</v>
      </c>
      <c r="J291" s="51" t="n">
        <v>0</v>
      </c>
      <c r="K291" s="52" t="n">
        <v>0</v>
      </c>
      <c r="L291" s="53" t="n">
        <v>26.1</v>
      </c>
      <c r="M291" s="54"/>
      <c r="N291" s="51" t="n">
        <v>0.435616</v>
      </c>
      <c r="O291" s="55" t="n">
        <v>0</v>
      </c>
      <c r="P291" s="51" t="n">
        <v>24</v>
      </c>
      <c r="Q291" s="49" t="s">
        <v>2098</v>
      </c>
      <c r="R291" s="49" t="s">
        <v>2572</v>
      </c>
      <c r="S291" s="53" t="n">
        <v>0</v>
      </c>
      <c r="T291" s="51" t="n">
        <v>8</v>
      </c>
      <c r="U291" s="56" t="n">
        <f aca="false">I291*O291</f>
        <v>0</v>
      </c>
      <c r="V291" s="56" t="n">
        <f aca="false">J291*O291</f>
        <v>0</v>
      </c>
      <c r="W291" s="56" t="n">
        <f aca="false">((I291+J291)/2)*O291</f>
        <v>0</v>
      </c>
      <c r="X291" s="56" t="n">
        <f aca="false">H291*O291</f>
        <v>0</v>
      </c>
    </row>
    <row r="292" customFormat="false" ht="22.35" hidden="false" customHeight="false" outlineLevel="0" collapsed="false">
      <c r="A292" s="76" t="s">
        <v>2063</v>
      </c>
      <c r="B292" s="7" t="s">
        <v>2582</v>
      </c>
      <c r="C292" s="7" t="s">
        <v>2581</v>
      </c>
      <c r="D292" s="7" t="s">
        <v>2570</v>
      </c>
      <c r="E292" s="77" t="s">
        <v>2571</v>
      </c>
      <c r="F292" s="7" t="s">
        <v>2097</v>
      </c>
      <c r="G292" s="7" t="s">
        <v>2097</v>
      </c>
      <c r="H292" s="9" t="n">
        <v>8</v>
      </c>
      <c r="I292" s="9" t="n">
        <v>0</v>
      </c>
      <c r="J292" s="9" t="n">
        <v>0</v>
      </c>
      <c r="K292" s="52" t="n">
        <v>0</v>
      </c>
      <c r="L292" s="58" t="n">
        <v>26.1</v>
      </c>
      <c r="M292" s="59"/>
      <c r="N292" s="9" t="n">
        <v>0.150685</v>
      </c>
      <c r="O292" s="8" t="n">
        <v>0</v>
      </c>
      <c r="P292" s="9" t="n">
        <v>8</v>
      </c>
      <c r="Q292" s="7" t="s">
        <v>2098</v>
      </c>
      <c r="R292" s="7" t="s">
        <v>2572</v>
      </c>
      <c r="S292" s="58" t="n">
        <v>0</v>
      </c>
      <c r="T292" s="9" t="n">
        <v>4</v>
      </c>
      <c r="U292" s="56" t="n">
        <f aca="false">I292*O292</f>
        <v>0</v>
      </c>
      <c r="V292" s="56" t="n">
        <f aca="false">J292*O292</f>
        <v>0</v>
      </c>
      <c r="W292" s="56" t="n">
        <f aca="false">((I292+J292)/2)*O292</f>
        <v>0</v>
      </c>
      <c r="X292" s="56" t="n">
        <f aca="false">H292*O292</f>
        <v>0</v>
      </c>
    </row>
    <row r="293" customFormat="false" ht="22.35" hidden="false" customHeight="false" outlineLevel="0" collapsed="false">
      <c r="A293" s="76" t="s">
        <v>2063</v>
      </c>
      <c r="B293" s="49" t="s">
        <v>2583</v>
      </c>
      <c r="C293" s="49" t="s">
        <v>2584</v>
      </c>
      <c r="D293" s="49" t="s">
        <v>2570</v>
      </c>
      <c r="E293" s="77" t="s">
        <v>2571</v>
      </c>
      <c r="F293" s="49" t="s">
        <v>2097</v>
      </c>
      <c r="G293" s="49" t="s">
        <v>2097</v>
      </c>
      <c r="H293" s="51" t="n">
        <v>8</v>
      </c>
      <c r="I293" s="51" t="n">
        <v>0</v>
      </c>
      <c r="J293" s="51" t="n">
        <v>0</v>
      </c>
      <c r="K293" s="52" t="n">
        <v>0</v>
      </c>
      <c r="L293" s="53" t="n">
        <v>26.1</v>
      </c>
      <c r="M293" s="54"/>
      <c r="N293" s="51" t="n">
        <v>0.121918</v>
      </c>
      <c r="O293" s="55" t="n">
        <v>0</v>
      </c>
      <c r="P293" s="51" t="n">
        <v>8</v>
      </c>
      <c r="Q293" s="49" t="s">
        <v>2098</v>
      </c>
      <c r="R293" s="49" t="s">
        <v>2572</v>
      </c>
      <c r="S293" s="53" t="n">
        <v>0</v>
      </c>
      <c r="T293" s="51" t="n">
        <v>4</v>
      </c>
      <c r="U293" s="56" t="n">
        <f aca="false">I293*O293</f>
        <v>0</v>
      </c>
      <c r="V293" s="56" t="n">
        <f aca="false">J293*O293</f>
        <v>0</v>
      </c>
      <c r="W293" s="56" t="n">
        <f aca="false">((I293+J293)/2)*O293</f>
        <v>0</v>
      </c>
      <c r="X293" s="56" t="n">
        <f aca="false">H293*O293</f>
        <v>0</v>
      </c>
    </row>
    <row r="294" customFormat="false" ht="22.35" hidden="false" customHeight="false" outlineLevel="0" collapsed="false">
      <c r="A294" s="76" t="s">
        <v>2063</v>
      </c>
      <c r="B294" s="7" t="s">
        <v>2585</v>
      </c>
      <c r="C294" s="7" t="s">
        <v>2584</v>
      </c>
      <c r="D294" s="7" t="s">
        <v>2570</v>
      </c>
      <c r="E294" s="77" t="s">
        <v>2571</v>
      </c>
      <c r="F294" s="7" t="s">
        <v>2097</v>
      </c>
      <c r="G294" s="7" t="s">
        <v>2097</v>
      </c>
      <c r="H294" s="9" t="n">
        <v>2</v>
      </c>
      <c r="I294" s="9" t="n">
        <v>0</v>
      </c>
      <c r="J294" s="9" t="n">
        <v>0</v>
      </c>
      <c r="K294" s="52" t="n">
        <v>0</v>
      </c>
      <c r="L294" s="58" t="n">
        <v>26.1</v>
      </c>
      <c r="M294" s="59"/>
      <c r="N294" s="9" t="n">
        <v>0.034247</v>
      </c>
      <c r="O294" s="8" t="n">
        <v>0</v>
      </c>
      <c r="P294" s="9" t="n">
        <v>2</v>
      </c>
      <c r="Q294" s="7" t="s">
        <v>2098</v>
      </c>
      <c r="R294" s="7" t="s">
        <v>2572</v>
      </c>
      <c r="S294" s="58" t="n">
        <v>0</v>
      </c>
      <c r="T294" s="9" t="n">
        <v>2</v>
      </c>
      <c r="U294" s="56" t="n">
        <f aca="false">I294*O294</f>
        <v>0</v>
      </c>
      <c r="V294" s="56" t="n">
        <f aca="false">J294*O294</f>
        <v>0</v>
      </c>
      <c r="W294" s="56" t="n">
        <f aca="false">((I294+J294)/2)*O294</f>
        <v>0</v>
      </c>
      <c r="X294" s="56" t="n">
        <f aca="false">H294*O294</f>
        <v>0</v>
      </c>
    </row>
    <row r="295" customFormat="false" ht="22.35" hidden="false" customHeight="false" outlineLevel="0" collapsed="false">
      <c r="A295" s="76" t="s">
        <v>2063</v>
      </c>
      <c r="B295" s="49" t="s">
        <v>2586</v>
      </c>
      <c r="C295" s="49" t="s">
        <v>2587</v>
      </c>
      <c r="D295" s="49" t="s">
        <v>2570</v>
      </c>
      <c r="E295" s="77" t="s">
        <v>2571</v>
      </c>
      <c r="F295" s="49" t="s">
        <v>2097</v>
      </c>
      <c r="G295" s="49" t="s">
        <v>2097</v>
      </c>
      <c r="H295" s="51" t="n">
        <v>16</v>
      </c>
      <c r="I295" s="51" t="n">
        <v>0</v>
      </c>
      <c r="J295" s="51" t="n">
        <v>0</v>
      </c>
      <c r="K295" s="52" t="n">
        <v>0</v>
      </c>
      <c r="L295" s="53" t="n">
        <v>26.1</v>
      </c>
      <c r="M295" s="54"/>
      <c r="N295" s="51" t="n">
        <v>0.180822</v>
      </c>
      <c r="O295" s="55" t="n">
        <v>0</v>
      </c>
      <c r="P295" s="51" t="n">
        <v>16</v>
      </c>
      <c r="Q295" s="49" t="s">
        <v>2098</v>
      </c>
      <c r="R295" s="49" t="s">
        <v>2572</v>
      </c>
      <c r="S295" s="53" t="n">
        <v>0</v>
      </c>
      <c r="T295" s="51" t="n">
        <v>3</v>
      </c>
      <c r="U295" s="56" t="n">
        <f aca="false">I295*O295</f>
        <v>0</v>
      </c>
      <c r="V295" s="56" t="n">
        <f aca="false">J295*O295</f>
        <v>0</v>
      </c>
      <c r="W295" s="56" t="n">
        <f aca="false">((I295+J295)/2)*O295</f>
        <v>0</v>
      </c>
      <c r="X295" s="56" t="n">
        <f aca="false">H295*O295</f>
        <v>0</v>
      </c>
    </row>
    <row r="296" customFormat="false" ht="22.35" hidden="false" customHeight="false" outlineLevel="0" collapsed="false">
      <c r="A296" s="76" t="s">
        <v>2063</v>
      </c>
      <c r="B296" s="7" t="s">
        <v>2588</v>
      </c>
      <c r="C296" s="7" t="s">
        <v>2587</v>
      </c>
      <c r="D296" s="7" t="s">
        <v>2570</v>
      </c>
      <c r="E296" s="77" t="s">
        <v>2571</v>
      </c>
      <c r="F296" s="7" t="s">
        <v>2097</v>
      </c>
      <c r="G296" s="7" t="s">
        <v>2097</v>
      </c>
      <c r="H296" s="9" t="n">
        <v>6</v>
      </c>
      <c r="I296" s="9" t="n">
        <v>0</v>
      </c>
      <c r="J296" s="9" t="n">
        <v>0</v>
      </c>
      <c r="K296" s="52" t="n">
        <v>0</v>
      </c>
      <c r="L296" s="58" t="n">
        <v>26.1</v>
      </c>
      <c r="M296" s="59"/>
      <c r="N296" s="9" t="n">
        <v>0.045205</v>
      </c>
      <c r="O296" s="8" t="n">
        <v>0</v>
      </c>
      <c r="P296" s="9" t="n">
        <v>6</v>
      </c>
      <c r="Q296" s="7" t="s">
        <v>2098</v>
      </c>
      <c r="R296" s="7" t="s">
        <v>2572</v>
      </c>
      <c r="S296" s="58" t="n">
        <v>0</v>
      </c>
      <c r="T296" s="9" t="n">
        <v>3</v>
      </c>
      <c r="U296" s="56" t="n">
        <f aca="false">I296*O296</f>
        <v>0</v>
      </c>
      <c r="V296" s="56" t="n">
        <f aca="false">J296*O296</f>
        <v>0</v>
      </c>
      <c r="W296" s="56" t="n">
        <f aca="false">((I296+J296)/2)*O296</f>
        <v>0</v>
      </c>
      <c r="X296" s="56" t="n">
        <f aca="false">H296*O296</f>
        <v>0</v>
      </c>
    </row>
    <row r="297" customFormat="false" ht="22.35" hidden="false" customHeight="false" outlineLevel="0" collapsed="false">
      <c r="A297" s="76" t="s">
        <v>2063</v>
      </c>
      <c r="B297" s="49" t="s">
        <v>2589</v>
      </c>
      <c r="C297" s="49" t="s">
        <v>2590</v>
      </c>
      <c r="D297" s="49" t="s">
        <v>2570</v>
      </c>
      <c r="E297" s="77" t="s">
        <v>2571</v>
      </c>
      <c r="F297" s="49" t="s">
        <v>2097</v>
      </c>
      <c r="G297" s="49" t="s">
        <v>2097</v>
      </c>
      <c r="H297" s="51" t="n">
        <v>8</v>
      </c>
      <c r="I297" s="51" t="n">
        <v>0</v>
      </c>
      <c r="J297" s="51" t="n">
        <v>0</v>
      </c>
      <c r="K297" s="52" t="n">
        <v>0</v>
      </c>
      <c r="L297" s="53" t="n">
        <v>26.1</v>
      </c>
      <c r="M297" s="54"/>
      <c r="N297" s="51" t="n">
        <v>0.083562</v>
      </c>
      <c r="O297" s="55" t="n">
        <v>0</v>
      </c>
      <c r="P297" s="51" t="n">
        <v>8</v>
      </c>
      <c r="Q297" s="49" t="s">
        <v>2098</v>
      </c>
      <c r="R297" s="49" t="s">
        <v>2572</v>
      </c>
      <c r="S297" s="53" t="n">
        <v>0</v>
      </c>
      <c r="T297" s="51" t="n">
        <v>1</v>
      </c>
      <c r="U297" s="56" t="n">
        <f aca="false">I297*O297</f>
        <v>0</v>
      </c>
      <c r="V297" s="56" t="n">
        <f aca="false">J297*O297</f>
        <v>0</v>
      </c>
      <c r="W297" s="56" t="n">
        <f aca="false">((I297+J297)/2)*O297</f>
        <v>0</v>
      </c>
      <c r="X297" s="56" t="n">
        <f aca="false">H297*O297</f>
        <v>0</v>
      </c>
    </row>
    <row r="298" customFormat="false" ht="22.35" hidden="false" customHeight="false" outlineLevel="0" collapsed="false">
      <c r="A298" s="76" t="s">
        <v>2063</v>
      </c>
      <c r="B298" s="7" t="s">
        <v>2591</v>
      </c>
      <c r="C298" s="7" t="s">
        <v>2590</v>
      </c>
      <c r="D298" s="7" t="s">
        <v>2570</v>
      </c>
      <c r="E298" s="77" t="s">
        <v>2571</v>
      </c>
      <c r="F298" s="7" t="s">
        <v>2097</v>
      </c>
      <c r="G298" s="7" t="s">
        <v>2097</v>
      </c>
      <c r="H298" s="9" t="n">
        <v>8</v>
      </c>
      <c r="I298" s="9" t="n">
        <v>0</v>
      </c>
      <c r="J298" s="9" t="n">
        <v>0</v>
      </c>
      <c r="K298" s="52" t="n">
        <v>0</v>
      </c>
      <c r="L298" s="58" t="n">
        <v>26.1</v>
      </c>
      <c r="M298" s="59"/>
      <c r="N298" s="9" t="n">
        <v>0.141096</v>
      </c>
      <c r="O298" s="8" t="n">
        <v>0</v>
      </c>
      <c r="P298" s="9" t="n">
        <v>8</v>
      </c>
      <c r="Q298" s="7" t="s">
        <v>2098</v>
      </c>
      <c r="R298" s="7" t="s">
        <v>2572</v>
      </c>
      <c r="S298" s="58" t="n">
        <v>0</v>
      </c>
      <c r="T298" s="9" t="n">
        <v>1</v>
      </c>
      <c r="U298" s="56" t="n">
        <f aca="false">I298*O298</f>
        <v>0</v>
      </c>
      <c r="V298" s="56" t="n">
        <f aca="false">J298*O298</f>
        <v>0</v>
      </c>
      <c r="W298" s="56" t="n">
        <f aca="false">((I298+J298)/2)*O298</f>
        <v>0</v>
      </c>
      <c r="X298" s="56" t="n">
        <f aca="false">H298*O298</f>
        <v>0</v>
      </c>
    </row>
    <row r="299" customFormat="false" ht="22.35" hidden="false" customHeight="false" outlineLevel="0" collapsed="false">
      <c r="A299" s="76" t="s">
        <v>2063</v>
      </c>
      <c r="B299" s="49" t="s">
        <v>2592</v>
      </c>
      <c r="C299" s="49" t="s">
        <v>2590</v>
      </c>
      <c r="D299" s="49" t="s">
        <v>2570</v>
      </c>
      <c r="E299" s="77" t="s">
        <v>2571</v>
      </c>
      <c r="F299" s="49" t="s">
        <v>2097</v>
      </c>
      <c r="G299" s="49" t="s">
        <v>2097</v>
      </c>
      <c r="H299" s="51" t="n">
        <v>4</v>
      </c>
      <c r="I299" s="51" t="n">
        <v>0</v>
      </c>
      <c r="J299" s="51" t="n">
        <v>0</v>
      </c>
      <c r="K299" s="52" t="n">
        <v>0</v>
      </c>
      <c r="L299" s="53" t="n">
        <v>26.1</v>
      </c>
      <c r="M299" s="54"/>
      <c r="N299" s="51" t="n">
        <v>0.039726</v>
      </c>
      <c r="O299" s="55" t="n">
        <v>0</v>
      </c>
      <c r="P299" s="51" t="n">
        <v>4</v>
      </c>
      <c r="Q299" s="49" t="s">
        <v>2098</v>
      </c>
      <c r="R299" s="49" t="s">
        <v>2572</v>
      </c>
      <c r="S299" s="53" t="n">
        <v>0</v>
      </c>
      <c r="T299" s="51" t="n">
        <v>1</v>
      </c>
      <c r="U299" s="56" t="n">
        <f aca="false">I299*O299</f>
        <v>0</v>
      </c>
      <c r="V299" s="56" t="n">
        <f aca="false">J299*O299</f>
        <v>0</v>
      </c>
      <c r="W299" s="56" t="n">
        <f aca="false">((I299+J299)/2)*O299</f>
        <v>0</v>
      </c>
      <c r="X299" s="56" t="n">
        <f aca="false">H299*O299</f>
        <v>0</v>
      </c>
    </row>
    <row r="300" customFormat="false" ht="22.35" hidden="false" customHeight="false" outlineLevel="0" collapsed="false">
      <c r="A300" s="76" t="s">
        <v>2063</v>
      </c>
      <c r="B300" s="7" t="s">
        <v>2593</v>
      </c>
      <c r="C300" s="7" t="s">
        <v>2594</v>
      </c>
      <c r="D300" s="7" t="s">
        <v>2570</v>
      </c>
      <c r="E300" s="77" t="s">
        <v>2571</v>
      </c>
      <c r="F300" s="7" t="s">
        <v>2097</v>
      </c>
      <c r="G300" s="7" t="s">
        <v>2097</v>
      </c>
      <c r="H300" s="9" t="n">
        <v>96</v>
      </c>
      <c r="I300" s="9" t="n">
        <v>0</v>
      </c>
      <c r="J300" s="9" t="n">
        <v>0</v>
      </c>
      <c r="K300" s="52" t="n">
        <v>0</v>
      </c>
      <c r="L300" s="58" t="n">
        <v>26.1</v>
      </c>
      <c r="M300" s="59"/>
      <c r="N300" s="9" t="n">
        <v>1.59726</v>
      </c>
      <c r="O300" s="8" t="n">
        <v>0</v>
      </c>
      <c r="P300" s="9" t="n">
        <v>96</v>
      </c>
      <c r="Q300" s="7" t="s">
        <v>2098</v>
      </c>
      <c r="R300" s="7" t="s">
        <v>2572</v>
      </c>
      <c r="S300" s="58" t="n">
        <v>0</v>
      </c>
      <c r="T300" s="9" t="n">
        <v>1</v>
      </c>
      <c r="U300" s="56" t="n">
        <f aca="false">I300*O300</f>
        <v>0</v>
      </c>
      <c r="V300" s="56" t="n">
        <f aca="false">J300*O300</f>
        <v>0</v>
      </c>
      <c r="W300" s="56" t="n">
        <f aca="false">((I300+J300)/2)*O300</f>
        <v>0</v>
      </c>
      <c r="X300" s="56" t="n">
        <f aca="false">H300*O300</f>
        <v>0</v>
      </c>
    </row>
    <row r="301" customFormat="false" ht="22.35" hidden="false" customHeight="false" outlineLevel="0" collapsed="false">
      <c r="A301" s="76" t="s">
        <v>2063</v>
      </c>
      <c r="B301" s="49" t="s">
        <v>2595</v>
      </c>
      <c r="C301" s="49" t="s">
        <v>2594</v>
      </c>
      <c r="D301" s="49" t="s">
        <v>2570</v>
      </c>
      <c r="E301" s="77" t="s">
        <v>2571</v>
      </c>
      <c r="F301" s="49" t="s">
        <v>2097</v>
      </c>
      <c r="G301" s="49" t="s">
        <v>2097</v>
      </c>
      <c r="H301" s="51" t="n">
        <v>84</v>
      </c>
      <c r="I301" s="51" t="n">
        <v>0</v>
      </c>
      <c r="J301" s="51" t="n">
        <v>0</v>
      </c>
      <c r="K301" s="52" t="n">
        <v>0</v>
      </c>
      <c r="L301" s="53" t="n">
        <v>26.1</v>
      </c>
      <c r="M301" s="54"/>
      <c r="N301" s="51" t="n">
        <v>1.468493</v>
      </c>
      <c r="O301" s="55" t="n">
        <v>0</v>
      </c>
      <c r="P301" s="51" t="n">
        <v>84</v>
      </c>
      <c r="Q301" s="49" t="s">
        <v>2098</v>
      </c>
      <c r="R301" s="49" t="s">
        <v>2572</v>
      </c>
      <c r="S301" s="53" t="n">
        <v>0</v>
      </c>
      <c r="T301" s="51" t="n">
        <v>1</v>
      </c>
      <c r="U301" s="56" t="n">
        <f aca="false">I301*O301</f>
        <v>0</v>
      </c>
      <c r="V301" s="56" t="n">
        <f aca="false">J301*O301</f>
        <v>0</v>
      </c>
      <c r="W301" s="56" t="n">
        <f aca="false">((I301+J301)/2)*O301</f>
        <v>0</v>
      </c>
      <c r="X301" s="56" t="n">
        <f aca="false">H301*O301</f>
        <v>0</v>
      </c>
    </row>
    <row r="302" customFormat="false" ht="22.35" hidden="false" customHeight="false" outlineLevel="0" collapsed="false">
      <c r="A302" s="76" t="s">
        <v>2063</v>
      </c>
      <c r="B302" s="7" t="s">
        <v>2596</v>
      </c>
      <c r="C302" s="7" t="s">
        <v>2597</v>
      </c>
      <c r="D302" s="7" t="s">
        <v>2570</v>
      </c>
      <c r="E302" s="77" t="s">
        <v>2571</v>
      </c>
      <c r="F302" s="7" t="s">
        <v>2097</v>
      </c>
      <c r="G302" s="7" t="s">
        <v>2097</v>
      </c>
      <c r="H302" s="9" t="n">
        <v>16</v>
      </c>
      <c r="I302" s="9" t="n">
        <v>0</v>
      </c>
      <c r="J302" s="9" t="n">
        <v>0</v>
      </c>
      <c r="K302" s="52" t="n">
        <v>0</v>
      </c>
      <c r="L302" s="58" t="n">
        <v>26.1</v>
      </c>
      <c r="M302" s="59"/>
      <c r="N302" s="9" t="n">
        <v>0.235616</v>
      </c>
      <c r="O302" s="8" t="n">
        <v>0</v>
      </c>
      <c r="P302" s="9" t="n">
        <v>16</v>
      </c>
      <c r="Q302" s="7" t="s">
        <v>2098</v>
      </c>
      <c r="R302" s="7" t="s">
        <v>2572</v>
      </c>
      <c r="S302" s="58" t="n">
        <v>0</v>
      </c>
      <c r="T302" s="9" t="n">
        <v>1</v>
      </c>
      <c r="U302" s="56" t="n">
        <f aca="false">I302*O302</f>
        <v>0</v>
      </c>
      <c r="V302" s="56" t="n">
        <f aca="false">J302*O302</f>
        <v>0</v>
      </c>
      <c r="W302" s="56" t="n">
        <f aca="false">((I302+J302)/2)*O302</f>
        <v>0</v>
      </c>
      <c r="X302" s="56" t="n">
        <f aca="false">H302*O302</f>
        <v>0</v>
      </c>
    </row>
    <row r="303" customFormat="false" ht="22.35" hidden="false" customHeight="false" outlineLevel="0" collapsed="false">
      <c r="A303" s="76" t="s">
        <v>2063</v>
      </c>
      <c r="B303" s="49" t="s">
        <v>2598</v>
      </c>
      <c r="C303" s="49" t="s">
        <v>2599</v>
      </c>
      <c r="D303" s="49" t="s">
        <v>2570</v>
      </c>
      <c r="E303" s="77" t="s">
        <v>2571</v>
      </c>
      <c r="F303" s="49" t="s">
        <v>2097</v>
      </c>
      <c r="G303" s="49" t="s">
        <v>2097</v>
      </c>
      <c r="H303" s="51" t="n">
        <v>72</v>
      </c>
      <c r="I303" s="51" t="n">
        <v>0</v>
      </c>
      <c r="J303" s="51" t="n">
        <v>0</v>
      </c>
      <c r="K303" s="52" t="n">
        <v>0</v>
      </c>
      <c r="L303" s="53" t="n">
        <v>26.1</v>
      </c>
      <c r="M303" s="54"/>
      <c r="N303" s="51" t="n">
        <v>0.719178</v>
      </c>
      <c r="O303" s="55" t="n">
        <v>0</v>
      </c>
      <c r="P303" s="51" t="n">
        <v>72</v>
      </c>
      <c r="Q303" s="49" t="s">
        <v>2098</v>
      </c>
      <c r="R303" s="49" t="s">
        <v>2572</v>
      </c>
      <c r="S303" s="53" t="n">
        <v>0</v>
      </c>
      <c r="T303" s="51" t="n">
        <v>1</v>
      </c>
      <c r="U303" s="56" t="n">
        <f aca="false">I303*O303</f>
        <v>0</v>
      </c>
      <c r="V303" s="56" t="n">
        <f aca="false">J303*O303</f>
        <v>0</v>
      </c>
      <c r="W303" s="56" t="n">
        <f aca="false">((I303+J303)/2)*O303</f>
        <v>0</v>
      </c>
      <c r="X303" s="56" t="n">
        <f aca="false">H303*O303</f>
        <v>0</v>
      </c>
    </row>
    <row r="304" customFormat="false" ht="22.35" hidden="false" customHeight="false" outlineLevel="0" collapsed="false">
      <c r="A304" s="76" t="s">
        <v>2063</v>
      </c>
      <c r="B304" s="7" t="s">
        <v>2600</v>
      </c>
      <c r="C304" s="7" t="s">
        <v>2599</v>
      </c>
      <c r="D304" s="7" t="s">
        <v>2570</v>
      </c>
      <c r="E304" s="77" t="s">
        <v>2571</v>
      </c>
      <c r="F304" s="7" t="s">
        <v>2097</v>
      </c>
      <c r="G304" s="7" t="s">
        <v>2097</v>
      </c>
      <c r="H304" s="9" t="n">
        <v>96</v>
      </c>
      <c r="I304" s="9" t="n">
        <v>0</v>
      </c>
      <c r="J304" s="9" t="n">
        <v>0</v>
      </c>
      <c r="K304" s="52" t="n">
        <v>0</v>
      </c>
      <c r="L304" s="58" t="n">
        <v>26.1</v>
      </c>
      <c r="M304" s="59"/>
      <c r="N304" s="9" t="n">
        <v>1.158904</v>
      </c>
      <c r="O304" s="8" t="n">
        <v>0</v>
      </c>
      <c r="P304" s="9" t="n">
        <v>96</v>
      </c>
      <c r="Q304" s="7" t="s">
        <v>2098</v>
      </c>
      <c r="R304" s="7" t="s">
        <v>2572</v>
      </c>
      <c r="S304" s="58" t="n">
        <v>0</v>
      </c>
      <c r="T304" s="9" t="n">
        <v>1</v>
      </c>
      <c r="U304" s="56" t="n">
        <f aca="false">I304*O304</f>
        <v>0</v>
      </c>
      <c r="V304" s="56" t="n">
        <f aca="false">J304*O304</f>
        <v>0</v>
      </c>
      <c r="W304" s="56" t="n">
        <f aca="false">((I304+J304)/2)*O304</f>
        <v>0</v>
      </c>
      <c r="X304" s="56" t="n">
        <f aca="false">H304*O304</f>
        <v>0</v>
      </c>
    </row>
    <row r="305" customFormat="false" ht="22.35" hidden="false" customHeight="false" outlineLevel="0" collapsed="false">
      <c r="A305" s="76" t="s">
        <v>2063</v>
      </c>
      <c r="B305" s="49" t="s">
        <v>2601</v>
      </c>
      <c r="C305" s="49" t="s">
        <v>2602</v>
      </c>
      <c r="D305" s="49" t="s">
        <v>2570</v>
      </c>
      <c r="E305" s="77" t="s">
        <v>2571</v>
      </c>
      <c r="F305" s="49" t="s">
        <v>2097</v>
      </c>
      <c r="G305" s="49" t="s">
        <v>2097</v>
      </c>
      <c r="H305" s="51" t="n">
        <v>376</v>
      </c>
      <c r="I305" s="51" t="n">
        <v>0</v>
      </c>
      <c r="J305" s="51" t="n">
        <v>0</v>
      </c>
      <c r="K305" s="52" t="n">
        <v>0</v>
      </c>
      <c r="L305" s="53" t="n">
        <v>55.3</v>
      </c>
      <c r="M305" s="54" t="n">
        <v>97.9</v>
      </c>
      <c r="N305" s="51" t="n">
        <v>5.835616</v>
      </c>
      <c r="O305" s="55" t="n">
        <v>0</v>
      </c>
      <c r="P305" s="51" t="n">
        <v>376</v>
      </c>
      <c r="Q305" s="49" t="s">
        <v>2098</v>
      </c>
      <c r="R305" s="49" t="s">
        <v>2572</v>
      </c>
      <c r="S305" s="53" t="n">
        <v>0</v>
      </c>
      <c r="T305" s="51" t="n">
        <v>1</v>
      </c>
      <c r="U305" s="56" t="n">
        <f aca="false">I305*O305</f>
        <v>0</v>
      </c>
      <c r="V305" s="56" t="n">
        <f aca="false">J305*O305</f>
        <v>0</v>
      </c>
      <c r="W305" s="56" t="n">
        <f aca="false">((I305+J305)/2)*O305</f>
        <v>0</v>
      </c>
      <c r="X305" s="56" t="n">
        <f aca="false">H305*O305</f>
        <v>0</v>
      </c>
    </row>
    <row r="306" customFormat="false" ht="22.35" hidden="false" customHeight="false" outlineLevel="0" collapsed="false">
      <c r="A306" s="76" t="s">
        <v>2063</v>
      </c>
      <c r="B306" s="7" t="s">
        <v>2603</v>
      </c>
      <c r="C306" s="7" t="s">
        <v>2602</v>
      </c>
      <c r="D306" s="7" t="s">
        <v>2570</v>
      </c>
      <c r="E306" s="77" t="s">
        <v>2571</v>
      </c>
      <c r="F306" s="7" t="s">
        <v>2097</v>
      </c>
      <c r="G306" s="7" t="s">
        <v>2097</v>
      </c>
      <c r="H306" s="9" t="n">
        <v>316</v>
      </c>
      <c r="I306" s="9" t="n">
        <v>0</v>
      </c>
      <c r="J306" s="9" t="n">
        <v>0</v>
      </c>
      <c r="K306" s="52" t="n">
        <v>0</v>
      </c>
      <c r="L306" s="58" t="n">
        <v>83.6</v>
      </c>
      <c r="M306" s="59" t="n">
        <v>97.7</v>
      </c>
      <c r="N306" s="9" t="n">
        <v>5.047945</v>
      </c>
      <c r="O306" s="8" t="n">
        <v>0</v>
      </c>
      <c r="P306" s="9" t="n">
        <v>316</v>
      </c>
      <c r="Q306" s="7" t="s">
        <v>2098</v>
      </c>
      <c r="R306" s="7" t="s">
        <v>2572</v>
      </c>
      <c r="S306" s="58" t="n">
        <v>0</v>
      </c>
      <c r="T306" s="9" t="n">
        <v>1</v>
      </c>
      <c r="U306" s="56" t="n">
        <f aca="false">I306*O306</f>
        <v>0</v>
      </c>
      <c r="V306" s="56" t="n">
        <f aca="false">J306*O306</f>
        <v>0</v>
      </c>
      <c r="W306" s="56" t="n">
        <f aca="false">((I306+J306)/2)*O306</f>
        <v>0</v>
      </c>
      <c r="X306" s="56" t="n">
        <f aca="false">H306*O306</f>
        <v>0</v>
      </c>
    </row>
    <row r="307" customFormat="false" ht="22.35" hidden="false" customHeight="false" outlineLevel="0" collapsed="false">
      <c r="A307" s="76" t="s">
        <v>2063</v>
      </c>
      <c r="B307" s="49" t="s">
        <v>2604</v>
      </c>
      <c r="C307" s="49" t="s">
        <v>2605</v>
      </c>
      <c r="D307" s="49" t="s">
        <v>2570</v>
      </c>
      <c r="E307" s="77" t="s">
        <v>2571</v>
      </c>
      <c r="F307" s="49" t="s">
        <v>2097</v>
      </c>
      <c r="G307" s="49" t="s">
        <v>2097</v>
      </c>
      <c r="H307" s="51" t="n">
        <v>120</v>
      </c>
      <c r="I307" s="51" t="n">
        <v>0</v>
      </c>
      <c r="J307" s="51" t="n">
        <v>0</v>
      </c>
      <c r="K307" s="52" t="n">
        <v>0</v>
      </c>
      <c r="L307" s="53" t="n">
        <v>26.1</v>
      </c>
      <c r="M307" s="54"/>
      <c r="N307" s="51" t="n">
        <v>1.238356</v>
      </c>
      <c r="O307" s="55" t="n">
        <v>0</v>
      </c>
      <c r="P307" s="51" t="n">
        <v>120</v>
      </c>
      <c r="Q307" s="49" t="s">
        <v>2098</v>
      </c>
      <c r="R307" s="49" t="s">
        <v>2572</v>
      </c>
      <c r="S307" s="53" t="n">
        <v>0</v>
      </c>
      <c r="T307" s="51" t="n">
        <v>8</v>
      </c>
      <c r="U307" s="56" t="n">
        <f aca="false">I307*O307</f>
        <v>0</v>
      </c>
      <c r="V307" s="56" t="n">
        <f aca="false">J307*O307</f>
        <v>0</v>
      </c>
      <c r="W307" s="56" t="n">
        <f aca="false">((I307+J307)/2)*O307</f>
        <v>0</v>
      </c>
      <c r="X307" s="56" t="n">
        <f aca="false">H307*O307</f>
        <v>0</v>
      </c>
    </row>
    <row r="308" customFormat="false" ht="22.35" hidden="false" customHeight="false" outlineLevel="0" collapsed="false">
      <c r="A308" s="76" t="s">
        <v>2063</v>
      </c>
      <c r="B308" s="7" t="s">
        <v>2606</v>
      </c>
      <c r="C308" s="7" t="s">
        <v>2605</v>
      </c>
      <c r="D308" s="7" t="s">
        <v>2570</v>
      </c>
      <c r="E308" s="77" t="s">
        <v>2571</v>
      </c>
      <c r="F308" s="7" t="s">
        <v>2097</v>
      </c>
      <c r="G308" s="7" t="s">
        <v>2097</v>
      </c>
      <c r="H308" s="9" t="n">
        <v>36</v>
      </c>
      <c r="I308" s="9" t="n">
        <v>0</v>
      </c>
      <c r="J308" s="9" t="n">
        <v>0</v>
      </c>
      <c r="K308" s="52" t="n">
        <v>0</v>
      </c>
      <c r="L308" s="58" t="n">
        <v>26.1</v>
      </c>
      <c r="M308" s="59"/>
      <c r="N308" s="9" t="n">
        <v>0.609589</v>
      </c>
      <c r="O308" s="8" t="n">
        <v>0</v>
      </c>
      <c r="P308" s="9" t="n">
        <v>36</v>
      </c>
      <c r="Q308" s="7" t="s">
        <v>2098</v>
      </c>
      <c r="R308" s="7" t="s">
        <v>2572</v>
      </c>
      <c r="S308" s="58" t="n">
        <v>0</v>
      </c>
      <c r="T308" s="9" t="n">
        <v>8</v>
      </c>
      <c r="U308" s="56" t="n">
        <f aca="false">I308*O308</f>
        <v>0</v>
      </c>
      <c r="V308" s="56" t="n">
        <f aca="false">J308*O308</f>
        <v>0</v>
      </c>
      <c r="W308" s="56" t="n">
        <f aca="false">((I308+J308)/2)*O308</f>
        <v>0</v>
      </c>
      <c r="X308" s="56" t="n">
        <f aca="false">H308*O308</f>
        <v>0</v>
      </c>
    </row>
    <row r="309" customFormat="false" ht="22.35" hidden="false" customHeight="false" outlineLevel="0" collapsed="false">
      <c r="A309" s="76" t="s">
        <v>2063</v>
      </c>
      <c r="B309" s="49" t="s">
        <v>2607</v>
      </c>
      <c r="C309" s="49" t="s">
        <v>2608</v>
      </c>
      <c r="D309" s="49" t="s">
        <v>2570</v>
      </c>
      <c r="E309" s="77" t="s">
        <v>2571</v>
      </c>
      <c r="F309" s="49" t="s">
        <v>2097</v>
      </c>
      <c r="G309" s="49" t="s">
        <v>2097</v>
      </c>
      <c r="H309" s="51" t="n">
        <v>24</v>
      </c>
      <c r="I309" s="51" t="n">
        <v>0</v>
      </c>
      <c r="J309" s="51" t="n">
        <v>0</v>
      </c>
      <c r="K309" s="52" t="n">
        <v>0</v>
      </c>
      <c r="L309" s="53" t="n">
        <v>26.1</v>
      </c>
      <c r="M309" s="54"/>
      <c r="N309" s="51" t="n">
        <v>0.20411</v>
      </c>
      <c r="O309" s="55" t="n">
        <v>0</v>
      </c>
      <c r="P309" s="51" t="n">
        <v>24</v>
      </c>
      <c r="Q309" s="49" t="s">
        <v>2098</v>
      </c>
      <c r="R309" s="49" t="s">
        <v>2572</v>
      </c>
      <c r="S309" s="53" t="n">
        <v>0</v>
      </c>
      <c r="T309" s="51" t="n">
        <v>3</v>
      </c>
      <c r="U309" s="56" t="n">
        <f aca="false">I309*O309</f>
        <v>0</v>
      </c>
      <c r="V309" s="56" t="n">
        <f aca="false">J309*O309</f>
        <v>0</v>
      </c>
      <c r="W309" s="56" t="n">
        <f aca="false">((I309+J309)/2)*O309</f>
        <v>0</v>
      </c>
      <c r="X309" s="56" t="n">
        <f aca="false">H309*O309</f>
        <v>0</v>
      </c>
    </row>
    <row r="310" customFormat="false" ht="22.35" hidden="false" customHeight="false" outlineLevel="0" collapsed="false">
      <c r="A310" s="76" t="s">
        <v>2063</v>
      </c>
      <c r="B310" s="7" t="s">
        <v>2609</v>
      </c>
      <c r="C310" s="7" t="s">
        <v>2608</v>
      </c>
      <c r="D310" s="7" t="s">
        <v>2570</v>
      </c>
      <c r="E310" s="77" t="s">
        <v>2571</v>
      </c>
      <c r="F310" s="7" t="s">
        <v>2097</v>
      </c>
      <c r="G310" s="7" t="s">
        <v>2097</v>
      </c>
      <c r="H310" s="9" t="n">
        <v>36</v>
      </c>
      <c r="I310" s="9" t="n">
        <v>0</v>
      </c>
      <c r="J310" s="9" t="n">
        <v>0</v>
      </c>
      <c r="K310" s="52" t="n">
        <v>0</v>
      </c>
      <c r="L310" s="58" t="n">
        <v>26.1</v>
      </c>
      <c r="M310" s="59"/>
      <c r="N310" s="9" t="n">
        <v>0.764384</v>
      </c>
      <c r="O310" s="8" t="n">
        <v>0</v>
      </c>
      <c r="P310" s="9" t="n">
        <v>36</v>
      </c>
      <c r="Q310" s="7" t="s">
        <v>2098</v>
      </c>
      <c r="R310" s="7" t="s">
        <v>2572</v>
      </c>
      <c r="S310" s="58" t="n">
        <v>0</v>
      </c>
      <c r="T310" s="9" t="n">
        <v>12</v>
      </c>
      <c r="U310" s="56" t="n">
        <f aca="false">I310*O310</f>
        <v>0</v>
      </c>
      <c r="V310" s="56" t="n">
        <f aca="false">J310*O310</f>
        <v>0</v>
      </c>
      <c r="W310" s="56" t="n">
        <f aca="false">((I310+J310)/2)*O310</f>
        <v>0</v>
      </c>
      <c r="X310" s="56" t="n">
        <f aca="false">H310*O310</f>
        <v>0</v>
      </c>
    </row>
    <row r="311" customFormat="false" ht="22.35" hidden="false" customHeight="false" outlineLevel="0" collapsed="false">
      <c r="A311" s="76" t="s">
        <v>2063</v>
      </c>
      <c r="B311" s="49" t="s">
        <v>2610</v>
      </c>
      <c r="C311" s="49" t="s">
        <v>2611</v>
      </c>
      <c r="D311" s="49" t="s">
        <v>2570</v>
      </c>
      <c r="E311" s="77" t="s">
        <v>2571</v>
      </c>
      <c r="F311" s="49" t="s">
        <v>2097</v>
      </c>
      <c r="G311" s="49" t="s">
        <v>2097</v>
      </c>
      <c r="H311" s="51" t="n">
        <v>112</v>
      </c>
      <c r="I311" s="51" t="n">
        <v>0</v>
      </c>
      <c r="J311" s="51" t="n">
        <v>0</v>
      </c>
      <c r="K311" s="52" t="n">
        <v>0</v>
      </c>
      <c r="L311" s="53" t="n">
        <v>17.2</v>
      </c>
      <c r="M311" s="54" t="n">
        <v>98</v>
      </c>
      <c r="N311" s="51" t="n">
        <v>1.6</v>
      </c>
      <c r="O311" s="55" t="n">
        <v>0</v>
      </c>
      <c r="P311" s="51" t="n">
        <v>112</v>
      </c>
      <c r="Q311" s="49" t="s">
        <v>2098</v>
      </c>
      <c r="R311" s="49" t="s">
        <v>2572</v>
      </c>
      <c r="S311" s="53" t="n">
        <v>0</v>
      </c>
      <c r="T311" s="51" t="n">
        <v>12</v>
      </c>
      <c r="U311" s="56" t="n">
        <f aca="false">I311*O311</f>
        <v>0</v>
      </c>
      <c r="V311" s="56" t="n">
        <f aca="false">J311*O311</f>
        <v>0</v>
      </c>
      <c r="W311" s="56" t="n">
        <f aca="false">((I311+J311)/2)*O311</f>
        <v>0</v>
      </c>
      <c r="X311" s="56" t="n">
        <f aca="false">H311*O311</f>
        <v>0</v>
      </c>
    </row>
    <row r="312" customFormat="false" ht="22.35" hidden="false" customHeight="false" outlineLevel="0" collapsed="false">
      <c r="A312" s="76" t="s">
        <v>2063</v>
      </c>
      <c r="B312" s="7" t="s">
        <v>2612</v>
      </c>
      <c r="C312" s="7" t="s">
        <v>2611</v>
      </c>
      <c r="D312" s="7" t="s">
        <v>2570</v>
      </c>
      <c r="E312" s="77" t="s">
        <v>2571</v>
      </c>
      <c r="F312" s="7" t="s">
        <v>2097</v>
      </c>
      <c r="G312" s="7" t="s">
        <v>2097</v>
      </c>
      <c r="H312" s="9" t="n">
        <v>48</v>
      </c>
      <c r="I312" s="9" t="n">
        <v>0</v>
      </c>
      <c r="J312" s="9" t="n">
        <v>0</v>
      </c>
      <c r="K312" s="52" t="n">
        <v>0</v>
      </c>
      <c r="L312" s="58" t="n">
        <v>15.4</v>
      </c>
      <c r="M312" s="59" t="n">
        <v>96.9</v>
      </c>
      <c r="N312" s="9" t="n">
        <v>1.121918</v>
      </c>
      <c r="O312" s="8" t="n">
        <v>0</v>
      </c>
      <c r="P312" s="9" t="n">
        <v>48</v>
      </c>
      <c r="Q312" s="7" t="s">
        <v>2098</v>
      </c>
      <c r="R312" s="7" t="s">
        <v>2572</v>
      </c>
      <c r="S312" s="58" t="n">
        <v>0</v>
      </c>
      <c r="T312" s="9" t="n">
        <v>21</v>
      </c>
      <c r="U312" s="56" t="n">
        <f aca="false">I312*O312</f>
        <v>0</v>
      </c>
      <c r="V312" s="56" t="n">
        <f aca="false">J312*O312</f>
        <v>0</v>
      </c>
      <c r="W312" s="56" t="n">
        <f aca="false">((I312+J312)/2)*O312</f>
        <v>0</v>
      </c>
      <c r="X312" s="56" t="n">
        <f aca="false">H312*O312</f>
        <v>0</v>
      </c>
    </row>
    <row r="313" customFormat="false" ht="22.35" hidden="false" customHeight="false" outlineLevel="0" collapsed="false">
      <c r="A313" s="76" t="s">
        <v>2063</v>
      </c>
      <c r="B313" s="49" t="s">
        <v>2613</v>
      </c>
      <c r="C313" s="49" t="s">
        <v>2614</v>
      </c>
      <c r="D313" s="49" t="s">
        <v>2570</v>
      </c>
      <c r="E313" s="77" t="s">
        <v>2571</v>
      </c>
      <c r="F313" s="49" t="s">
        <v>2097</v>
      </c>
      <c r="G313" s="49" t="s">
        <v>2097</v>
      </c>
      <c r="H313" s="51" t="n">
        <v>84</v>
      </c>
      <c r="I313" s="51" t="n">
        <v>0</v>
      </c>
      <c r="J313" s="51" t="n">
        <v>0</v>
      </c>
      <c r="K313" s="52" t="n">
        <v>0</v>
      </c>
      <c r="L313" s="53" t="n">
        <v>26.1</v>
      </c>
      <c r="M313" s="54"/>
      <c r="N313" s="51" t="n">
        <v>1.412329</v>
      </c>
      <c r="O313" s="55" t="n">
        <v>0</v>
      </c>
      <c r="P313" s="51" t="n">
        <v>84</v>
      </c>
      <c r="Q313" s="49" t="s">
        <v>2098</v>
      </c>
      <c r="R313" s="49" t="s">
        <v>2572</v>
      </c>
      <c r="S313" s="53" t="n">
        <v>0</v>
      </c>
      <c r="T313" s="51" t="n">
        <v>12</v>
      </c>
      <c r="U313" s="56" t="n">
        <f aca="false">I313*O313</f>
        <v>0</v>
      </c>
      <c r="V313" s="56" t="n">
        <f aca="false">J313*O313</f>
        <v>0</v>
      </c>
      <c r="W313" s="56" t="n">
        <f aca="false">((I313+J313)/2)*O313</f>
        <v>0</v>
      </c>
      <c r="X313" s="56" t="n">
        <f aca="false">H313*O313</f>
        <v>0</v>
      </c>
    </row>
    <row r="314" customFormat="false" ht="22.35" hidden="false" customHeight="false" outlineLevel="0" collapsed="false">
      <c r="A314" s="76" t="s">
        <v>2063</v>
      </c>
      <c r="B314" s="7" t="s">
        <v>2615</v>
      </c>
      <c r="C314" s="7" t="s">
        <v>2614</v>
      </c>
      <c r="D314" s="7" t="s">
        <v>2570</v>
      </c>
      <c r="E314" s="77" t="s">
        <v>2571</v>
      </c>
      <c r="F314" s="7" t="s">
        <v>2097</v>
      </c>
      <c r="G314" s="7" t="s">
        <v>2097</v>
      </c>
      <c r="H314" s="9" t="n">
        <v>32</v>
      </c>
      <c r="I314" s="9" t="n">
        <v>0</v>
      </c>
      <c r="J314" s="9" t="n">
        <v>0</v>
      </c>
      <c r="K314" s="52" t="n">
        <v>0</v>
      </c>
      <c r="L314" s="58" t="n">
        <v>26.1</v>
      </c>
      <c r="M314" s="59"/>
      <c r="N314" s="9" t="n">
        <v>0.478082</v>
      </c>
      <c r="O314" s="8" t="n">
        <v>0</v>
      </c>
      <c r="P314" s="9" t="n">
        <v>32</v>
      </c>
      <c r="Q314" s="7" t="s">
        <v>2098</v>
      </c>
      <c r="R314" s="7" t="s">
        <v>2572</v>
      </c>
      <c r="S314" s="58" t="n">
        <v>0</v>
      </c>
      <c r="T314" s="9" t="n">
        <v>12</v>
      </c>
      <c r="U314" s="56" t="n">
        <f aca="false">I314*O314</f>
        <v>0</v>
      </c>
      <c r="V314" s="56" t="n">
        <f aca="false">J314*O314</f>
        <v>0</v>
      </c>
      <c r="W314" s="56" t="n">
        <f aca="false">((I314+J314)/2)*O314</f>
        <v>0</v>
      </c>
      <c r="X314" s="56" t="n">
        <f aca="false">H314*O314</f>
        <v>0</v>
      </c>
    </row>
    <row r="315" customFormat="false" ht="22.35" hidden="false" customHeight="false" outlineLevel="0" collapsed="false">
      <c r="A315" s="76" t="s">
        <v>2063</v>
      </c>
      <c r="B315" s="49" t="s">
        <v>2616</v>
      </c>
      <c r="C315" s="49" t="s">
        <v>2617</v>
      </c>
      <c r="D315" s="49" t="s">
        <v>2570</v>
      </c>
      <c r="E315" s="77" t="s">
        <v>2571</v>
      </c>
      <c r="F315" s="49" t="s">
        <v>2097</v>
      </c>
      <c r="G315" s="49" t="s">
        <v>2097</v>
      </c>
      <c r="H315" s="51" t="n">
        <v>54</v>
      </c>
      <c r="I315" s="51" t="n">
        <v>0</v>
      </c>
      <c r="J315" s="51" t="n">
        <v>0</v>
      </c>
      <c r="K315" s="52" t="n">
        <v>0</v>
      </c>
      <c r="L315" s="53" t="n">
        <v>26.1</v>
      </c>
      <c r="M315" s="54"/>
      <c r="N315" s="51" t="n">
        <v>1.108219</v>
      </c>
      <c r="O315" s="55" t="n">
        <v>0</v>
      </c>
      <c r="P315" s="51" t="n">
        <v>54</v>
      </c>
      <c r="Q315" s="49" t="s">
        <v>2098</v>
      </c>
      <c r="R315" s="49" t="s">
        <v>2572</v>
      </c>
      <c r="S315" s="53" t="n">
        <v>0</v>
      </c>
      <c r="T315" s="51" t="n">
        <v>12</v>
      </c>
      <c r="U315" s="56" t="n">
        <f aca="false">I315*O315</f>
        <v>0</v>
      </c>
      <c r="V315" s="56" t="n">
        <f aca="false">J315*O315</f>
        <v>0</v>
      </c>
      <c r="W315" s="56" t="n">
        <f aca="false">((I315+J315)/2)*O315</f>
        <v>0</v>
      </c>
      <c r="X315" s="56" t="n">
        <f aca="false">H315*O315</f>
        <v>0</v>
      </c>
    </row>
    <row r="316" customFormat="false" ht="22.35" hidden="false" customHeight="false" outlineLevel="0" collapsed="false">
      <c r="A316" s="76" t="s">
        <v>2063</v>
      </c>
      <c r="B316" s="7" t="s">
        <v>2618</v>
      </c>
      <c r="C316" s="7" t="s">
        <v>2617</v>
      </c>
      <c r="D316" s="7" t="s">
        <v>2570</v>
      </c>
      <c r="E316" s="77" t="s">
        <v>2571</v>
      </c>
      <c r="F316" s="7" t="s">
        <v>2097</v>
      </c>
      <c r="G316" s="7" t="s">
        <v>2097</v>
      </c>
      <c r="H316" s="9" t="n">
        <v>48</v>
      </c>
      <c r="I316" s="9" t="n">
        <v>0</v>
      </c>
      <c r="J316" s="9" t="n">
        <v>0</v>
      </c>
      <c r="K316" s="52" t="n">
        <v>0</v>
      </c>
      <c r="L316" s="58" t="n">
        <v>26.1</v>
      </c>
      <c r="M316" s="59"/>
      <c r="N316" s="9" t="n">
        <v>0.530137</v>
      </c>
      <c r="O316" s="8" t="n">
        <v>0</v>
      </c>
      <c r="P316" s="9" t="n">
        <v>48</v>
      </c>
      <c r="Q316" s="7" t="s">
        <v>2098</v>
      </c>
      <c r="R316" s="7" t="s">
        <v>2572</v>
      </c>
      <c r="S316" s="58" t="n">
        <v>0</v>
      </c>
      <c r="T316" s="9" t="n">
        <v>12</v>
      </c>
      <c r="U316" s="56" t="n">
        <f aca="false">I316*O316</f>
        <v>0</v>
      </c>
      <c r="V316" s="56" t="n">
        <f aca="false">J316*O316</f>
        <v>0</v>
      </c>
      <c r="W316" s="56" t="n">
        <f aca="false">((I316+J316)/2)*O316</f>
        <v>0</v>
      </c>
      <c r="X316" s="56" t="n">
        <f aca="false">H316*O316</f>
        <v>0</v>
      </c>
    </row>
    <row r="317" customFormat="false" ht="22.35" hidden="false" customHeight="false" outlineLevel="0" collapsed="false">
      <c r="A317" s="76" t="s">
        <v>2063</v>
      </c>
      <c r="B317" s="49" t="s">
        <v>2619</v>
      </c>
      <c r="C317" s="49" t="s">
        <v>2620</v>
      </c>
      <c r="D317" s="49" t="s">
        <v>2570</v>
      </c>
      <c r="E317" s="77" t="s">
        <v>2571</v>
      </c>
      <c r="F317" s="49" t="s">
        <v>2097</v>
      </c>
      <c r="G317" s="49" t="s">
        <v>2097</v>
      </c>
      <c r="H317" s="51" t="n">
        <v>216</v>
      </c>
      <c r="I317" s="51" t="n">
        <v>0</v>
      </c>
      <c r="J317" s="51" t="n">
        <v>0</v>
      </c>
      <c r="K317" s="52" t="n">
        <v>0</v>
      </c>
      <c r="L317" s="53" t="n">
        <v>26.1</v>
      </c>
      <c r="M317" s="54"/>
      <c r="N317" s="51" t="n">
        <v>2.639726</v>
      </c>
      <c r="O317" s="55" t="n">
        <v>0</v>
      </c>
      <c r="P317" s="51" t="n">
        <v>216</v>
      </c>
      <c r="Q317" s="49" t="s">
        <v>2098</v>
      </c>
      <c r="R317" s="49" t="s">
        <v>2572</v>
      </c>
      <c r="S317" s="53" t="n">
        <v>0</v>
      </c>
      <c r="T317" s="51" t="n">
        <v>1</v>
      </c>
      <c r="U317" s="56" t="n">
        <f aca="false">I317*O317</f>
        <v>0</v>
      </c>
      <c r="V317" s="56" t="n">
        <f aca="false">J317*O317</f>
        <v>0</v>
      </c>
      <c r="W317" s="56" t="n">
        <f aca="false">((I317+J317)/2)*O317</f>
        <v>0</v>
      </c>
      <c r="X317" s="56" t="n">
        <f aca="false">H317*O317</f>
        <v>0</v>
      </c>
    </row>
    <row r="318" customFormat="false" ht="22.35" hidden="false" customHeight="false" outlineLevel="0" collapsed="false">
      <c r="A318" s="76" t="s">
        <v>2063</v>
      </c>
      <c r="B318" s="7" t="s">
        <v>2621</v>
      </c>
      <c r="C318" s="7" t="s">
        <v>2620</v>
      </c>
      <c r="D318" s="7" t="s">
        <v>2570</v>
      </c>
      <c r="E318" s="77" t="s">
        <v>2571</v>
      </c>
      <c r="F318" s="7" t="s">
        <v>2097</v>
      </c>
      <c r="G318" s="7" t="s">
        <v>2097</v>
      </c>
      <c r="H318" s="9" t="n">
        <v>120</v>
      </c>
      <c r="I318" s="9" t="n">
        <v>0</v>
      </c>
      <c r="J318" s="9" t="n">
        <v>0</v>
      </c>
      <c r="K318" s="52" t="n">
        <v>0</v>
      </c>
      <c r="L318" s="58" t="n">
        <v>26.1</v>
      </c>
      <c r="M318" s="59"/>
      <c r="N318" s="9" t="n">
        <v>1.257534</v>
      </c>
      <c r="O318" s="8" t="n">
        <v>0</v>
      </c>
      <c r="P318" s="9" t="n">
        <v>120</v>
      </c>
      <c r="Q318" s="7" t="s">
        <v>2098</v>
      </c>
      <c r="R318" s="7" t="s">
        <v>2572</v>
      </c>
      <c r="S318" s="58" t="n">
        <v>0</v>
      </c>
      <c r="T318" s="9" t="n">
        <v>1</v>
      </c>
      <c r="U318" s="56" t="n">
        <f aca="false">I318*O318</f>
        <v>0</v>
      </c>
      <c r="V318" s="56" t="n">
        <f aca="false">J318*O318</f>
        <v>0</v>
      </c>
      <c r="W318" s="56" t="n">
        <f aca="false">((I318+J318)/2)*O318</f>
        <v>0</v>
      </c>
      <c r="X318" s="56" t="n">
        <f aca="false">H318*O318</f>
        <v>0</v>
      </c>
    </row>
    <row r="319" customFormat="false" ht="22.35" hidden="false" customHeight="false" outlineLevel="0" collapsed="false">
      <c r="A319" s="76" t="s">
        <v>2063</v>
      </c>
      <c r="B319" s="49" t="s">
        <v>2622</v>
      </c>
      <c r="C319" s="49" t="s">
        <v>2620</v>
      </c>
      <c r="D319" s="49" t="s">
        <v>2570</v>
      </c>
      <c r="E319" s="77" t="s">
        <v>2571</v>
      </c>
      <c r="F319" s="49" t="s">
        <v>2097</v>
      </c>
      <c r="G319" s="49" t="s">
        <v>2097</v>
      </c>
      <c r="H319" s="51" t="n">
        <v>64</v>
      </c>
      <c r="I319" s="51" t="n">
        <v>0</v>
      </c>
      <c r="J319" s="51" t="n">
        <v>0</v>
      </c>
      <c r="K319" s="52" t="n">
        <v>0</v>
      </c>
      <c r="L319" s="53" t="n">
        <v>26.1</v>
      </c>
      <c r="M319" s="54"/>
      <c r="N319" s="51" t="n">
        <v>0.953425</v>
      </c>
      <c r="O319" s="55" t="n">
        <v>0</v>
      </c>
      <c r="P319" s="51" t="n">
        <v>64</v>
      </c>
      <c r="Q319" s="49" t="s">
        <v>2098</v>
      </c>
      <c r="R319" s="49" t="s">
        <v>2572</v>
      </c>
      <c r="S319" s="53" t="n">
        <v>0</v>
      </c>
      <c r="T319" s="51" t="n">
        <v>1</v>
      </c>
      <c r="U319" s="56" t="n">
        <f aca="false">I319*O319</f>
        <v>0</v>
      </c>
      <c r="V319" s="56" t="n">
        <f aca="false">J319*O319</f>
        <v>0</v>
      </c>
      <c r="W319" s="56" t="n">
        <f aca="false">((I319+J319)/2)*O319</f>
        <v>0</v>
      </c>
      <c r="X319" s="56" t="n">
        <f aca="false">H319*O319</f>
        <v>0</v>
      </c>
    </row>
    <row r="320" customFormat="false" ht="22.35" hidden="false" customHeight="false" outlineLevel="0" collapsed="false">
      <c r="A320" s="76" t="s">
        <v>2063</v>
      </c>
      <c r="B320" s="7" t="s">
        <v>2623</v>
      </c>
      <c r="C320" s="7" t="s">
        <v>2620</v>
      </c>
      <c r="D320" s="7" t="s">
        <v>2570</v>
      </c>
      <c r="E320" s="77" t="s">
        <v>2571</v>
      </c>
      <c r="F320" s="7" t="s">
        <v>2097</v>
      </c>
      <c r="G320" s="7" t="s">
        <v>2097</v>
      </c>
      <c r="H320" s="9" t="n">
        <v>48</v>
      </c>
      <c r="I320" s="9" t="n">
        <v>0</v>
      </c>
      <c r="J320" s="9" t="n">
        <v>0</v>
      </c>
      <c r="K320" s="52" t="n">
        <v>0</v>
      </c>
      <c r="L320" s="58" t="n">
        <v>26.1</v>
      </c>
      <c r="M320" s="59"/>
      <c r="N320" s="9" t="n">
        <v>0.610959</v>
      </c>
      <c r="O320" s="8" t="n">
        <v>0</v>
      </c>
      <c r="P320" s="9" t="n">
        <v>48</v>
      </c>
      <c r="Q320" s="7" t="s">
        <v>2098</v>
      </c>
      <c r="R320" s="7" t="s">
        <v>2572</v>
      </c>
      <c r="S320" s="58" t="n">
        <v>0</v>
      </c>
      <c r="T320" s="9" t="n">
        <v>1</v>
      </c>
      <c r="U320" s="56" t="n">
        <f aca="false">I320*O320</f>
        <v>0</v>
      </c>
      <c r="V320" s="56" t="n">
        <f aca="false">J320*O320</f>
        <v>0</v>
      </c>
      <c r="W320" s="56" t="n">
        <f aca="false">((I320+J320)/2)*O320</f>
        <v>0</v>
      </c>
      <c r="X320" s="56" t="n">
        <f aca="false">H320*O320</f>
        <v>0</v>
      </c>
    </row>
    <row r="321" customFormat="false" ht="22.35" hidden="false" customHeight="false" outlineLevel="0" collapsed="false">
      <c r="A321" s="76" t="s">
        <v>2063</v>
      </c>
      <c r="B321" s="49" t="s">
        <v>2624</v>
      </c>
      <c r="C321" s="49" t="s">
        <v>2625</v>
      </c>
      <c r="D321" s="49" t="s">
        <v>2570</v>
      </c>
      <c r="E321" s="77" t="s">
        <v>2571</v>
      </c>
      <c r="F321" s="49" t="s">
        <v>2097</v>
      </c>
      <c r="G321" s="49" t="s">
        <v>2097</v>
      </c>
      <c r="H321" s="51" t="n">
        <v>288</v>
      </c>
      <c r="I321" s="51" t="n">
        <v>0</v>
      </c>
      <c r="J321" s="51" t="n">
        <v>0</v>
      </c>
      <c r="K321" s="52" t="n">
        <v>0</v>
      </c>
      <c r="L321" s="53" t="n">
        <v>26.1</v>
      </c>
      <c r="M321" s="54"/>
      <c r="N321" s="51" t="n">
        <v>1.845205</v>
      </c>
      <c r="O321" s="55" t="n">
        <v>0</v>
      </c>
      <c r="P321" s="51" t="n">
        <v>288</v>
      </c>
      <c r="Q321" s="49" t="s">
        <v>2098</v>
      </c>
      <c r="R321" s="49" t="s">
        <v>2572</v>
      </c>
      <c r="S321" s="53" t="n">
        <v>0</v>
      </c>
      <c r="T321" s="51" t="n">
        <v>1</v>
      </c>
      <c r="U321" s="56" t="n">
        <f aca="false">I321*O321</f>
        <v>0</v>
      </c>
      <c r="V321" s="56" t="n">
        <f aca="false">J321*O321</f>
        <v>0</v>
      </c>
      <c r="W321" s="56" t="n">
        <f aca="false">((I321+J321)/2)*O321</f>
        <v>0</v>
      </c>
      <c r="X321" s="56" t="n">
        <f aca="false">H321*O321</f>
        <v>0</v>
      </c>
    </row>
    <row r="322" customFormat="false" ht="22.35" hidden="false" customHeight="false" outlineLevel="0" collapsed="false">
      <c r="A322" s="76" t="s">
        <v>2063</v>
      </c>
      <c r="B322" s="7" t="s">
        <v>2626</v>
      </c>
      <c r="C322" s="7" t="s">
        <v>2627</v>
      </c>
      <c r="D322" s="7" t="s">
        <v>2570</v>
      </c>
      <c r="E322" s="77" t="s">
        <v>2571</v>
      </c>
      <c r="F322" s="7" t="s">
        <v>2097</v>
      </c>
      <c r="G322" s="7" t="s">
        <v>2097</v>
      </c>
      <c r="H322" s="9" t="n">
        <v>216</v>
      </c>
      <c r="I322" s="9" t="n">
        <v>0</v>
      </c>
      <c r="J322" s="9" t="n">
        <v>0</v>
      </c>
      <c r="K322" s="52" t="n">
        <v>0</v>
      </c>
      <c r="L322" s="58" t="n">
        <v>26.1</v>
      </c>
      <c r="M322" s="59"/>
      <c r="N322" s="9" t="n">
        <v>2.509589</v>
      </c>
      <c r="O322" s="8" t="n">
        <v>0</v>
      </c>
      <c r="P322" s="9" t="n">
        <v>216</v>
      </c>
      <c r="Q322" s="7" t="s">
        <v>2098</v>
      </c>
      <c r="R322" s="7" t="s">
        <v>2572</v>
      </c>
      <c r="S322" s="58" t="n">
        <v>0</v>
      </c>
      <c r="T322" s="9" t="n">
        <v>1</v>
      </c>
      <c r="U322" s="56" t="n">
        <f aca="false">I322*O322</f>
        <v>0</v>
      </c>
      <c r="V322" s="56" t="n">
        <f aca="false">J322*O322</f>
        <v>0</v>
      </c>
      <c r="W322" s="56" t="n">
        <f aca="false">((I322+J322)/2)*O322</f>
        <v>0</v>
      </c>
      <c r="X322" s="56" t="n">
        <f aca="false">H322*O322</f>
        <v>0</v>
      </c>
    </row>
    <row r="323" customFormat="false" ht="22.35" hidden="false" customHeight="false" outlineLevel="0" collapsed="false">
      <c r="A323" s="76" t="s">
        <v>2063</v>
      </c>
      <c r="B323" s="49" t="s">
        <v>2628</v>
      </c>
      <c r="C323" s="49" t="s">
        <v>2629</v>
      </c>
      <c r="D323" s="49" t="s">
        <v>2570</v>
      </c>
      <c r="E323" s="77" t="s">
        <v>2571</v>
      </c>
      <c r="F323" s="49" t="s">
        <v>2097</v>
      </c>
      <c r="G323" s="49" t="s">
        <v>2097</v>
      </c>
      <c r="H323" s="51" t="n">
        <v>216</v>
      </c>
      <c r="I323" s="51" t="n">
        <v>0</v>
      </c>
      <c r="J323" s="51" t="n">
        <v>0</v>
      </c>
      <c r="K323" s="52" t="n">
        <v>0</v>
      </c>
      <c r="L323" s="53" t="n">
        <v>26.1</v>
      </c>
      <c r="M323" s="54"/>
      <c r="N323" s="51" t="n">
        <v>2.910959</v>
      </c>
      <c r="O323" s="55" t="n">
        <v>0</v>
      </c>
      <c r="P323" s="51" t="n">
        <v>216</v>
      </c>
      <c r="Q323" s="49" t="s">
        <v>2098</v>
      </c>
      <c r="R323" s="49" t="s">
        <v>2572</v>
      </c>
      <c r="S323" s="53" t="n">
        <v>0</v>
      </c>
      <c r="T323" s="51" t="n">
        <v>1</v>
      </c>
      <c r="U323" s="56" t="n">
        <f aca="false">I323*O323</f>
        <v>0</v>
      </c>
      <c r="V323" s="56" t="n">
        <f aca="false">J323*O323</f>
        <v>0</v>
      </c>
      <c r="W323" s="56" t="n">
        <f aca="false">((I323+J323)/2)*O323</f>
        <v>0</v>
      </c>
      <c r="X323" s="56" t="n">
        <f aca="false">H323*O323</f>
        <v>0</v>
      </c>
    </row>
    <row r="324" customFormat="false" ht="22.35" hidden="false" customHeight="false" outlineLevel="0" collapsed="false">
      <c r="A324" s="76" t="s">
        <v>2063</v>
      </c>
      <c r="B324" s="7" t="s">
        <v>2630</v>
      </c>
      <c r="C324" s="7" t="s">
        <v>2631</v>
      </c>
      <c r="D324" s="7" t="s">
        <v>2570</v>
      </c>
      <c r="E324" s="77" t="s">
        <v>2571</v>
      </c>
      <c r="F324" s="7" t="s">
        <v>2097</v>
      </c>
      <c r="G324" s="7" t="s">
        <v>2097</v>
      </c>
      <c r="H324" s="9" t="n">
        <v>72</v>
      </c>
      <c r="I324" s="9" t="n">
        <v>0</v>
      </c>
      <c r="J324" s="9" t="n">
        <v>0</v>
      </c>
      <c r="K324" s="52" t="n">
        <v>0</v>
      </c>
      <c r="L324" s="58" t="n">
        <v>26.1</v>
      </c>
      <c r="M324" s="59"/>
      <c r="N324" s="9" t="n">
        <v>1.335616</v>
      </c>
      <c r="O324" s="8" t="n">
        <v>0</v>
      </c>
      <c r="P324" s="9" t="n">
        <v>72</v>
      </c>
      <c r="Q324" s="7" t="s">
        <v>2098</v>
      </c>
      <c r="R324" s="7" t="s">
        <v>2572</v>
      </c>
      <c r="S324" s="58" t="n">
        <v>0</v>
      </c>
      <c r="T324" s="9" t="n">
        <v>12</v>
      </c>
      <c r="U324" s="56" t="n">
        <f aca="false">I324*O324</f>
        <v>0</v>
      </c>
      <c r="V324" s="56" t="n">
        <f aca="false">J324*O324</f>
        <v>0</v>
      </c>
      <c r="W324" s="56" t="n">
        <f aca="false">((I324+J324)/2)*O324</f>
        <v>0</v>
      </c>
      <c r="X324" s="56" t="n">
        <f aca="false">H324*O324</f>
        <v>0</v>
      </c>
    </row>
    <row r="325" customFormat="false" ht="22.35" hidden="false" customHeight="false" outlineLevel="0" collapsed="false">
      <c r="A325" s="76" t="s">
        <v>2063</v>
      </c>
      <c r="B325" s="49" t="s">
        <v>2632</v>
      </c>
      <c r="C325" s="49" t="s">
        <v>2631</v>
      </c>
      <c r="D325" s="49" t="s">
        <v>2570</v>
      </c>
      <c r="E325" s="77" t="s">
        <v>2571</v>
      </c>
      <c r="F325" s="49" t="s">
        <v>2097</v>
      </c>
      <c r="G325" s="49" t="s">
        <v>2097</v>
      </c>
      <c r="H325" s="51" t="n">
        <v>64</v>
      </c>
      <c r="I325" s="51" t="n">
        <v>0</v>
      </c>
      <c r="J325" s="51" t="n">
        <v>0</v>
      </c>
      <c r="K325" s="52" t="n">
        <v>0</v>
      </c>
      <c r="L325" s="53" t="n">
        <v>26.1</v>
      </c>
      <c r="M325" s="54"/>
      <c r="N325" s="51" t="n">
        <v>1.191781</v>
      </c>
      <c r="O325" s="55" t="n">
        <v>0</v>
      </c>
      <c r="P325" s="51" t="n">
        <v>64</v>
      </c>
      <c r="Q325" s="49" t="s">
        <v>2098</v>
      </c>
      <c r="R325" s="49" t="s">
        <v>2572</v>
      </c>
      <c r="S325" s="53" t="n">
        <v>0</v>
      </c>
      <c r="T325" s="51" t="n">
        <v>12</v>
      </c>
      <c r="U325" s="56" t="n">
        <f aca="false">I325*O325</f>
        <v>0</v>
      </c>
      <c r="V325" s="56" t="n">
        <f aca="false">J325*O325</f>
        <v>0</v>
      </c>
      <c r="W325" s="56" t="n">
        <f aca="false">((I325+J325)/2)*O325</f>
        <v>0</v>
      </c>
      <c r="X325" s="56" t="n">
        <f aca="false">H325*O325</f>
        <v>0</v>
      </c>
    </row>
    <row r="326" customFormat="false" ht="22.35" hidden="false" customHeight="false" outlineLevel="0" collapsed="false">
      <c r="A326" s="76" t="s">
        <v>2063</v>
      </c>
      <c r="B326" s="7" t="s">
        <v>2633</v>
      </c>
      <c r="C326" s="7" t="s">
        <v>2634</v>
      </c>
      <c r="D326" s="7" t="s">
        <v>2570</v>
      </c>
      <c r="E326" s="77" t="s">
        <v>2571</v>
      </c>
      <c r="F326" s="7" t="s">
        <v>2097</v>
      </c>
      <c r="G326" s="7" t="s">
        <v>2097</v>
      </c>
      <c r="H326" s="9" t="n">
        <v>48</v>
      </c>
      <c r="I326" s="9" t="n">
        <v>0</v>
      </c>
      <c r="J326" s="9" t="n">
        <v>0</v>
      </c>
      <c r="K326" s="52" t="n">
        <v>0</v>
      </c>
      <c r="L326" s="58" t="n">
        <v>89</v>
      </c>
      <c r="M326" s="59" t="n">
        <v>100</v>
      </c>
      <c r="N326" s="9" t="n">
        <v>0.6</v>
      </c>
      <c r="O326" s="8" t="n">
        <v>0</v>
      </c>
      <c r="P326" s="9" t="n">
        <v>48</v>
      </c>
      <c r="Q326" s="7" t="s">
        <v>2098</v>
      </c>
      <c r="R326" s="7" t="s">
        <v>2572</v>
      </c>
      <c r="S326" s="58" t="n">
        <v>0</v>
      </c>
      <c r="T326" s="9" t="n">
        <v>12</v>
      </c>
      <c r="U326" s="56" t="n">
        <f aca="false">I326*O326</f>
        <v>0</v>
      </c>
      <c r="V326" s="56" t="n">
        <f aca="false">J326*O326</f>
        <v>0</v>
      </c>
      <c r="W326" s="56" t="n">
        <f aca="false">((I326+J326)/2)*O326</f>
        <v>0</v>
      </c>
      <c r="X326" s="56" t="n">
        <f aca="false">H326*O326</f>
        <v>0</v>
      </c>
    </row>
    <row r="327" customFormat="false" ht="22.35" hidden="false" customHeight="false" outlineLevel="0" collapsed="false">
      <c r="A327" s="76" t="s">
        <v>2063</v>
      </c>
      <c r="B327" s="49" t="s">
        <v>2635</v>
      </c>
      <c r="C327" s="49" t="s">
        <v>2634</v>
      </c>
      <c r="D327" s="49" t="s">
        <v>2570</v>
      </c>
      <c r="E327" s="77" t="s">
        <v>2571</v>
      </c>
      <c r="F327" s="49" t="s">
        <v>2097</v>
      </c>
      <c r="G327" s="49" t="s">
        <v>2097</v>
      </c>
      <c r="H327" s="51" t="n">
        <v>48</v>
      </c>
      <c r="I327" s="51" t="n">
        <v>0</v>
      </c>
      <c r="J327" s="51" t="n">
        <v>0</v>
      </c>
      <c r="K327" s="52" t="n">
        <v>0</v>
      </c>
      <c r="L327" s="53" t="n">
        <v>26.1</v>
      </c>
      <c r="M327" s="54"/>
      <c r="N327" s="51" t="n">
        <v>0.680822</v>
      </c>
      <c r="O327" s="55" t="n">
        <v>0</v>
      </c>
      <c r="P327" s="51" t="n">
        <v>48</v>
      </c>
      <c r="Q327" s="49" t="s">
        <v>2098</v>
      </c>
      <c r="R327" s="49" t="s">
        <v>2572</v>
      </c>
      <c r="S327" s="53" t="n">
        <v>0</v>
      </c>
      <c r="T327" s="51" t="n">
        <v>12</v>
      </c>
      <c r="U327" s="56" t="n">
        <f aca="false">I327*O327</f>
        <v>0</v>
      </c>
      <c r="V327" s="56" t="n">
        <f aca="false">J327*O327</f>
        <v>0</v>
      </c>
      <c r="W327" s="56" t="n">
        <f aca="false">((I327+J327)/2)*O327</f>
        <v>0</v>
      </c>
      <c r="X327" s="56" t="n">
        <f aca="false">H327*O327</f>
        <v>0</v>
      </c>
    </row>
    <row r="328" customFormat="false" ht="22.35" hidden="false" customHeight="false" outlineLevel="0" collapsed="false">
      <c r="A328" s="76" t="s">
        <v>2063</v>
      </c>
      <c r="B328" s="7" t="s">
        <v>2636</v>
      </c>
      <c r="C328" s="7" t="s">
        <v>2637</v>
      </c>
      <c r="D328" s="7" t="s">
        <v>2570</v>
      </c>
      <c r="E328" s="77" t="s">
        <v>2571</v>
      </c>
      <c r="F328" s="7" t="s">
        <v>2097</v>
      </c>
      <c r="G328" s="7" t="s">
        <v>2097</v>
      </c>
      <c r="H328" s="9" t="n">
        <v>96</v>
      </c>
      <c r="I328" s="9" t="n">
        <v>0</v>
      </c>
      <c r="J328" s="9" t="n">
        <v>0</v>
      </c>
      <c r="K328" s="52" t="n">
        <v>0</v>
      </c>
      <c r="L328" s="58" t="n">
        <v>26.1</v>
      </c>
      <c r="M328" s="59"/>
      <c r="N328" s="9" t="n">
        <v>1.806849</v>
      </c>
      <c r="O328" s="8" t="n">
        <v>0</v>
      </c>
      <c r="P328" s="9" t="n">
        <v>96</v>
      </c>
      <c r="Q328" s="7" t="s">
        <v>2098</v>
      </c>
      <c r="R328" s="7" t="s">
        <v>2572</v>
      </c>
      <c r="S328" s="58" t="n">
        <v>0</v>
      </c>
      <c r="T328" s="9" t="n">
        <v>24</v>
      </c>
      <c r="U328" s="56" t="n">
        <f aca="false">I328*O328</f>
        <v>0</v>
      </c>
      <c r="V328" s="56" t="n">
        <f aca="false">J328*O328</f>
        <v>0</v>
      </c>
      <c r="W328" s="56" t="n">
        <f aca="false">((I328+J328)/2)*O328</f>
        <v>0</v>
      </c>
      <c r="X328" s="56" t="n">
        <f aca="false">H328*O328</f>
        <v>0</v>
      </c>
    </row>
    <row r="329" customFormat="false" ht="22.35" hidden="false" customHeight="false" outlineLevel="0" collapsed="false">
      <c r="A329" s="76" t="s">
        <v>2063</v>
      </c>
      <c r="B329" s="49" t="s">
        <v>2638</v>
      </c>
      <c r="C329" s="49" t="s">
        <v>2637</v>
      </c>
      <c r="D329" s="49" t="s">
        <v>2570</v>
      </c>
      <c r="E329" s="77" t="s">
        <v>2571</v>
      </c>
      <c r="F329" s="49" t="s">
        <v>2097</v>
      </c>
      <c r="G329" s="49" t="s">
        <v>2097</v>
      </c>
      <c r="H329" s="51" t="n">
        <v>96</v>
      </c>
      <c r="I329" s="51" t="n">
        <v>0</v>
      </c>
      <c r="J329" s="51" t="n">
        <v>0</v>
      </c>
      <c r="K329" s="52" t="n">
        <v>0</v>
      </c>
      <c r="L329" s="53" t="n">
        <v>26.1</v>
      </c>
      <c r="M329" s="54"/>
      <c r="N329" s="51" t="n">
        <v>1.627397</v>
      </c>
      <c r="O329" s="55" t="n">
        <v>0</v>
      </c>
      <c r="P329" s="51" t="n">
        <v>96</v>
      </c>
      <c r="Q329" s="49" t="s">
        <v>2098</v>
      </c>
      <c r="R329" s="49" t="s">
        <v>2572</v>
      </c>
      <c r="S329" s="53" t="n">
        <v>0</v>
      </c>
      <c r="T329" s="51" t="n">
        <v>24</v>
      </c>
      <c r="U329" s="56" t="n">
        <f aca="false">I329*O329</f>
        <v>0</v>
      </c>
      <c r="V329" s="56" t="n">
        <f aca="false">J329*O329</f>
        <v>0</v>
      </c>
      <c r="W329" s="56" t="n">
        <f aca="false">((I329+J329)/2)*O329</f>
        <v>0</v>
      </c>
      <c r="X329" s="56" t="n">
        <f aca="false">H329*O329</f>
        <v>0</v>
      </c>
    </row>
    <row r="330" customFormat="false" ht="22.35" hidden="false" customHeight="false" outlineLevel="0" collapsed="false">
      <c r="A330" s="76" t="s">
        <v>2063</v>
      </c>
      <c r="B330" s="7" t="s">
        <v>2639</v>
      </c>
      <c r="C330" s="7" t="s">
        <v>2640</v>
      </c>
      <c r="D330" s="7" t="s">
        <v>2570</v>
      </c>
      <c r="E330" s="77" t="s">
        <v>2571</v>
      </c>
      <c r="F330" s="7" t="s">
        <v>2097</v>
      </c>
      <c r="G330" s="7" t="s">
        <v>2097</v>
      </c>
      <c r="H330" s="9" t="n">
        <v>48</v>
      </c>
      <c r="I330" s="9" t="n">
        <v>0</v>
      </c>
      <c r="J330" s="9" t="n">
        <v>0</v>
      </c>
      <c r="K330" s="52" t="n">
        <v>0</v>
      </c>
      <c r="L330" s="58" t="n">
        <v>17.2</v>
      </c>
      <c r="M330" s="59" t="n">
        <v>97.5</v>
      </c>
      <c r="N330" s="9" t="n">
        <v>0.735616</v>
      </c>
      <c r="O330" s="8" t="n">
        <v>0</v>
      </c>
      <c r="P330" s="9" t="n">
        <v>48</v>
      </c>
      <c r="Q330" s="7" t="s">
        <v>2098</v>
      </c>
      <c r="R330" s="7" t="s">
        <v>2572</v>
      </c>
      <c r="S330" s="58" t="n">
        <v>0</v>
      </c>
      <c r="T330" s="9" t="n">
        <v>12</v>
      </c>
      <c r="U330" s="56" t="n">
        <f aca="false">I330*O330</f>
        <v>0</v>
      </c>
      <c r="V330" s="56" t="n">
        <f aca="false">J330*O330</f>
        <v>0</v>
      </c>
      <c r="W330" s="56" t="n">
        <f aca="false">((I330+J330)/2)*O330</f>
        <v>0</v>
      </c>
      <c r="X330" s="56" t="n">
        <f aca="false">H330*O330</f>
        <v>0</v>
      </c>
    </row>
    <row r="331" customFormat="false" ht="22.35" hidden="false" customHeight="false" outlineLevel="0" collapsed="false">
      <c r="A331" s="76" t="s">
        <v>2063</v>
      </c>
      <c r="B331" s="49" t="s">
        <v>2641</v>
      </c>
      <c r="C331" s="49" t="s">
        <v>2640</v>
      </c>
      <c r="D331" s="49" t="s">
        <v>2570</v>
      </c>
      <c r="E331" s="77" t="s">
        <v>2571</v>
      </c>
      <c r="F331" s="49" t="s">
        <v>2097</v>
      </c>
      <c r="G331" s="49" t="s">
        <v>2097</v>
      </c>
      <c r="H331" s="51" t="n">
        <v>36</v>
      </c>
      <c r="I331" s="51" t="n">
        <v>0</v>
      </c>
      <c r="J331" s="51" t="n">
        <v>0</v>
      </c>
      <c r="K331" s="52" t="n">
        <v>0</v>
      </c>
      <c r="L331" s="53" t="n">
        <v>16.8</v>
      </c>
      <c r="M331" s="54" t="n">
        <v>97.1</v>
      </c>
      <c r="N331" s="51" t="n">
        <v>0.919178</v>
      </c>
      <c r="O331" s="55" t="n">
        <v>0</v>
      </c>
      <c r="P331" s="51" t="n">
        <v>36</v>
      </c>
      <c r="Q331" s="49" t="s">
        <v>2098</v>
      </c>
      <c r="R331" s="49" t="s">
        <v>2572</v>
      </c>
      <c r="S331" s="53" t="n">
        <v>0</v>
      </c>
      <c r="T331" s="51" t="n">
        <v>12</v>
      </c>
      <c r="U331" s="56" t="n">
        <f aca="false">I331*O331</f>
        <v>0</v>
      </c>
      <c r="V331" s="56" t="n">
        <f aca="false">J331*O331</f>
        <v>0</v>
      </c>
      <c r="W331" s="56" t="n">
        <f aca="false">((I331+J331)/2)*O331</f>
        <v>0</v>
      </c>
      <c r="X331" s="56" t="n">
        <f aca="false">H331*O331</f>
        <v>0</v>
      </c>
    </row>
    <row r="332" customFormat="false" ht="22.35" hidden="false" customHeight="false" outlineLevel="0" collapsed="false">
      <c r="A332" s="76" t="s">
        <v>2063</v>
      </c>
      <c r="B332" s="7" t="s">
        <v>2642</v>
      </c>
      <c r="C332" s="7" t="s">
        <v>2643</v>
      </c>
      <c r="D332" s="7" t="s">
        <v>2570</v>
      </c>
      <c r="E332" s="77" t="s">
        <v>2571</v>
      </c>
      <c r="F332" s="7" t="s">
        <v>2097</v>
      </c>
      <c r="G332" s="7" t="s">
        <v>2097</v>
      </c>
      <c r="H332" s="9" t="n">
        <v>12</v>
      </c>
      <c r="I332" s="9" t="n">
        <v>0</v>
      </c>
      <c r="J332" s="9" t="n">
        <v>0</v>
      </c>
      <c r="K332" s="52" t="n">
        <v>0</v>
      </c>
      <c r="L332" s="58" t="n">
        <v>16.3</v>
      </c>
      <c r="M332" s="59" t="n">
        <v>96</v>
      </c>
      <c r="N332" s="9" t="n">
        <v>0.231507</v>
      </c>
      <c r="O332" s="8" t="n">
        <v>0</v>
      </c>
      <c r="P332" s="9" t="n">
        <v>12</v>
      </c>
      <c r="Q332" s="7" t="s">
        <v>2098</v>
      </c>
      <c r="R332" s="7" t="s">
        <v>2572</v>
      </c>
      <c r="S332" s="58" t="n">
        <v>0</v>
      </c>
      <c r="T332" s="9" t="n">
        <v>4</v>
      </c>
      <c r="U332" s="56" t="n">
        <f aca="false">I332*O332</f>
        <v>0</v>
      </c>
      <c r="V332" s="56" t="n">
        <f aca="false">J332*O332</f>
        <v>0</v>
      </c>
      <c r="W332" s="56" t="n">
        <f aca="false">((I332+J332)/2)*O332</f>
        <v>0</v>
      </c>
      <c r="X332" s="56" t="n">
        <f aca="false">H332*O332</f>
        <v>0</v>
      </c>
    </row>
    <row r="333" customFormat="false" ht="22.35" hidden="false" customHeight="false" outlineLevel="0" collapsed="false">
      <c r="A333" s="76" t="s">
        <v>2063</v>
      </c>
      <c r="B333" s="49" t="s">
        <v>2644</v>
      </c>
      <c r="C333" s="49" t="s">
        <v>2645</v>
      </c>
      <c r="D333" s="49" t="s">
        <v>2570</v>
      </c>
      <c r="E333" s="77" t="s">
        <v>2571</v>
      </c>
      <c r="F333" s="49" t="s">
        <v>2097</v>
      </c>
      <c r="G333" s="49" t="s">
        <v>2097</v>
      </c>
      <c r="H333" s="51" t="n">
        <v>3</v>
      </c>
      <c r="I333" s="51" t="n">
        <v>0</v>
      </c>
      <c r="J333" s="51" t="n">
        <v>0</v>
      </c>
      <c r="K333" s="52" t="n">
        <v>0</v>
      </c>
      <c r="L333" s="53" t="n">
        <v>14.8</v>
      </c>
      <c r="M333" s="54" t="n">
        <v>100</v>
      </c>
      <c r="N333" s="51" t="n">
        <v>0.039726</v>
      </c>
      <c r="O333" s="55" t="n">
        <v>0</v>
      </c>
      <c r="P333" s="51" t="n">
        <v>3</v>
      </c>
      <c r="Q333" s="49" t="s">
        <v>2098</v>
      </c>
      <c r="R333" s="49" t="s">
        <v>2572</v>
      </c>
      <c r="S333" s="53" t="n">
        <v>0</v>
      </c>
      <c r="T333" s="51" t="n">
        <v>4</v>
      </c>
      <c r="U333" s="56" t="n">
        <f aca="false">I333*O333</f>
        <v>0</v>
      </c>
      <c r="V333" s="56" t="n">
        <f aca="false">J333*O333</f>
        <v>0</v>
      </c>
      <c r="W333" s="56" t="n">
        <f aca="false">((I333+J333)/2)*O333</f>
        <v>0</v>
      </c>
      <c r="X333" s="56" t="n">
        <f aca="false">H333*O333</f>
        <v>0</v>
      </c>
    </row>
    <row r="334" customFormat="false" ht="22.35" hidden="false" customHeight="false" outlineLevel="0" collapsed="false">
      <c r="A334" s="76" t="s">
        <v>2063</v>
      </c>
      <c r="B334" s="7" t="s">
        <v>2646</v>
      </c>
      <c r="C334" s="7" t="s">
        <v>2647</v>
      </c>
      <c r="D334" s="7" t="s">
        <v>2570</v>
      </c>
      <c r="E334" s="77" t="s">
        <v>2571</v>
      </c>
      <c r="F334" s="7" t="s">
        <v>2097</v>
      </c>
      <c r="G334" s="7" t="s">
        <v>2097</v>
      </c>
      <c r="H334" s="9" t="n">
        <v>112</v>
      </c>
      <c r="I334" s="9" t="n">
        <v>0</v>
      </c>
      <c r="J334" s="9" t="n">
        <v>0</v>
      </c>
      <c r="K334" s="52" t="n">
        <v>0</v>
      </c>
      <c r="L334" s="58" t="n">
        <v>16.3</v>
      </c>
      <c r="M334" s="59" t="n">
        <v>97.9</v>
      </c>
      <c r="N334" s="9" t="n">
        <v>2.39863</v>
      </c>
      <c r="O334" s="8" t="n">
        <v>0</v>
      </c>
      <c r="P334" s="9" t="n">
        <v>112</v>
      </c>
      <c r="Q334" s="7" t="s">
        <v>2098</v>
      </c>
      <c r="R334" s="7" t="s">
        <v>2572</v>
      </c>
      <c r="S334" s="58" t="n">
        <v>0</v>
      </c>
      <c r="T334" s="9" t="n">
        <v>24</v>
      </c>
      <c r="U334" s="56" t="n">
        <f aca="false">I334*O334</f>
        <v>0</v>
      </c>
      <c r="V334" s="56" t="n">
        <f aca="false">J334*O334</f>
        <v>0</v>
      </c>
      <c r="W334" s="56" t="n">
        <f aca="false">((I334+J334)/2)*O334</f>
        <v>0</v>
      </c>
      <c r="X334" s="56" t="n">
        <f aca="false">H334*O334</f>
        <v>0</v>
      </c>
    </row>
    <row r="335" customFormat="false" ht="22.35" hidden="false" customHeight="false" outlineLevel="0" collapsed="false">
      <c r="A335" s="76" t="s">
        <v>2063</v>
      </c>
      <c r="B335" s="49" t="s">
        <v>2648</v>
      </c>
      <c r="C335" s="49" t="s">
        <v>2647</v>
      </c>
      <c r="D335" s="49" t="s">
        <v>2570</v>
      </c>
      <c r="E335" s="77" t="s">
        <v>2571</v>
      </c>
      <c r="F335" s="49" t="s">
        <v>2097</v>
      </c>
      <c r="G335" s="49" t="s">
        <v>2097</v>
      </c>
      <c r="H335" s="51" t="n">
        <v>144</v>
      </c>
      <c r="I335" s="51" t="n">
        <v>0</v>
      </c>
      <c r="J335" s="51" t="n">
        <v>0</v>
      </c>
      <c r="K335" s="52" t="n">
        <v>0</v>
      </c>
      <c r="L335" s="53" t="n">
        <v>17</v>
      </c>
      <c r="M335" s="54" t="n">
        <v>97.4</v>
      </c>
      <c r="N335" s="51" t="n">
        <v>2.978082</v>
      </c>
      <c r="O335" s="55" t="n">
        <v>0</v>
      </c>
      <c r="P335" s="51" t="n">
        <v>144</v>
      </c>
      <c r="Q335" s="49" t="s">
        <v>2098</v>
      </c>
      <c r="R335" s="49" t="s">
        <v>2572</v>
      </c>
      <c r="S335" s="53" t="n">
        <v>0</v>
      </c>
      <c r="T335" s="51" t="n">
        <v>24</v>
      </c>
      <c r="U335" s="56" t="n">
        <f aca="false">I335*O335</f>
        <v>0</v>
      </c>
      <c r="V335" s="56" t="n">
        <f aca="false">J335*O335</f>
        <v>0</v>
      </c>
      <c r="W335" s="56" t="n">
        <f aca="false">((I335+J335)/2)*O335</f>
        <v>0</v>
      </c>
      <c r="X335" s="56" t="n">
        <f aca="false">H335*O335</f>
        <v>0</v>
      </c>
    </row>
    <row r="336" customFormat="false" ht="22.35" hidden="false" customHeight="false" outlineLevel="0" collapsed="false">
      <c r="A336" s="76" t="s">
        <v>2063</v>
      </c>
      <c r="B336" s="7" t="s">
        <v>2649</v>
      </c>
      <c r="C336" s="7" t="s">
        <v>2650</v>
      </c>
      <c r="D336" s="7" t="s">
        <v>2570</v>
      </c>
      <c r="E336" s="77" t="s">
        <v>2571</v>
      </c>
      <c r="F336" s="7" t="s">
        <v>2097</v>
      </c>
      <c r="G336" s="7" t="s">
        <v>2097</v>
      </c>
      <c r="H336" s="9" t="n">
        <v>48</v>
      </c>
      <c r="I336" s="9" t="n">
        <v>0</v>
      </c>
      <c r="J336" s="9" t="n">
        <v>0</v>
      </c>
      <c r="K336" s="52" t="n">
        <v>0</v>
      </c>
      <c r="L336" s="58" t="n">
        <v>16.9</v>
      </c>
      <c r="M336" s="59" t="n">
        <v>94.3</v>
      </c>
      <c r="N336" s="9" t="n">
        <v>0.872603</v>
      </c>
      <c r="O336" s="8" t="n">
        <v>0</v>
      </c>
      <c r="P336" s="9" t="n">
        <v>48</v>
      </c>
      <c r="Q336" s="7" t="s">
        <v>2098</v>
      </c>
      <c r="R336" s="7" t="s">
        <v>2572</v>
      </c>
      <c r="S336" s="58" t="n">
        <v>0</v>
      </c>
      <c r="T336" s="9" t="n">
        <v>12</v>
      </c>
      <c r="U336" s="56" t="n">
        <f aca="false">I336*O336</f>
        <v>0</v>
      </c>
      <c r="V336" s="56" t="n">
        <f aca="false">J336*O336</f>
        <v>0</v>
      </c>
      <c r="W336" s="56" t="n">
        <f aca="false">((I336+J336)/2)*O336</f>
        <v>0</v>
      </c>
      <c r="X336" s="56" t="n">
        <f aca="false">H336*O336</f>
        <v>0</v>
      </c>
    </row>
    <row r="337" customFormat="false" ht="22.35" hidden="false" customHeight="false" outlineLevel="0" collapsed="false">
      <c r="A337" s="76" t="s">
        <v>2063</v>
      </c>
      <c r="B337" s="49" t="s">
        <v>2651</v>
      </c>
      <c r="C337" s="49" t="s">
        <v>2650</v>
      </c>
      <c r="D337" s="49" t="s">
        <v>2570</v>
      </c>
      <c r="E337" s="77" t="s">
        <v>2571</v>
      </c>
      <c r="F337" s="49" t="s">
        <v>2097</v>
      </c>
      <c r="G337" s="49" t="s">
        <v>2097</v>
      </c>
      <c r="H337" s="51" t="n">
        <v>24</v>
      </c>
      <c r="I337" s="51" t="n">
        <v>0</v>
      </c>
      <c r="J337" s="51" t="n">
        <v>0</v>
      </c>
      <c r="K337" s="52" t="n">
        <v>0</v>
      </c>
      <c r="L337" s="53" t="n">
        <v>16.6</v>
      </c>
      <c r="M337" s="54" t="n">
        <v>92.8</v>
      </c>
      <c r="N337" s="51" t="n">
        <v>0.539726</v>
      </c>
      <c r="O337" s="55" t="n">
        <v>0</v>
      </c>
      <c r="P337" s="51" t="n">
        <v>24</v>
      </c>
      <c r="Q337" s="49" t="s">
        <v>2098</v>
      </c>
      <c r="R337" s="49" t="s">
        <v>2572</v>
      </c>
      <c r="S337" s="53" t="n">
        <v>0</v>
      </c>
      <c r="T337" s="51" t="n">
        <v>8</v>
      </c>
      <c r="U337" s="56" t="n">
        <f aca="false">I337*O337</f>
        <v>0</v>
      </c>
      <c r="V337" s="56" t="n">
        <f aca="false">J337*O337</f>
        <v>0</v>
      </c>
      <c r="W337" s="56" t="n">
        <f aca="false">((I337+J337)/2)*O337</f>
        <v>0</v>
      </c>
      <c r="X337" s="56" t="n">
        <f aca="false">H337*O337</f>
        <v>0</v>
      </c>
    </row>
    <row r="338" customFormat="false" ht="22.35" hidden="false" customHeight="false" outlineLevel="0" collapsed="false">
      <c r="A338" s="76" t="s">
        <v>2063</v>
      </c>
      <c r="B338" s="7" t="s">
        <v>2652</v>
      </c>
      <c r="C338" s="7" t="s">
        <v>2653</v>
      </c>
      <c r="D338" s="7" t="s">
        <v>2570</v>
      </c>
      <c r="E338" s="77" t="s">
        <v>2571</v>
      </c>
      <c r="F338" s="7" t="s">
        <v>2097</v>
      </c>
      <c r="G338" s="7" t="s">
        <v>2097</v>
      </c>
      <c r="H338" s="9" t="n">
        <v>16</v>
      </c>
      <c r="I338" s="9" t="n">
        <v>0</v>
      </c>
      <c r="J338" s="9" t="n">
        <v>0</v>
      </c>
      <c r="K338" s="52" t="n">
        <v>0</v>
      </c>
      <c r="L338" s="58" t="n">
        <v>17</v>
      </c>
      <c r="M338" s="59" t="n">
        <v>93.5</v>
      </c>
      <c r="N338" s="9" t="n">
        <v>0.212329</v>
      </c>
      <c r="O338" s="8" t="n">
        <v>0</v>
      </c>
      <c r="P338" s="9" t="n">
        <v>16</v>
      </c>
      <c r="Q338" s="7" t="s">
        <v>2098</v>
      </c>
      <c r="R338" s="7" t="s">
        <v>2572</v>
      </c>
      <c r="S338" s="58" t="n">
        <v>0</v>
      </c>
      <c r="T338" s="9" t="n">
        <v>6</v>
      </c>
      <c r="U338" s="56" t="n">
        <f aca="false">I338*O338</f>
        <v>0</v>
      </c>
      <c r="V338" s="56" t="n">
        <f aca="false">J338*O338</f>
        <v>0</v>
      </c>
      <c r="W338" s="56" t="n">
        <f aca="false">((I338+J338)/2)*O338</f>
        <v>0</v>
      </c>
      <c r="X338" s="56" t="n">
        <f aca="false">H338*O338</f>
        <v>0</v>
      </c>
    </row>
    <row r="339" customFormat="false" ht="22.35" hidden="false" customHeight="false" outlineLevel="0" collapsed="false">
      <c r="A339" s="76" t="s">
        <v>2063</v>
      </c>
      <c r="B339" s="49" t="s">
        <v>2654</v>
      </c>
      <c r="C339" s="49" t="s">
        <v>2655</v>
      </c>
      <c r="D339" s="49" t="s">
        <v>2570</v>
      </c>
      <c r="E339" s="77" t="s">
        <v>2571</v>
      </c>
      <c r="F339" s="49" t="s">
        <v>2097</v>
      </c>
      <c r="G339" s="49" t="s">
        <v>2097</v>
      </c>
      <c r="H339" s="51" t="n">
        <v>20</v>
      </c>
      <c r="I339" s="51" t="n">
        <v>0</v>
      </c>
      <c r="J339" s="51" t="n">
        <v>0</v>
      </c>
      <c r="K339" s="52" t="n">
        <v>0</v>
      </c>
      <c r="L339" s="53" t="n">
        <v>17.2</v>
      </c>
      <c r="M339" s="54" t="n">
        <v>94.5</v>
      </c>
      <c r="N339" s="51" t="n">
        <v>0.438356</v>
      </c>
      <c r="O339" s="55" t="n">
        <v>0</v>
      </c>
      <c r="P339" s="51" t="n">
        <v>20</v>
      </c>
      <c r="Q339" s="49" t="s">
        <v>2098</v>
      </c>
      <c r="R339" s="49" t="s">
        <v>2572</v>
      </c>
      <c r="S339" s="53" t="n">
        <v>0</v>
      </c>
      <c r="T339" s="51" t="n">
        <v>8</v>
      </c>
      <c r="U339" s="56" t="n">
        <f aca="false">I339*O339</f>
        <v>0</v>
      </c>
      <c r="V339" s="56" t="n">
        <f aca="false">J339*O339</f>
        <v>0</v>
      </c>
      <c r="W339" s="56" t="n">
        <f aca="false">((I339+J339)/2)*O339</f>
        <v>0</v>
      </c>
      <c r="X339" s="56" t="n">
        <f aca="false">H339*O339</f>
        <v>0</v>
      </c>
    </row>
    <row r="340" customFormat="false" ht="22.35" hidden="false" customHeight="false" outlineLevel="0" collapsed="false">
      <c r="A340" s="76" t="s">
        <v>2063</v>
      </c>
      <c r="B340" s="7" t="s">
        <v>2656</v>
      </c>
      <c r="C340" s="7" t="s">
        <v>2655</v>
      </c>
      <c r="D340" s="7" t="s">
        <v>2570</v>
      </c>
      <c r="E340" s="77" t="s">
        <v>2571</v>
      </c>
      <c r="F340" s="7" t="s">
        <v>2097</v>
      </c>
      <c r="G340" s="7" t="s">
        <v>2097</v>
      </c>
      <c r="H340" s="9" t="n">
        <v>32</v>
      </c>
      <c r="I340" s="9" t="n">
        <v>0</v>
      </c>
      <c r="J340" s="9" t="n">
        <v>0</v>
      </c>
      <c r="K340" s="52" t="n">
        <v>0</v>
      </c>
      <c r="L340" s="58" t="n">
        <v>17.5</v>
      </c>
      <c r="M340" s="59" t="n">
        <v>94.8</v>
      </c>
      <c r="N340" s="9" t="n">
        <v>0.630137</v>
      </c>
      <c r="O340" s="8" t="n">
        <v>0</v>
      </c>
      <c r="P340" s="9" t="n">
        <v>32</v>
      </c>
      <c r="Q340" s="7" t="s">
        <v>2098</v>
      </c>
      <c r="R340" s="7" t="s">
        <v>2572</v>
      </c>
      <c r="S340" s="58" t="n">
        <v>0</v>
      </c>
      <c r="T340" s="9" t="n">
        <v>8</v>
      </c>
      <c r="U340" s="56" t="n">
        <f aca="false">I340*O340</f>
        <v>0</v>
      </c>
      <c r="V340" s="56" t="n">
        <f aca="false">J340*O340</f>
        <v>0</v>
      </c>
      <c r="W340" s="56" t="n">
        <f aca="false">((I340+J340)/2)*O340</f>
        <v>0</v>
      </c>
      <c r="X340" s="56" t="n">
        <f aca="false">H340*O340</f>
        <v>0</v>
      </c>
    </row>
    <row r="341" customFormat="false" ht="22.35" hidden="false" customHeight="false" outlineLevel="0" collapsed="false">
      <c r="A341" s="76" t="s">
        <v>2063</v>
      </c>
      <c r="B341" s="49" t="s">
        <v>2657</v>
      </c>
      <c r="C341" s="49" t="s">
        <v>2658</v>
      </c>
      <c r="D341" s="49" t="s">
        <v>2570</v>
      </c>
      <c r="E341" s="77" t="s">
        <v>2571</v>
      </c>
      <c r="F341" s="49" t="s">
        <v>2097</v>
      </c>
      <c r="G341" s="49" t="s">
        <v>2097</v>
      </c>
      <c r="H341" s="51" t="n">
        <v>20</v>
      </c>
      <c r="I341" s="51" t="n">
        <v>0</v>
      </c>
      <c r="J341" s="51" t="n">
        <v>0</v>
      </c>
      <c r="K341" s="52" t="n">
        <v>0</v>
      </c>
      <c r="L341" s="53" t="n">
        <v>16.1</v>
      </c>
      <c r="M341" s="54" t="n">
        <v>97.5</v>
      </c>
      <c r="N341" s="51" t="n">
        <v>0.353425</v>
      </c>
      <c r="O341" s="55" t="n">
        <v>0</v>
      </c>
      <c r="P341" s="51" t="n">
        <v>20</v>
      </c>
      <c r="Q341" s="49" t="s">
        <v>2098</v>
      </c>
      <c r="R341" s="49" t="s">
        <v>2572</v>
      </c>
      <c r="S341" s="53" t="n">
        <v>0</v>
      </c>
      <c r="T341" s="51" t="n">
        <v>8</v>
      </c>
      <c r="U341" s="56" t="n">
        <f aca="false">I341*O341</f>
        <v>0</v>
      </c>
      <c r="V341" s="56" t="n">
        <f aca="false">J341*O341</f>
        <v>0</v>
      </c>
      <c r="W341" s="56" t="n">
        <f aca="false">((I341+J341)/2)*O341</f>
        <v>0</v>
      </c>
      <c r="X341" s="56" t="n">
        <f aca="false">H341*O341</f>
        <v>0</v>
      </c>
    </row>
    <row r="342" customFormat="false" ht="22.35" hidden="false" customHeight="false" outlineLevel="0" collapsed="false">
      <c r="A342" s="76" t="s">
        <v>2063</v>
      </c>
      <c r="B342" s="7" t="s">
        <v>2659</v>
      </c>
      <c r="C342" s="7" t="s">
        <v>2658</v>
      </c>
      <c r="D342" s="7" t="s">
        <v>2570</v>
      </c>
      <c r="E342" s="77" t="s">
        <v>2571</v>
      </c>
      <c r="F342" s="7" t="s">
        <v>2097</v>
      </c>
      <c r="G342" s="7" t="s">
        <v>2097</v>
      </c>
      <c r="H342" s="9" t="n">
        <v>12</v>
      </c>
      <c r="I342" s="9" t="n">
        <v>0</v>
      </c>
      <c r="J342" s="9" t="n">
        <v>0</v>
      </c>
      <c r="K342" s="52" t="n">
        <v>0</v>
      </c>
      <c r="L342" s="58" t="n">
        <v>16.8</v>
      </c>
      <c r="M342" s="59" t="n">
        <v>98.6</v>
      </c>
      <c r="N342" s="9" t="n">
        <v>0.236986</v>
      </c>
      <c r="O342" s="8" t="n">
        <v>0</v>
      </c>
      <c r="P342" s="9" t="n">
        <v>12</v>
      </c>
      <c r="Q342" s="7" t="s">
        <v>2098</v>
      </c>
      <c r="R342" s="7" t="s">
        <v>2572</v>
      </c>
      <c r="S342" s="58" t="n">
        <v>0</v>
      </c>
      <c r="T342" s="9" t="n">
        <v>4</v>
      </c>
      <c r="U342" s="56" t="n">
        <f aca="false">I342*O342</f>
        <v>0</v>
      </c>
      <c r="V342" s="56" t="n">
        <f aca="false">J342*O342</f>
        <v>0</v>
      </c>
      <c r="W342" s="56" t="n">
        <f aca="false">((I342+J342)/2)*O342</f>
        <v>0</v>
      </c>
      <c r="X342" s="56" t="n">
        <f aca="false">H342*O342</f>
        <v>0</v>
      </c>
    </row>
    <row r="343" customFormat="false" ht="22.35" hidden="false" customHeight="false" outlineLevel="0" collapsed="false">
      <c r="A343" s="76" t="s">
        <v>2063</v>
      </c>
      <c r="B343" s="49" t="s">
        <v>2660</v>
      </c>
      <c r="C343" s="49" t="s">
        <v>2661</v>
      </c>
      <c r="D343" s="49" t="s">
        <v>2570</v>
      </c>
      <c r="E343" s="77" t="s">
        <v>2571</v>
      </c>
      <c r="F343" s="49" t="s">
        <v>2097</v>
      </c>
      <c r="G343" s="49" t="s">
        <v>2097</v>
      </c>
      <c r="H343" s="51" t="n">
        <v>16</v>
      </c>
      <c r="I343" s="51" t="n">
        <v>0</v>
      </c>
      <c r="J343" s="51" t="n">
        <v>0</v>
      </c>
      <c r="K343" s="52" t="n">
        <v>0</v>
      </c>
      <c r="L343" s="53" t="n">
        <v>15.6</v>
      </c>
      <c r="M343" s="54" t="n">
        <v>97.2</v>
      </c>
      <c r="N343" s="51" t="n">
        <v>0.253425</v>
      </c>
      <c r="O343" s="55" t="n">
        <v>0</v>
      </c>
      <c r="P343" s="51" t="n">
        <v>16</v>
      </c>
      <c r="Q343" s="49" t="s">
        <v>2098</v>
      </c>
      <c r="R343" s="49" t="s">
        <v>2572</v>
      </c>
      <c r="S343" s="53" t="n">
        <v>0</v>
      </c>
      <c r="T343" s="51" t="n">
        <v>4</v>
      </c>
      <c r="U343" s="56" t="n">
        <f aca="false">I343*O343</f>
        <v>0</v>
      </c>
      <c r="V343" s="56" t="n">
        <f aca="false">J343*O343</f>
        <v>0</v>
      </c>
      <c r="W343" s="56" t="n">
        <f aca="false">((I343+J343)/2)*O343</f>
        <v>0</v>
      </c>
      <c r="X343" s="56" t="n">
        <f aca="false">H343*O343</f>
        <v>0</v>
      </c>
    </row>
    <row r="344" customFormat="false" ht="22.35" hidden="false" customHeight="false" outlineLevel="0" collapsed="false">
      <c r="A344" s="76" t="s">
        <v>2063</v>
      </c>
      <c r="B344" s="7" t="s">
        <v>2662</v>
      </c>
      <c r="C344" s="7" t="s">
        <v>2661</v>
      </c>
      <c r="D344" s="7" t="s">
        <v>2570</v>
      </c>
      <c r="E344" s="77" t="s">
        <v>2571</v>
      </c>
      <c r="F344" s="7" t="s">
        <v>2097</v>
      </c>
      <c r="G344" s="7" t="s">
        <v>2097</v>
      </c>
      <c r="H344" s="9" t="n">
        <v>8</v>
      </c>
      <c r="I344" s="9" t="n">
        <v>0</v>
      </c>
      <c r="J344" s="9" t="n">
        <v>0</v>
      </c>
      <c r="K344" s="52" t="n">
        <v>0</v>
      </c>
      <c r="L344" s="58" t="n">
        <v>15.8</v>
      </c>
      <c r="M344" s="59" t="n">
        <v>91.9</v>
      </c>
      <c r="N344" s="9" t="n">
        <v>0.167123</v>
      </c>
      <c r="O344" s="8" t="n">
        <v>0</v>
      </c>
      <c r="P344" s="9" t="n">
        <v>8</v>
      </c>
      <c r="Q344" s="7" t="s">
        <v>2098</v>
      </c>
      <c r="R344" s="7" t="s">
        <v>2572</v>
      </c>
      <c r="S344" s="58" t="n">
        <v>0</v>
      </c>
      <c r="T344" s="9" t="n">
        <v>3</v>
      </c>
      <c r="U344" s="56" t="n">
        <f aca="false">I344*O344</f>
        <v>0</v>
      </c>
      <c r="V344" s="56" t="n">
        <f aca="false">J344*O344</f>
        <v>0</v>
      </c>
      <c r="W344" s="56" t="n">
        <f aca="false">((I344+J344)/2)*O344</f>
        <v>0</v>
      </c>
      <c r="X344" s="56" t="n">
        <f aca="false">H344*O344</f>
        <v>0</v>
      </c>
    </row>
    <row r="345" customFormat="false" ht="22.35" hidden="false" customHeight="false" outlineLevel="0" collapsed="false">
      <c r="A345" s="76" t="s">
        <v>2063</v>
      </c>
      <c r="B345" s="49" t="s">
        <v>2663</v>
      </c>
      <c r="C345" s="49" t="s">
        <v>2664</v>
      </c>
      <c r="D345" s="49" t="s">
        <v>2570</v>
      </c>
      <c r="E345" s="77" t="s">
        <v>2571</v>
      </c>
      <c r="F345" s="49" t="s">
        <v>2097</v>
      </c>
      <c r="G345" s="49" t="s">
        <v>2097</v>
      </c>
      <c r="H345" s="51" t="n">
        <v>20</v>
      </c>
      <c r="I345" s="51" t="n">
        <v>0</v>
      </c>
      <c r="J345" s="51" t="n">
        <v>0</v>
      </c>
      <c r="K345" s="52" t="n">
        <v>0</v>
      </c>
      <c r="L345" s="53" t="n">
        <v>19.2</v>
      </c>
      <c r="M345" s="54" t="n">
        <v>91.7</v>
      </c>
      <c r="N345" s="51" t="n">
        <v>0.347945</v>
      </c>
      <c r="O345" s="55" t="n">
        <v>0</v>
      </c>
      <c r="P345" s="51" t="n">
        <v>20</v>
      </c>
      <c r="Q345" s="49" t="s">
        <v>2098</v>
      </c>
      <c r="R345" s="49" t="s">
        <v>2572</v>
      </c>
      <c r="S345" s="53" t="n">
        <v>0</v>
      </c>
      <c r="T345" s="51" t="n">
        <v>4</v>
      </c>
      <c r="U345" s="56" t="n">
        <f aca="false">I345*O345</f>
        <v>0</v>
      </c>
      <c r="V345" s="56" t="n">
        <f aca="false">J345*O345</f>
        <v>0</v>
      </c>
      <c r="W345" s="56" t="n">
        <f aca="false">((I345+J345)/2)*O345</f>
        <v>0</v>
      </c>
      <c r="X345" s="56" t="n">
        <f aca="false">H345*O345</f>
        <v>0</v>
      </c>
    </row>
    <row r="346" customFormat="false" ht="22.35" hidden="false" customHeight="false" outlineLevel="0" collapsed="false">
      <c r="A346" s="76" t="s">
        <v>2063</v>
      </c>
      <c r="B346" s="7" t="s">
        <v>2665</v>
      </c>
      <c r="C346" s="7" t="s">
        <v>2666</v>
      </c>
      <c r="D346" s="7" t="s">
        <v>2570</v>
      </c>
      <c r="E346" s="77" t="s">
        <v>2571</v>
      </c>
      <c r="F346" s="7" t="s">
        <v>2097</v>
      </c>
      <c r="G346" s="7" t="s">
        <v>2097</v>
      </c>
      <c r="H346" s="9" t="n">
        <v>6</v>
      </c>
      <c r="I346" s="9" t="n">
        <v>0</v>
      </c>
      <c r="J346" s="9" t="n">
        <v>0</v>
      </c>
      <c r="K346" s="52" t="n">
        <v>0</v>
      </c>
      <c r="L346" s="58" t="n">
        <v>17.6</v>
      </c>
      <c r="M346" s="59" t="n">
        <v>85.7</v>
      </c>
      <c r="N346" s="9" t="n">
        <v>0.113699</v>
      </c>
      <c r="O346" s="8" t="n">
        <v>0</v>
      </c>
      <c r="P346" s="9" t="n">
        <v>6</v>
      </c>
      <c r="Q346" s="7" t="s">
        <v>2098</v>
      </c>
      <c r="R346" s="7" t="s">
        <v>2572</v>
      </c>
      <c r="S346" s="58" t="n">
        <v>0</v>
      </c>
      <c r="T346" s="9" t="n">
        <v>4</v>
      </c>
      <c r="U346" s="56" t="n">
        <f aca="false">I346*O346</f>
        <v>0</v>
      </c>
      <c r="V346" s="56" t="n">
        <f aca="false">J346*O346</f>
        <v>0</v>
      </c>
      <c r="W346" s="56" t="n">
        <f aca="false">((I346+J346)/2)*O346</f>
        <v>0</v>
      </c>
      <c r="X346" s="56" t="n">
        <f aca="false">H346*O346</f>
        <v>0</v>
      </c>
    </row>
    <row r="347" customFormat="false" ht="22.35" hidden="false" customHeight="false" outlineLevel="0" collapsed="false">
      <c r="A347" s="76" t="s">
        <v>2063</v>
      </c>
      <c r="B347" s="49" t="s">
        <v>2667</v>
      </c>
      <c r="C347" s="49" t="s">
        <v>2668</v>
      </c>
      <c r="D347" s="49" t="s">
        <v>2570</v>
      </c>
      <c r="E347" s="77" t="s">
        <v>2571</v>
      </c>
      <c r="F347" s="49" t="s">
        <v>2097</v>
      </c>
      <c r="G347" s="49" t="s">
        <v>2097</v>
      </c>
      <c r="H347" s="51" t="n">
        <v>24</v>
      </c>
      <c r="I347" s="51" t="n">
        <v>0</v>
      </c>
      <c r="J347" s="51" t="n">
        <v>0</v>
      </c>
      <c r="K347" s="52" t="n">
        <v>0</v>
      </c>
      <c r="L347" s="53" t="n">
        <v>17</v>
      </c>
      <c r="M347" s="54" t="n">
        <v>98.4</v>
      </c>
      <c r="N347" s="51" t="n">
        <v>0.450685</v>
      </c>
      <c r="O347" s="55" t="n">
        <v>0</v>
      </c>
      <c r="P347" s="51" t="n">
        <v>24</v>
      </c>
      <c r="Q347" s="49" t="s">
        <v>2098</v>
      </c>
      <c r="R347" s="49" t="s">
        <v>2572</v>
      </c>
      <c r="S347" s="53" t="n">
        <v>0</v>
      </c>
      <c r="T347" s="51" t="n">
        <v>8</v>
      </c>
      <c r="U347" s="56" t="n">
        <f aca="false">I347*O347</f>
        <v>0</v>
      </c>
      <c r="V347" s="56" t="n">
        <f aca="false">J347*O347</f>
        <v>0</v>
      </c>
      <c r="W347" s="56" t="n">
        <f aca="false">((I347+J347)/2)*O347</f>
        <v>0</v>
      </c>
      <c r="X347" s="56" t="n">
        <f aca="false">H347*O347</f>
        <v>0</v>
      </c>
    </row>
    <row r="348" customFormat="false" ht="22.35" hidden="false" customHeight="false" outlineLevel="0" collapsed="false">
      <c r="A348" s="76" t="s">
        <v>2063</v>
      </c>
      <c r="B348" s="7" t="s">
        <v>2669</v>
      </c>
      <c r="C348" s="7" t="s">
        <v>2668</v>
      </c>
      <c r="D348" s="7" t="s">
        <v>2570</v>
      </c>
      <c r="E348" s="77" t="s">
        <v>2571</v>
      </c>
      <c r="F348" s="7" t="s">
        <v>2097</v>
      </c>
      <c r="G348" s="7" t="s">
        <v>2097</v>
      </c>
      <c r="H348" s="9" t="n">
        <v>120</v>
      </c>
      <c r="I348" s="9" t="n">
        <v>0</v>
      </c>
      <c r="J348" s="9" t="n">
        <v>0</v>
      </c>
      <c r="K348" s="52" t="n">
        <v>0</v>
      </c>
      <c r="L348" s="58" t="n">
        <v>16.9</v>
      </c>
      <c r="M348" s="59" t="n">
        <v>96.1</v>
      </c>
      <c r="N348" s="9" t="n">
        <v>1.683562</v>
      </c>
      <c r="O348" s="8" t="n">
        <v>0</v>
      </c>
      <c r="P348" s="9" t="n">
        <v>120</v>
      </c>
      <c r="Q348" s="7" t="s">
        <v>2098</v>
      </c>
      <c r="R348" s="7" t="s">
        <v>2572</v>
      </c>
      <c r="S348" s="58" t="n">
        <v>0</v>
      </c>
      <c r="T348" s="9" t="n">
        <v>24</v>
      </c>
      <c r="U348" s="56" t="n">
        <f aca="false">I348*O348</f>
        <v>0</v>
      </c>
      <c r="V348" s="56" t="n">
        <f aca="false">J348*O348</f>
        <v>0</v>
      </c>
      <c r="W348" s="56" t="n">
        <f aca="false">((I348+J348)/2)*O348</f>
        <v>0</v>
      </c>
      <c r="X348" s="56" t="n">
        <f aca="false">H348*O348</f>
        <v>0</v>
      </c>
    </row>
    <row r="349" customFormat="false" ht="22.35" hidden="false" customHeight="false" outlineLevel="0" collapsed="false">
      <c r="A349" s="76" t="s">
        <v>2063</v>
      </c>
      <c r="B349" s="49" t="s">
        <v>2670</v>
      </c>
      <c r="C349" s="49" t="s">
        <v>2671</v>
      </c>
      <c r="D349" s="49" t="s">
        <v>2570</v>
      </c>
      <c r="E349" s="77" t="s">
        <v>2571</v>
      </c>
      <c r="F349" s="49" t="s">
        <v>2097</v>
      </c>
      <c r="G349" s="49" t="s">
        <v>2097</v>
      </c>
      <c r="H349" s="51" t="n">
        <v>20</v>
      </c>
      <c r="I349" s="51" t="n">
        <v>0</v>
      </c>
      <c r="J349" s="51" t="n">
        <v>0</v>
      </c>
      <c r="K349" s="52" t="n">
        <v>0</v>
      </c>
      <c r="L349" s="53" t="n">
        <v>15.5</v>
      </c>
      <c r="M349" s="54" t="n">
        <v>93.8</v>
      </c>
      <c r="N349" s="51" t="n">
        <v>0.308219</v>
      </c>
      <c r="O349" s="55" t="n">
        <v>0</v>
      </c>
      <c r="P349" s="51" t="n">
        <v>20</v>
      </c>
      <c r="Q349" s="49" t="s">
        <v>2098</v>
      </c>
      <c r="R349" s="49" t="s">
        <v>2572</v>
      </c>
      <c r="S349" s="53" t="n">
        <v>0</v>
      </c>
      <c r="T349" s="51" t="n">
        <v>4</v>
      </c>
      <c r="U349" s="56" t="n">
        <f aca="false">I349*O349</f>
        <v>0</v>
      </c>
      <c r="V349" s="56" t="n">
        <f aca="false">J349*O349</f>
        <v>0</v>
      </c>
      <c r="W349" s="56" t="n">
        <f aca="false">((I349+J349)/2)*O349</f>
        <v>0</v>
      </c>
      <c r="X349" s="56" t="n">
        <f aca="false">H349*O349</f>
        <v>0</v>
      </c>
    </row>
    <row r="350" customFormat="false" ht="22.35" hidden="false" customHeight="false" outlineLevel="0" collapsed="false">
      <c r="A350" s="76" t="s">
        <v>2063</v>
      </c>
      <c r="B350" s="7" t="s">
        <v>2672</v>
      </c>
      <c r="C350" s="7" t="s">
        <v>2671</v>
      </c>
      <c r="D350" s="7" t="s">
        <v>2570</v>
      </c>
      <c r="E350" s="77" t="s">
        <v>2571</v>
      </c>
      <c r="F350" s="7" t="s">
        <v>2097</v>
      </c>
      <c r="G350" s="7" t="s">
        <v>2097</v>
      </c>
      <c r="H350" s="9" t="n">
        <v>8</v>
      </c>
      <c r="I350" s="9" t="n">
        <v>0</v>
      </c>
      <c r="J350" s="9" t="n">
        <v>0</v>
      </c>
      <c r="K350" s="52" t="n">
        <v>0</v>
      </c>
      <c r="L350" s="58" t="n">
        <v>15.1</v>
      </c>
      <c r="M350" s="59" t="n">
        <v>94.8</v>
      </c>
      <c r="N350" s="9" t="n">
        <v>0.189041</v>
      </c>
      <c r="O350" s="8" t="n">
        <v>0</v>
      </c>
      <c r="P350" s="9" t="n">
        <v>8</v>
      </c>
      <c r="Q350" s="7" t="s">
        <v>2098</v>
      </c>
      <c r="R350" s="7" t="s">
        <v>2572</v>
      </c>
      <c r="S350" s="58" t="n">
        <v>0</v>
      </c>
      <c r="T350" s="9" t="n">
        <v>3</v>
      </c>
      <c r="U350" s="56" t="n">
        <f aca="false">I350*O350</f>
        <v>0</v>
      </c>
      <c r="V350" s="56" t="n">
        <f aca="false">J350*O350</f>
        <v>0</v>
      </c>
      <c r="W350" s="56" t="n">
        <f aca="false">((I350+J350)/2)*O350</f>
        <v>0</v>
      </c>
      <c r="X350" s="56" t="n">
        <f aca="false">H350*O350</f>
        <v>0</v>
      </c>
    </row>
    <row r="351" customFormat="false" ht="22.35" hidden="false" customHeight="false" outlineLevel="0" collapsed="false">
      <c r="A351" s="76" t="s">
        <v>2063</v>
      </c>
      <c r="B351" s="49" t="s">
        <v>2673</v>
      </c>
      <c r="C351" s="49" t="s">
        <v>2674</v>
      </c>
      <c r="D351" s="49" t="s">
        <v>2570</v>
      </c>
      <c r="E351" s="77" t="s">
        <v>2571</v>
      </c>
      <c r="F351" s="49" t="s">
        <v>2097</v>
      </c>
      <c r="G351" s="49" t="s">
        <v>2097</v>
      </c>
      <c r="H351" s="51" t="n">
        <v>24</v>
      </c>
      <c r="I351" s="51" t="n">
        <v>0</v>
      </c>
      <c r="J351" s="51" t="n">
        <v>0</v>
      </c>
      <c r="K351" s="52" t="n">
        <v>0</v>
      </c>
      <c r="L351" s="53" t="n">
        <v>26.1</v>
      </c>
      <c r="M351" s="54"/>
      <c r="N351" s="51" t="n">
        <v>0.282192</v>
      </c>
      <c r="O351" s="55" t="n">
        <v>0</v>
      </c>
      <c r="P351" s="51" t="n">
        <v>24</v>
      </c>
      <c r="Q351" s="49" t="s">
        <v>2098</v>
      </c>
      <c r="R351" s="49" t="s">
        <v>2572</v>
      </c>
      <c r="S351" s="53" t="n">
        <v>0</v>
      </c>
      <c r="T351" s="51" t="n">
        <v>1</v>
      </c>
      <c r="U351" s="56" t="n">
        <f aca="false">I351*O351</f>
        <v>0</v>
      </c>
      <c r="V351" s="56" t="n">
        <f aca="false">J351*O351</f>
        <v>0</v>
      </c>
      <c r="W351" s="56" t="n">
        <f aca="false">((I351+J351)/2)*O351</f>
        <v>0</v>
      </c>
      <c r="X351" s="56" t="n">
        <f aca="false">H351*O351</f>
        <v>0</v>
      </c>
    </row>
    <row r="352" customFormat="false" ht="22.35" hidden="false" customHeight="false" outlineLevel="0" collapsed="false">
      <c r="A352" s="76" t="s">
        <v>2063</v>
      </c>
      <c r="B352" s="7" t="s">
        <v>2675</v>
      </c>
      <c r="C352" s="7" t="s">
        <v>2674</v>
      </c>
      <c r="D352" s="7" t="s">
        <v>2570</v>
      </c>
      <c r="E352" s="77" t="s">
        <v>2571</v>
      </c>
      <c r="F352" s="7" t="s">
        <v>2097</v>
      </c>
      <c r="G352" s="7" t="s">
        <v>2097</v>
      </c>
      <c r="H352" s="9" t="n">
        <v>36</v>
      </c>
      <c r="I352" s="9" t="n">
        <v>0</v>
      </c>
      <c r="J352" s="9" t="n">
        <v>0</v>
      </c>
      <c r="K352" s="52" t="n">
        <v>0</v>
      </c>
      <c r="L352" s="58" t="n">
        <v>26.1</v>
      </c>
      <c r="M352" s="59"/>
      <c r="N352" s="9" t="n">
        <v>0.389041</v>
      </c>
      <c r="O352" s="8" t="n">
        <v>0</v>
      </c>
      <c r="P352" s="9" t="n">
        <v>36</v>
      </c>
      <c r="Q352" s="7" t="s">
        <v>2098</v>
      </c>
      <c r="R352" s="7" t="s">
        <v>2572</v>
      </c>
      <c r="S352" s="58" t="n">
        <v>0</v>
      </c>
      <c r="T352" s="9" t="n">
        <v>1</v>
      </c>
      <c r="U352" s="56" t="n">
        <f aca="false">I352*O352</f>
        <v>0</v>
      </c>
      <c r="V352" s="56" t="n">
        <f aca="false">J352*O352</f>
        <v>0</v>
      </c>
      <c r="W352" s="56" t="n">
        <f aca="false">((I352+J352)/2)*O352</f>
        <v>0</v>
      </c>
      <c r="X352" s="56" t="n">
        <f aca="false">H352*O352</f>
        <v>0</v>
      </c>
    </row>
    <row r="353" customFormat="false" ht="22.35" hidden="false" customHeight="false" outlineLevel="0" collapsed="false">
      <c r="A353" s="76" t="s">
        <v>2063</v>
      </c>
      <c r="B353" s="49" t="s">
        <v>2676</v>
      </c>
      <c r="C353" s="49" t="s">
        <v>2677</v>
      </c>
      <c r="D353" s="49" t="s">
        <v>2570</v>
      </c>
      <c r="E353" s="77" t="s">
        <v>2571</v>
      </c>
      <c r="F353" s="49" t="s">
        <v>2097</v>
      </c>
      <c r="G353" s="49" t="s">
        <v>2097</v>
      </c>
      <c r="H353" s="51" t="n">
        <v>192</v>
      </c>
      <c r="I353" s="51" t="n">
        <v>0</v>
      </c>
      <c r="J353" s="51" t="n">
        <v>0</v>
      </c>
      <c r="K353" s="52" t="n">
        <v>0</v>
      </c>
      <c r="L353" s="53" t="n">
        <v>26.1</v>
      </c>
      <c r="M353" s="54"/>
      <c r="N353" s="51" t="n">
        <v>1.512329</v>
      </c>
      <c r="O353" s="55" t="n">
        <v>0</v>
      </c>
      <c r="P353" s="51" t="n">
        <v>192</v>
      </c>
      <c r="Q353" s="49" t="s">
        <v>2098</v>
      </c>
      <c r="R353" s="49" t="s">
        <v>2572</v>
      </c>
      <c r="S353" s="53" t="n">
        <v>0</v>
      </c>
      <c r="T353" s="51" t="n">
        <v>1</v>
      </c>
      <c r="U353" s="56" t="n">
        <f aca="false">I353*O353</f>
        <v>0</v>
      </c>
      <c r="V353" s="56" t="n">
        <f aca="false">J353*O353</f>
        <v>0</v>
      </c>
      <c r="W353" s="56" t="n">
        <f aca="false">((I353+J353)/2)*O353</f>
        <v>0</v>
      </c>
      <c r="X353" s="56" t="n">
        <f aca="false">H353*O353</f>
        <v>0</v>
      </c>
    </row>
    <row r="354" customFormat="false" ht="22.35" hidden="false" customHeight="false" outlineLevel="0" collapsed="false">
      <c r="A354" s="76" t="s">
        <v>2063</v>
      </c>
      <c r="B354" s="7" t="s">
        <v>2678</v>
      </c>
      <c r="C354" s="7" t="s">
        <v>2677</v>
      </c>
      <c r="D354" s="7" t="s">
        <v>2570</v>
      </c>
      <c r="E354" s="77" t="s">
        <v>2571</v>
      </c>
      <c r="F354" s="7" t="s">
        <v>2097</v>
      </c>
      <c r="G354" s="7" t="s">
        <v>2097</v>
      </c>
      <c r="H354" s="9" t="n">
        <v>72</v>
      </c>
      <c r="I354" s="9" t="n">
        <v>0</v>
      </c>
      <c r="J354" s="9" t="n">
        <v>0</v>
      </c>
      <c r="K354" s="52" t="n">
        <v>0</v>
      </c>
      <c r="L354" s="58" t="n">
        <v>26.1</v>
      </c>
      <c r="M354" s="59"/>
      <c r="N354" s="9" t="n">
        <v>1.123288</v>
      </c>
      <c r="O354" s="8" t="n">
        <v>0</v>
      </c>
      <c r="P354" s="9" t="n">
        <v>72</v>
      </c>
      <c r="Q354" s="7" t="s">
        <v>2098</v>
      </c>
      <c r="R354" s="7" t="s">
        <v>2572</v>
      </c>
      <c r="S354" s="58" t="n">
        <v>0</v>
      </c>
      <c r="T354" s="9" t="n">
        <v>1</v>
      </c>
      <c r="U354" s="56" t="n">
        <f aca="false">I354*O354</f>
        <v>0</v>
      </c>
      <c r="V354" s="56" t="n">
        <f aca="false">J354*O354</f>
        <v>0</v>
      </c>
      <c r="W354" s="56" t="n">
        <f aca="false">((I354+J354)/2)*O354</f>
        <v>0</v>
      </c>
      <c r="X354" s="56" t="n">
        <f aca="false">H354*O354</f>
        <v>0</v>
      </c>
    </row>
    <row r="355" customFormat="false" ht="22.35" hidden="false" customHeight="false" outlineLevel="0" collapsed="false">
      <c r="A355" s="76" t="s">
        <v>2063</v>
      </c>
      <c r="B355" s="49" t="s">
        <v>2679</v>
      </c>
      <c r="C355" s="49" t="s">
        <v>2680</v>
      </c>
      <c r="D355" s="49" t="s">
        <v>2570</v>
      </c>
      <c r="E355" s="77" t="s">
        <v>2571</v>
      </c>
      <c r="F355" s="49" t="s">
        <v>2097</v>
      </c>
      <c r="G355" s="49" t="s">
        <v>2097</v>
      </c>
      <c r="H355" s="51" t="n">
        <v>96</v>
      </c>
      <c r="I355" s="51" t="n">
        <v>0</v>
      </c>
      <c r="J355" s="51" t="n">
        <v>0</v>
      </c>
      <c r="K355" s="52" t="n">
        <v>0</v>
      </c>
      <c r="L355" s="53" t="n">
        <v>26.1</v>
      </c>
      <c r="M355" s="54"/>
      <c r="N355" s="51" t="n">
        <v>1.256164</v>
      </c>
      <c r="O355" s="55" t="n">
        <v>0</v>
      </c>
      <c r="P355" s="51" t="n">
        <v>96</v>
      </c>
      <c r="Q355" s="49" t="s">
        <v>2098</v>
      </c>
      <c r="R355" s="49" t="s">
        <v>2572</v>
      </c>
      <c r="S355" s="53" t="n">
        <v>0</v>
      </c>
      <c r="T355" s="51" t="n">
        <v>1</v>
      </c>
      <c r="U355" s="56" t="n">
        <f aca="false">I355*O355</f>
        <v>0</v>
      </c>
      <c r="V355" s="56" t="n">
        <f aca="false">J355*O355</f>
        <v>0</v>
      </c>
      <c r="W355" s="56" t="n">
        <f aca="false">((I355+J355)/2)*O355</f>
        <v>0</v>
      </c>
      <c r="X355" s="56" t="n">
        <f aca="false">H355*O355</f>
        <v>0</v>
      </c>
    </row>
    <row r="356" customFormat="false" ht="22.35" hidden="false" customHeight="false" outlineLevel="0" collapsed="false">
      <c r="A356" s="76" t="s">
        <v>2063</v>
      </c>
      <c r="B356" s="7" t="s">
        <v>2681</v>
      </c>
      <c r="C356" s="7" t="s">
        <v>2680</v>
      </c>
      <c r="D356" s="7" t="s">
        <v>2570</v>
      </c>
      <c r="E356" s="77" t="s">
        <v>2571</v>
      </c>
      <c r="F356" s="7" t="s">
        <v>2097</v>
      </c>
      <c r="G356" s="7" t="s">
        <v>2097</v>
      </c>
      <c r="H356" s="9" t="n">
        <v>36</v>
      </c>
      <c r="I356" s="9" t="n">
        <v>0</v>
      </c>
      <c r="J356" s="9" t="n">
        <v>0</v>
      </c>
      <c r="K356" s="52" t="n">
        <v>0</v>
      </c>
      <c r="L356" s="58" t="n">
        <v>26.1</v>
      </c>
      <c r="M356" s="59"/>
      <c r="N356" s="9" t="n">
        <v>0.520548</v>
      </c>
      <c r="O356" s="8" t="n">
        <v>0</v>
      </c>
      <c r="P356" s="9" t="n">
        <v>36</v>
      </c>
      <c r="Q356" s="7" t="s">
        <v>2098</v>
      </c>
      <c r="R356" s="7" t="s">
        <v>2572</v>
      </c>
      <c r="S356" s="58" t="n">
        <v>0</v>
      </c>
      <c r="T356" s="9" t="n">
        <v>1</v>
      </c>
      <c r="U356" s="56" t="n">
        <f aca="false">I356*O356</f>
        <v>0</v>
      </c>
      <c r="V356" s="56" t="n">
        <f aca="false">J356*O356</f>
        <v>0</v>
      </c>
      <c r="W356" s="56" t="n">
        <f aca="false">((I356+J356)/2)*O356</f>
        <v>0</v>
      </c>
      <c r="X356" s="56" t="n">
        <f aca="false">H356*O356</f>
        <v>0</v>
      </c>
    </row>
    <row r="357" customFormat="false" ht="22.35" hidden="false" customHeight="false" outlineLevel="0" collapsed="false">
      <c r="A357" s="76" t="s">
        <v>2063</v>
      </c>
      <c r="B357" s="49" t="s">
        <v>2682</v>
      </c>
      <c r="C357" s="49" t="s">
        <v>2683</v>
      </c>
      <c r="D357" s="49" t="s">
        <v>2570</v>
      </c>
      <c r="E357" s="77" t="s">
        <v>2571</v>
      </c>
      <c r="F357" s="49" t="s">
        <v>2097</v>
      </c>
      <c r="G357" s="49" t="s">
        <v>2097</v>
      </c>
      <c r="H357" s="51" t="n">
        <v>8</v>
      </c>
      <c r="I357" s="51" t="n">
        <v>0</v>
      </c>
      <c r="J357" s="51" t="n">
        <v>0</v>
      </c>
      <c r="K357" s="52" t="n">
        <v>0</v>
      </c>
      <c r="L357" s="53" t="n">
        <v>26.1</v>
      </c>
      <c r="M357" s="54"/>
      <c r="N357" s="51" t="n">
        <v>0.143836</v>
      </c>
      <c r="O357" s="55" t="n">
        <v>0</v>
      </c>
      <c r="P357" s="51" t="n">
        <v>8</v>
      </c>
      <c r="Q357" s="49" t="s">
        <v>2098</v>
      </c>
      <c r="R357" s="49" t="s">
        <v>2572</v>
      </c>
      <c r="S357" s="53" t="n">
        <v>0</v>
      </c>
      <c r="T357" s="51" t="n">
        <v>1</v>
      </c>
      <c r="U357" s="56" t="n">
        <f aca="false">I357*O357</f>
        <v>0</v>
      </c>
      <c r="V357" s="56" t="n">
        <f aca="false">J357*O357</f>
        <v>0</v>
      </c>
      <c r="W357" s="56" t="n">
        <f aca="false">((I357+J357)/2)*O357</f>
        <v>0</v>
      </c>
      <c r="X357" s="56" t="n">
        <f aca="false">H357*O357</f>
        <v>0</v>
      </c>
    </row>
    <row r="358" customFormat="false" ht="22.35" hidden="false" customHeight="false" outlineLevel="0" collapsed="false">
      <c r="A358" s="76" t="s">
        <v>2063</v>
      </c>
      <c r="B358" s="7" t="s">
        <v>2684</v>
      </c>
      <c r="C358" s="7" t="s">
        <v>2685</v>
      </c>
      <c r="D358" s="7" t="s">
        <v>2570</v>
      </c>
      <c r="E358" s="77" t="s">
        <v>2571</v>
      </c>
      <c r="F358" s="7" t="s">
        <v>2097</v>
      </c>
      <c r="G358" s="7" t="s">
        <v>2097</v>
      </c>
      <c r="H358" s="9" t="n">
        <v>32</v>
      </c>
      <c r="I358" s="9" t="n">
        <v>0</v>
      </c>
      <c r="J358" s="9" t="n">
        <v>0</v>
      </c>
      <c r="K358" s="52" t="n">
        <v>0</v>
      </c>
      <c r="L358" s="58" t="n">
        <v>26.1</v>
      </c>
      <c r="M358" s="59"/>
      <c r="N358" s="9" t="n">
        <v>0.343836</v>
      </c>
      <c r="O358" s="8" t="n">
        <v>0</v>
      </c>
      <c r="P358" s="9" t="n">
        <v>32</v>
      </c>
      <c r="Q358" s="7" t="s">
        <v>2098</v>
      </c>
      <c r="R358" s="7" t="s">
        <v>2572</v>
      </c>
      <c r="S358" s="58" t="n">
        <v>0</v>
      </c>
      <c r="T358" s="9" t="n">
        <v>1</v>
      </c>
      <c r="U358" s="56" t="n">
        <f aca="false">I358*O358</f>
        <v>0</v>
      </c>
      <c r="V358" s="56" t="n">
        <f aca="false">J358*O358</f>
        <v>0</v>
      </c>
      <c r="W358" s="56" t="n">
        <f aca="false">((I358+J358)/2)*O358</f>
        <v>0</v>
      </c>
      <c r="X358" s="56" t="n">
        <f aca="false">H358*O358</f>
        <v>0</v>
      </c>
    </row>
    <row r="359" customFormat="false" ht="22.35" hidden="false" customHeight="false" outlineLevel="0" collapsed="false">
      <c r="A359" s="76" t="s">
        <v>2063</v>
      </c>
      <c r="B359" s="49" t="s">
        <v>2686</v>
      </c>
      <c r="C359" s="49" t="s">
        <v>2687</v>
      </c>
      <c r="D359" s="49" t="s">
        <v>2570</v>
      </c>
      <c r="E359" s="77" t="s">
        <v>2571</v>
      </c>
      <c r="F359" s="49" t="s">
        <v>2097</v>
      </c>
      <c r="G359" s="49" t="s">
        <v>2097</v>
      </c>
      <c r="H359" s="51" t="n">
        <v>24</v>
      </c>
      <c r="I359" s="51" t="n">
        <v>0</v>
      </c>
      <c r="J359" s="51" t="n">
        <v>0</v>
      </c>
      <c r="K359" s="52" t="n">
        <v>0</v>
      </c>
      <c r="L359" s="53" t="n">
        <v>26.1</v>
      </c>
      <c r="M359" s="54"/>
      <c r="N359" s="51" t="n">
        <v>0.357534</v>
      </c>
      <c r="O359" s="55" t="n">
        <v>0</v>
      </c>
      <c r="P359" s="51" t="n">
        <v>24</v>
      </c>
      <c r="Q359" s="49" t="s">
        <v>2098</v>
      </c>
      <c r="R359" s="49" t="s">
        <v>2572</v>
      </c>
      <c r="S359" s="53" t="n">
        <v>0</v>
      </c>
      <c r="T359" s="51" t="n">
        <v>1</v>
      </c>
      <c r="U359" s="56" t="n">
        <f aca="false">I359*O359</f>
        <v>0</v>
      </c>
      <c r="V359" s="56" t="n">
        <f aca="false">J359*O359</f>
        <v>0</v>
      </c>
      <c r="W359" s="56" t="n">
        <f aca="false">((I359+J359)/2)*O359</f>
        <v>0</v>
      </c>
      <c r="X359" s="56" t="n">
        <f aca="false">H359*O359</f>
        <v>0</v>
      </c>
    </row>
    <row r="360" customFormat="false" ht="22.35" hidden="false" customHeight="false" outlineLevel="0" collapsed="false">
      <c r="A360" s="76" t="s">
        <v>2063</v>
      </c>
      <c r="B360" s="7" t="s">
        <v>2688</v>
      </c>
      <c r="C360" s="7" t="s">
        <v>2689</v>
      </c>
      <c r="D360" s="7" t="s">
        <v>2570</v>
      </c>
      <c r="E360" s="77" t="s">
        <v>2571</v>
      </c>
      <c r="F360" s="7" t="s">
        <v>2097</v>
      </c>
      <c r="G360" s="7" t="s">
        <v>2097</v>
      </c>
      <c r="H360" s="9" t="n">
        <v>8</v>
      </c>
      <c r="I360" s="9" t="n">
        <v>0</v>
      </c>
      <c r="J360" s="9" t="n">
        <v>0</v>
      </c>
      <c r="K360" s="52" t="n">
        <v>0</v>
      </c>
      <c r="L360" s="58" t="n">
        <v>18</v>
      </c>
      <c r="M360" s="59" t="n">
        <v>95.2</v>
      </c>
      <c r="N360" s="9" t="n">
        <v>0.128767</v>
      </c>
      <c r="O360" s="8" t="n">
        <v>0</v>
      </c>
      <c r="P360" s="9" t="n">
        <v>8</v>
      </c>
      <c r="Q360" s="7" t="s">
        <v>2098</v>
      </c>
      <c r="R360" s="7" t="s">
        <v>2572</v>
      </c>
      <c r="S360" s="58" t="n">
        <v>0</v>
      </c>
      <c r="T360" s="9" t="n">
        <v>4</v>
      </c>
      <c r="U360" s="56" t="n">
        <f aca="false">I360*O360</f>
        <v>0</v>
      </c>
      <c r="V360" s="56" t="n">
        <f aca="false">J360*O360</f>
        <v>0</v>
      </c>
      <c r="W360" s="56" t="n">
        <f aca="false">((I360+J360)/2)*O360</f>
        <v>0</v>
      </c>
      <c r="X360" s="56" t="n">
        <f aca="false">H360*O360</f>
        <v>0</v>
      </c>
    </row>
    <row r="361" customFormat="false" ht="22.35" hidden="false" customHeight="false" outlineLevel="0" collapsed="false">
      <c r="A361" s="76" t="s">
        <v>2063</v>
      </c>
      <c r="B361" s="49" t="s">
        <v>2690</v>
      </c>
      <c r="C361" s="49" t="s">
        <v>2689</v>
      </c>
      <c r="D361" s="49" t="s">
        <v>2570</v>
      </c>
      <c r="E361" s="77" t="s">
        <v>2571</v>
      </c>
      <c r="F361" s="49" t="s">
        <v>2097</v>
      </c>
      <c r="G361" s="49" t="s">
        <v>2097</v>
      </c>
      <c r="H361" s="51" t="n">
        <v>8</v>
      </c>
      <c r="I361" s="51" t="n">
        <v>0</v>
      </c>
      <c r="J361" s="51" t="n">
        <v>0</v>
      </c>
      <c r="K361" s="52" t="n">
        <v>0</v>
      </c>
      <c r="L361" s="53" t="n">
        <v>16.9</v>
      </c>
      <c r="M361" s="54" t="n">
        <v>96</v>
      </c>
      <c r="N361" s="51" t="n">
        <v>0.124658</v>
      </c>
      <c r="O361" s="55" t="n">
        <v>0</v>
      </c>
      <c r="P361" s="51" t="n">
        <v>8</v>
      </c>
      <c r="Q361" s="49" t="s">
        <v>2098</v>
      </c>
      <c r="R361" s="49" t="s">
        <v>2572</v>
      </c>
      <c r="S361" s="53" t="n">
        <v>0</v>
      </c>
      <c r="T361" s="51" t="n">
        <v>1</v>
      </c>
      <c r="U361" s="56" t="n">
        <f aca="false">I361*O361</f>
        <v>0</v>
      </c>
      <c r="V361" s="56" t="n">
        <f aca="false">J361*O361</f>
        <v>0</v>
      </c>
      <c r="W361" s="56" t="n">
        <f aca="false">((I361+J361)/2)*O361</f>
        <v>0</v>
      </c>
      <c r="X361" s="56" t="n">
        <f aca="false">H361*O361</f>
        <v>0</v>
      </c>
    </row>
    <row r="362" customFormat="false" ht="22.35" hidden="false" customHeight="false" outlineLevel="0" collapsed="false">
      <c r="A362" s="76" t="s">
        <v>2063</v>
      </c>
      <c r="B362" s="7" t="s">
        <v>2691</v>
      </c>
      <c r="C362" s="7" t="s">
        <v>2692</v>
      </c>
      <c r="D362" s="7" t="s">
        <v>2570</v>
      </c>
      <c r="E362" s="77" t="s">
        <v>2571</v>
      </c>
      <c r="F362" s="7" t="s">
        <v>2097</v>
      </c>
      <c r="G362" s="7" t="s">
        <v>2097</v>
      </c>
      <c r="H362" s="9" t="n">
        <v>24</v>
      </c>
      <c r="I362" s="9" t="n">
        <v>0</v>
      </c>
      <c r="J362" s="9" t="n">
        <v>0</v>
      </c>
      <c r="K362" s="52" t="n">
        <v>0</v>
      </c>
      <c r="L362" s="58" t="n">
        <v>26.1</v>
      </c>
      <c r="M362" s="59"/>
      <c r="N362" s="9" t="n">
        <v>0.263014</v>
      </c>
      <c r="O362" s="8" t="n">
        <v>0</v>
      </c>
      <c r="P362" s="9" t="n">
        <v>24</v>
      </c>
      <c r="Q362" s="7" t="s">
        <v>2098</v>
      </c>
      <c r="R362" s="7" t="s">
        <v>2572</v>
      </c>
      <c r="S362" s="58" t="n">
        <v>0</v>
      </c>
      <c r="T362" s="9" t="n">
        <v>1</v>
      </c>
      <c r="U362" s="56" t="n">
        <f aca="false">I362*O362</f>
        <v>0</v>
      </c>
      <c r="V362" s="56" t="n">
        <f aca="false">J362*O362</f>
        <v>0</v>
      </c>
      <c r="W362" s="56" t="n">
        <f aca="false">((I362+J362)/2)*O362</f>
        <v>0</v>
      </c>
      <c r="X362" s="56" t="n">
        <f aca="false">H362*O362</f>
        <v>0</v>
      </c>
    </row>
    <row r="363" customFormat="false" ht="22.35" hidden="false" customHeight="false" outlineLevel="0" collapsed="false">
      <c r="A363" s="76" t="s">
        <v>2063</v>
      </c>
      <c r="B363" s="49" t="s">
        <v>2693</v>
      </c>
      <c r="C363" s="49" t="s">
        <v>2694</v>
      </c>
      <c r="D363" s="49" t="s">
        <v>2570</v>
      </c>
      <c r="E363" s="77" t="s">
        <v>2571</v>
      </c>
      <c r="F363" s="49" t="s">
        <v>2097</v>
      </c>
      <c r="G363" s="49" t="s">
        <v>2097</v>
      </c>
      <c r="H363" s="51" t="n">
        <v>32</v>
      </c>
      <c r="I363" s="51" t="n">
        <v>0</v>
      </c>
      <c r="J363" s="51" t="n">
        <v>0</v>
      </c>
      <c r="K363" s="52" t="n">
        <v>0</v>
      </c>
      <c r="L363" s="53" t="n">
        <v>26.1</v>
      </c>
      <c r="M363" s="54"/>
      <c r="N363" s="51" t="n">
        <v>0.350685</v>
      </c>
      <c r="O363" s="55" t="n">
        <v>0</v>
      </c>
      <c r="P363" s="51" t="n">
        <v>32</v>
      </c>
      <c r="Q363" s="49" t="s">
        <v>2098</v>
      </c>
      <c r="R363" s="49" t="s">
        <v>2572</v>
      </c>
      <c r="S363" s="53" t="n">
        <v>0</v>
      </c>
      <c r="T363" s="51" t="n">
        <v>1</v>
      </c>
      <c r="U363" s="56" t="n">
        <f aca="false">I363*O363</f>
        <v>0</v>
      </c>
      <c r="V363" s="56" t="n">
        <f aca="false">J363*O363</f>
        <v>0</v>
      </c>
      <c r="W363" s="56" t="n">
        <f aca="false">((I363+J363)/2)*O363</f>
        <v>0</v>
      </c>
      <c r="X363" s="56" t="n">
        <f aca="false">H363*O363</f>
        <v>0</v>
      </c>
    </row>
    <row r="364" customFormat="false" ht="22.35" hidden="false" customHeight="false" outlineLevel="0" collapsed="false">
      <c r="A364" s="76" t="s">
        <v>2063</v>
      </c>
      <c r="B364" s="7" t="s">
        <v>2695</v>
      </c>
      <c r="C364" s="7" t="s">
        <v>2696</v>
      </c>
      <c r="D364" s="7" t="s">
        <v>2570</v>
      </c>
      <c r="E364" s="77" t="s">
        <v>2571</v>
      </c>
      <c r="F364" s="7" t="s">
        <v>2097</v>
      </c>
      <c r="G364" s="7" t="s">
        <v>2097</v>
      </c>
      <c r="H364" s="9" t="n">
        <v>48</v>
      </c>
      <c r="I364" s="9" t="n">
        <v>0</v>
      </c>
      <c r="J364" s="9" t="n">
        <v>0</v>
      </c>
      <c r="K364" s="52" t="n">
        <v>0</v>
      </c>
      <c r="L364" s="58" t="n">
        <v>26.1</v>
      </c>
      <c r="M364" s="59"/>
      <c r="N364" s="9" t="n">
        <v>0.635616</v>
      </c>
      <c r="O364" s="8" t="n">
        <v>0</v>
      </c>
      <c r="P364" s="9" t="n">
        <v>48</v>
      </c>
      <c r="Q364" s="7" t="s">
        <v>2098</v>
      </c>
      <c r="R364" s="7" t="s">
        <v>2572</v>
      </c>
      <c r="S364" s="58" t="n">
        <v>0</v>
      </c>
      <c r="T364" s="9" t="n">
        <v>12</v>
      </c>
      <c r="U364" s="56" t="n">
        <f aca="false">I364*O364</f>
        <v>0</v>
      </c>
      <c r="V364" s="56" t="n">
        <f aca="false">J364*O364</f>
        <v>0</v>
      </c>
      <c r="W364" s="56" t="n">
        <f aca="false">((I364+J364)/2)*O364</f>
        <v>0</v>
      </c>
      <c r="X364" s="56" t="n">
        <f aca="false">H364*O364</f>
        <v>0</v>
      </c>
    </row>
    <row r="365" customFormat="false" ht="22.35" hidden="false" customHeight="false" outlineLevel="0" collapsed="false">
      <c r="A365" s="76" t="s">
        <v>2063</v>
      </c>
      <c r="B365" s="49" t="s">
        <v>2697</v>
      </c>
      <c r="C365" s="49" t="s">
        <v>2698</v>
      </c>
      <c r="D365" s="49" t="s">
        <v>2570</v>
      </c>
      <c r="E365" s="77" t="s">
        <v>2571</v>
      </c>
      <c r="F365" s="49" t="s">
        <v>2097</v>
      </c>
      <c r="G365" s="49" t="s">
        <v>2097</v>
      </c>
      <c r="H365" s="51" t="n">
        <v>144</v>
      </c>
      <c r="I365" s="51" t="n">
        <v>0</v>
      </c>
      <c r="J365" s="51" t="n">
        <v>0</v>
      </c>
      <c r="K365" s="52" t="n">
        <v>0</v>
      </c>
      <c r="L365" s="53" t="n">
        <v>26.1</v>
      </c>
      <c r="M365" s="54"/>
      <c r="N365" s="51" t="n">
        <v>2.252055</v>
      </c>
      <c r="O365" s="55" t="n">
        <v>0</v>
      </c>
      <c r="P365" s="51" t="n">
        <v>144</v>
      </c>
      <c r="Q365" s="49" t="s">
        <v>2098</v>
      </c>
      <c r="R365" s="49" t="s">
        <v>2572</v>
      </c>
      <c r="S365" s="53" t="n">
        <v>0</v>
      </c>
      <c r="T365" s="51" t="n">
        <v>1</v>
      </c>
      <c r="U365" s="56" t="n">
        <f aca="false">I365*O365</f>
        <v>0</v>
      </c>
      <c r="V365" s="56" t="n">
        <f aca="false">J365*O365</f>
        <v>0</v>
      </c>
      <c r="W365" s="56" t="n">
        <f aca="false">((I365+J365)/2)*O365</f>
        <v>0</v>
      </c>
      <c r="X365" s="56" t="n">
        <f aca="false">H365*O365</f>
        <v>0</v>
      </c>
    </row>
    <row r="366" customFormat="false" ht="22.35" hidden="false" customHeight="false" outlineLevel="0" collapsed="false">
      <c r="A366" s="76" t="s">
        <v>2063</v>
      </c>
      <c r="B366" s="7" t="s">
        <v>2699</v>
      </c>
      <c r="C366" s="7" t="s">
        <v>2698</v>
      </c>
      <c r="D366" s="7" t="s">
        <v>2570</v>
      </c>
      <c r="E366" s="77" t="s">
        <v>2571</v>
      </c>
      <c r="F366" s="7" t="s">
        <v>2097</v>
      </c>
      <c r="G366" s="7" t="s">
        <v>2097</v>
      </c>
      <c r="H366" s="9" t="n">
        <v>72</v>
      </c>
      <c r="I366" s="9" t="n">
        <v>0</v>
      </c>
      <c r="J366" s="9" t="n">
        <v>0</v>
      </c>
      <c r="K366" s="52" t="n">
        <v>0</v>
      </c>
      <c r="L366" s="58" t="n">
        <v>26.1</v>
      </c>
      <c r="M366" s="59"/>
      <c r="N366" s="9" t="n">
        <v>1.108219</v>
      </c>
      <c r="O366" s="8" t="n">
        <v>0</v>
      </c>
      <c r="P366" s="9" t="n">
        <v>72</v>
      </c>
      <c r="Q366" s="7" t="s">
        <v>2098</v>
      </c>
      <c r="R366" s="7" t="s">
        <v>2572</v>
      </c>
      <c r="S366" s="58" t="n">
        <v>0</v>
      </c>
      <c r="T366" s="9" t="n">
        <v>1</v>
      </c>
      <c r="U366" s="56" t="n">
        <f aca="false">I366*O366</f>
        <v>0</v>
      </c>
      <c r="V366" s="56" t="n">
        <f aca="false">J366*O366</f>
        <v>0</v>
      </c>
      <c r="W366" s="56" t="n">
        <f aca="false">((I366+J366)/2)*O366</f>
        <v>0</v>
      </c>
      <c r="X366" s="56" t="n">
        <f aca="false">H366*O366</f>
        <v>0</v>
      </c>
    </row>
    <row r="367" customFormat="false" ht="22.35" hidden="false" customHeight="false" outlineLevel="0" collapsed="false">
      <c r="A367" s="76" t="s">
        <v>2063</v>
      </c>
      <c r="B367" s="49" t="s">
        <v>2700</v>
      </c>
      <c r="C367" s="49" t="s">
        <v>2701</v>
      </c>
      <c r="D367" s="49" t="s">
        <v>2570</v>
      </c>
      <c r="E367" s="77" t="s">
        <v>2571</v>
      </c>
      <c r="F367" s="49" t="s">
        <v>2097</v>
      </c>
      <c r="G367" s="49" t="s">
        <v>2097</v>
      </c>
      <c r="H367" s="51" t="n">
        <v>36</v>
      </c>
      <c r="I367" s="51" t="n">
        <v>0</v>
      </c>
      <c r="J367" s="51" t="n">
        <v>0</v>
      </c>
      <c r="K367" s="52" t="n">
        <v>0</v>
      </c>
      <c r="L367" s="53" t="n">
        <v>26.1</v>
      </c>
      <c r="M367" s="54"/>
      <c r="N367" s="51" t="n">
        <v>0.508219</v>
      </c>
      <c r="O367" s="55" t="n">
        <v>0</v>
      </c>
      <c r="P367" s="51" t="n">
        <v>36</v>
      </c>
      <c r="Q367" s="49" t="s">
        <v>2098</v>
      </c>
      <c r="R367" s="49" t="s">
        <v>2572</v>
      </c>
      <c r="S367" s="53" t="n">
        <v>0</v>
      </c>
      <c r="T367" s="51" t="n">
        <v>8</v>
      </c>
      <c r="U367" s="56" t="n">
        <f aca="false">I367*O367</f>
        <v>0</v>
      </c>
      <c r="V367" s="56" t="n">
        <f aca="false">J367*O367</f>
        <v>0</v>
      </c>
      <c r="W367" s="56" t="n">
        <f aca="false">((I367+J367)/2)*O367</f>
        <v>0</v>
      </c>
      <c r="X367" s="56" t="n">
        <f aca="false">H367*O367</f>
        <v>0</v>
      </c>
    </row>
    <row r="368" customFormat="false" ht="22.35" hidden="false" customHeight="false" outlineLevel="0" collapsed="false">
      <c r="A368" s="76" t="s">
        <v>2063</v>
      </c>
      <c r="B368" s="7" t="s">
        <v>2702</v>
      </c>
      <c r="C368" s="7" t="s">
        <v>2701</v>
      </c>
      <c r="D368" s="7" t="s">
        <v>2570</v>
      </c>
      <c r="E368" s="77" t="s">
        <v>2571</v>
      </c>
      <c r="F368" s="7" t="s">
        <v>2097</v>
      </c>
      <c r="G368" s="7" t="s">
        <v>2097</v>
      </c>
      <c r="H368" s="9" t="n">
        <v>2</v>
      </c>
      <c r="I368" s="9" t="n">
        <v>0</v>
      </c>
      <c r="J368" s="9" t="n">
        <v>0</v>
      </c>
      <c r="K368" s="52" t="n">
        <v>0</v>
      </c>
      <c r="L368" s="58" t="n">
        <v>26.1</v>
      </c>
      <c r="M368" s="59"/>
      <c r="N368" s="9" t="n">
        <v>0.013699</v>
      </c>
      <c r="O368" s="8" t="n">
        <v>0</v>
      </c>
      <c r="P368" s="9" t="n">
        <v>2</v>
      </c>
      <c r="Q368" s="7" t="s">
        <v>2098</v>
      </c>
      <c r="R368" s="7" t="s">
        <v>2572</v>
      </c>
      <c r="S368" s="58" t="n">
        <v>0</v>
      </c>
      <c r="T368" s="9" t="n">
        <v>3</v>
      </c>
      <c r="U368" s="56" t="n">
        <f aca="false">I368*O368</f>
        <v>0</v>
      </c>
      <c r="V368" s="56" t="n">
        <f aca="false">J368*O368</f>
        <v>0</v>
      </c>
      <c r="W368" s="56" t="n">
        <f aca="false">((I368+J368)/2)*O368</f>
        <v>0</v>
      </c>
      <c r="X368" s="56" t="n">
        <f aca="false">H368*O368</f>
        <v>0</v>
      </c>
    </row>
    <row r="369" customFormat="false" ht="22.35" hidden="false" customHeight="false" outlineLevel="0" collapsed="false">
      <c r="A369" s="76" t="s">
        <v>2063</v>
      </c>
      <c r="B369" s="49" t="s">
        <v>2703</v>
      </c>
      <c r="C369" s="49" t="s">
        <v>2704</v>
      </c>
      <c r="D369" s="49" t="s">
        <v>2570</v>
      </c>
      <c r="E369" s="77" t="s">
        <v>2571</v>
      </c>
      <c r="F369" s="49" t="s">
        <v>2097</v>
      </c>
      <c r="G369" s="49" t="s">
        <v>2097</v>
      </c>
      <c r="H369" s="51" t="n">
        <v>36</v>
      </c>
      <c r="I369" s="51" t="n">
        <v>0</v>
      </c>
      <c r="J369" s="51" t="n">
        <v>0</v>
      </c>
      <c r="K369" s="52" t="n">
        <v>0</v>
      </c>
      <c r="L369" s="53" t="n">
        <v>26.1</v>
      </c>
      <c r="M369" s="54"/>
      <c r="N369" s="51" t="n">
        <v>0.468493</v>
      </c>
      <c r="O369" s="55" t="n">
        <v>0</v>
      </c>
      <c r="P369" s="51" t="n">
        <v>36</v>
      </c>
      <c r="Q369" s="49" t="s">
        <v>2098</v>
      </c>
      <c r="R369" s="49" t="s">
        <v>2572</v>
      </c>
      <c r="S369" s="53" t="n">
        <v>0</v>
      </c>
      <c r="T369" s="51" t="n">
        <v>12</v>
      </c>
      <c r="U369" s="56" t="n">
        <f aca="false">I369*O369</f>
        <v>0</v>
      </c>
      <c r="V369" s="56" t="n">
        <f aca="false">J369*O369</f>
        <v>0</v>
      </c>
      <c r="W369" s="56" t="n">
        <f aca="false">((I369+J369)/2)*O369</f>
        <v>0</v>
      </c>
      <c r="X369" s="56" t="n">
        <f aca="false">H369*O369</f>
        <v>0</v>
      </c>
    </row>
    <row r="370" customFormat="false" ht="22.35" hidden="false" customHeight="false" outlineLevel="0" collapsed="false">
      <c r="A370" s="76" t="s">
        <v>2063</v>
      </c>
      <c r="B370" s="7" t="s">
        <v>2705</v>
      </c>
      <c r="C370" s="7" t="s">
        <v>2704</v>
      </c>
      <c r="D370" s="7" t="s">
        <v>2570</v>
      </c>
      <c r="E370" s="77" t="s">
        <v>2571</v>
      </c>
      <c r="F370" s="7" t="s">
        <v>2097</v>
      </c>
      <c r="G370" s="7" t="s">
        <v>2097</v>
      </c>
      <c r="H370" s="9" t="n">
        <v>16</v>
      </c>
      <c r="I370" s="9" t="n">
        <v>0</v>
      </c>
      <c r="J370" s="9" t="n">
        <v>0</v>
      </c>
      <c r="K370" s="52" t="n">
        <v>0</v>
      </c>
      <c r="L370" s="58" t="n">
        <v>26.1</v>
      </c>
      <c r="M370" s="59"/>
      <c r="N370" s="9" t="n">
        <v>0.267123</v>
      </c>
      <c r="O370" s="8" t="n">
        <v>0</v>
      </c>
      <c r="P370" s="9" t="n">
        <v>16</v>
      </c>
      <c r="Q370" s="7" t="s">
        <v>2098</v>
      </c>
      <c r="R370" s="7" t="s">
        <v>2572</v>
      </c>
      <c r="S370" s="58" t="n">
        <v>0</v>
      </c>
      <c r="T370" s="9" t="n">
        <v>3</v>
      </c>
      <c r="U370" s="56" t="n">
        <f aca="false">I370*O370</f>
        <v>0</v>
      </c>
      <c r="V370" s="56" t="n">
        <f aca="false">J370*O370</f>
        <v>0</v>
      </c>
      <c r="W370" s="56" t="n">
        <f aca="false">((I370+J370)/2)*O370</f>
        <v>0</v>
      </c>
      <c r="X370" s="56" t="n">
        <f aca="false">H370*O370</f>
        <v>0</v>
      </c>
    </row>
    <row r="371" customFormat="false" ht="22.35" hidden="false" customHeight="false" outlineLevel="0" collapsed="false">
      <c r="A371" s="76" t="s">
        <v>2063</v>
      </c>
      <c r="B371" s="49" t="s">
        <v>2706</v>
      </c>
      <c r="C371" s="49" t="s">
        <v>2707</v>
      </c>
      <c r="D371" s="49" t="s">
        <v>2570</v>
      </c>
      <c r="E371" s="77" t="s">
        <v>2571</v>
      </c>
      <c r="F371" s="49" t="s">
        <v>2097</v>
      </c>
      <c r="G371" s="49" t="s">
        <v>2097</v>
      </c>
      <c r="H371" s="51" t="n">
        <v>16</v>
      </c>
      <c r="I371" s="51" t="n">
        <v>0</v>
      </c>
      <c r="J371" s="51" t="n">
        <v>0</v>
      </c>
      <c r="K371" s="52" t="n">
        <v>0</v>
      </c>
      <c r="L371" s="53" t="n">
        <v>26.1</v>
      </c>
      <c r="M371" s="54"/>
      <c r="N371" s="51" t="n">
        <v>0.247945</v>
      </c>
      <c r="O371" s="55" t="n">
        <v>0</v>
      </c>
      <c r="P371" s="51" t="n">
        <v>16</v>
      </c>
      <c r="Q371" s="49" t="s">
        <v>2098</v>
      </c>
      <c r="R371" s="49" t="s">
        <v>2572</v>
      </c>
      <c r="S371" s="53" t="n">
        <v>0</v>
      </c>
      <c r="T371" s="51" t="n">
        <v>8</v>
      </c>
      <c r="U371" s="56" t="n">
        <f aca="false">I371*O371</f>
        <v>0</v>
      </c>
      <c r="V371" s="56" t="n">
        <f aca="false">J371*O371</f>
        <v>0</v>
      </c>
      <c r="W371" s="56" t="n">
        <f aca="false">((I371+J371)/2)*O371</f>
        <v>0</v>
      </c>
      <c r="X371" s="56" t="n">
        <f aca="false">H371*O371</f>
        <v>0</v>
      </c>
    </row>
    <row r="372" customFormat="false" ht="22.35" hidden="false" customHeight="false" outlineLevel="0" collapsed="false">
      <c r="A372" s="76" t="s">
        <v>2063</v>
      </c>
      <c r="B372" s="7" t="s">
        <v>2708</v>
      </c>
      <c r="C372" s="7" t="s">
        <v>2707</v>
      </c>
      <c r="D372" s="7" t="s">
        <v>2570</v>
      </c>
      <c r="E372" s="77" t="s">
        <v>2571</v>
      </c>
      <c r="F372" s="7" t="s">
        <v>2097</v>
      </c>
      <c r="G372" s="7" t="s">
        <v>2097</v>
      </c>
      <c r="H372" s="9" t="n">
        <v>4</v>
      </c>
      <c r="I372" s="9" t="n">
        <v>0</v>
      </c>
      <c r="J372" s="9" t="n">
        <v>0</v>
      </c>
      <c r="K372" s="52" t="n">
        <v>0</v>
      </c>
      <c r="L372" s="58" t="n">
        <v>26.1</v>
      </c>
      <c r="M372" s="59"/>
      <c r="N372" s="9" t="n">
        <v>0.035616</v>
      </c>
      <c r="O372" s="8" t="n">
        <v>0</v>
      </c>
      <c r="P372" s="9" t="n">
        <v>4</v>
      </c>
      <c r="Q372" s="7" t="s">
        <v>2098</v>
      </c>
      <c r="R372" s="7" t="s">
        <v>2572</v>
      </c>
      <c r="S372" s="58" t="n">
        <v>0</v>
      </c>
      <c r="T372" s="9" t="n">
        <v>3</v>
      </c>
      <c r="U372" s="56" t="n">
        <f aca="false">I372*O372</f>
        <v>0</v>
      </c>
      <c r="V372" s="56" t="n">
        <f aca="false">J372*O372</f>
        <v>0</v>
      </c>
      <c r="W372" s="56" t="n">
        <f aca="false">((I372+J372)/2)*O372</f>
        <v>0</v>
      </c>
      <c r="X372" s="56" t="n">
        <f aca="false">H372*O372</f>
        <v>0</v>
      </c>
    </row>
    <row r="373" customFormat="false" ht="22.35" hidden="false" customHeight="false" outlineLevel="0" collapsed="false">
      <c r="A373" s="76" t="s">
        <v>2063</v>
      </c>
      <c r="B373" s="49" t="s">
        <v>2709</v>
      </c>
      <c r="C373" s="49" t="s">
        <v>2710</v>
      </c>
      <c r="D373" s="49" t="s">
        <v>2570</v>
      </c>
      <c r="E373" s="77" t="s">
        <v>2571</v>
      </c>
      <c r="F373" s="49" t="s">
        <v>2097</v>
      </c>
      <c r="G373" s="49" t="s">
        <v>2097</v>
      </c>
      <c r="H373" s="51" t="n">
        <v>36</v>
      </c>
      <c r="I373" s="51" t="n">
        <v>0</v>
      </c>
      <c r="J373" s="51" t="n">
        <v>0</v>
      </c>
      <c r="K373" s="52" t="n">
        <v>0</v>
      </c>
      <c r="L373" s="53" t="n">
        <v>26.1</v>
      </c>
      <c r="M373" s="54"/>
      <c r="N373" s="51" t="n">
        <v>0.468493</v>
      </c>
      <c r="O373" s="55" t="n">
        <v>0</v>
      </c>
      <c r="P373" s="51" t="n">
        <v>36</v>
      </c>
      <c r="Q373" s="49" t="s">
        <v>2098</v>
      </c>
      <c r="R373" s="49" t="s">
        <v>2572</v>
      </c>
      <c r="S373" s="53" t="n">
        <v>0</v>
      </c>
      <c r="T373" s="51" t="n">
        <v>12</v>
      </c>
      <c r="U373" s="56" t="n">
        <f aca="false">I373*O373</f>
        <v>0</v>
      </c>
      <c r="V373" s="56" t="n">
        <f aca="false">J373*O373</f>
        <v>0</v>
      </c>
      <c r="W373" s="56" t="n">
        <f aca="false">((I373+J373)/2)*O373</f>
        <v>0</v>
      </c>
      <c r="X373" s="56" t="n">
        <f aca="false">H373*O373</f>
        <v>0</v>
      </c>
    </row>
    <row r="374" customFormat="false" ht="22.35" hidden="false" customHeight="false" outlineLevel="0" collapsed="false">
      <c r="A374" s="76" t="s">
        <v>2063</v>
      </c>
      <c r="B374" s="7" t="s">
        <v>2711</v>
      </c>
      <c r="C374" s="7" t="s">
        <v>2710</v>
      </c>
      <c r="D374" s="7" t="s">
        <v>2570</v>
      </c>
      <c r="E374" s="77" t="s">
        <v>2571</v>
      </c>
      <c r="F374" s="7" t="s">
        <v>2097</v>
      </c>
      <c r="G374" s="7" t="s">
        <v>2097</v>
      </c>
      <c r="H374" s="9" t="n">
        <v>10</v>
      </c>
      <c r="I374" s="9" t="n">
        <v>0</v>
      </c>
      <c r="J374" s="9" t="n">
        <v>0</v>
      </c>
      <c r="K374" s="52" t="n">
        <v>0</v>
      </c>
      <c r="L374" s="58" t="n">
        <v>26.1</v>
      </c>
      <c r="M374" s="59"/>
      <c r="N374" s="9" t="n">
        <v>0.138356</v>
      </c>
      <c r="O374" s="8" t="n">
        <v>0</v>
      </c>
      <c r="P374" s="9" t="n">
        <v>10</v>
      </c>
      <c r="Q374" s="7" t="s">
        <v>2098</v>
      </c>
      <c r="R374" s="7" t="s">
        <v>2572</v>
      </c>
      <c r="S374" s="58" t="n">
        <v>0</v>
      </c>
      <c r="T374" s="9" t="n">
        <v>3</v>
      </c>
      <c r="U374" s="56" t="n">
        <f aca="false">I374*O374</f>
        <v>0</v>
      </c>
      <c r="V374" s="56" t="n">
        <f aca="false">J374*O374</f>
        <v>0</v>
      </c>
      <c r="W374" s="56" t="n">
        <f aca="false">((I374+J374)/2)*O374</f>
        <v>0</v>
      </c>
      <c r="X374" s="56" t="n">
        <f aca="false">H374*O374</f>
        <v>0</v>
      </c>
    </row>
    <row r="375" customFormat="false" ht="22.35" hidden="false" customHeight="false" outlineLevel="0" collapsed="false">
      <c r="A375" s="76" t="s">
        <v>2063</v>
      </c>
      <c r="B375" s="49" t="s">
        <v>2712</v>
      </c>
      <c r="C375" s="49" t="s">
        <v>2713</v>
      </c>
      <c r="D375" s="49" t="s">
        <v>2570</v>
      </c>
      <c r="E375" s="77" t="s">
        <v>2571</v>
      </c>
      <c r="F375" s="49" t="s">
        <v>2097</v>
      </c>
      <c r="G375" s="49" t="s">
        <v>2097</v>
      </c>
      <c r="H375" s="51" t="n">
        <v>96</v>
      </c>
      <c r="I375" s="51" t="n">
        <v>0</v>
      </c>
      <c r="J375" s="51" t="n">
        <v>0</v>
      </c>
      <c r="K375" s="52" t="n">
        <v>0</v>
      </c>
      <c r="L375" s="53" t="n">
        <v>33.3</v>
      </c>
      <c r="M375" s="54" t="n">
        <v>90.1</v>
      </c>
      <c r="N375" s="51" t="n">
        <v>0.046575</v>
      </c>
      <c r="O375" s="55" t="n">
        <v>0</v>
      </c>
      <c r="P375" s="51" t="n">
        <v>96</v>
      </c>
      <c r="Q375" s="49" t="s">
        <v>2098</v>
      </c>
      <c r="R375" s="49" t="s">
        <v>2572</v>
      </c>
      <c r="S375" s="53" t="n">
        <v>0</v>
      </c>
      <c r="T375" s="51" t="n">
        <v>1</v>
      </c>
      <c r="U375" s="56" t="n">
        <f aca="false">I375*O375</f>
        <v>0</v>
      </c>
      <c r="V375" s="56" t="n">
        <f aca="false">J375*O375</f>
        <v>0</v>
      </c>
      <c r="W375" s="56" t="n">
        <f aca="false">((I375+J375)/2)*O375</f>
        <v>0</v>
      </c>
      <c r="X375" s="56" t="n">
        <f aca="false">H375*O375</f>
        <v>0</v>
      </c>
    </row>
    <row r="376" customFormat="false" ht="22.35" hidden="false" customHeight="false" outlineLevel="0" collapsed="false">
      <c r="A376" s="76" t="s">
        <v>2063</v>
      </c>
      <c r="B376" s="7" t="s">
        <v>2714</v>
      </c>
      <c r="C376" s="7" t="s">
        <v>2715</v>
      </c>
      <c r="D376" s="7" t="s">
        <v>2570</v>
      </c>
      <c r="E376" s="77" t="s">
        <v>2571</v>
      </c>
      <c r="F376" s="7" t="s">
        <v>2097</v>
      </c>
      <c r="G376" s="7" t="s">
        <v>2097</v>
      </c>
      <c r="H376" s="9" t="n">
        <v>484</v>
      </c>
      <c r="I376" s="9" t="n">
        <v>0</v>
      </c>
      <c r="J376" s="9" t="n">
        <v>0</v>
      </c>
      <c r="K376" s="52" t="n">
        <v>0</v>
      </c>
      <c r="L376" s="58" t="n">
        <v>26.1</v>
      </c>
      <c r="M376" s="59"/>
      <c r="N376" s="9" t="n">
        <v>0.068493</v>
      </c>
      <c r="O376" s="8" t="n">
        <v>0</v>
      </c>
      <c r="P376" s="9" t="n">
        <v>484</v>
      </c>
      <c r="Q376" s="7" t="s">
        <v>2098</v>
      </c>
      <c r="R376" s="7" t="s">
        <v>2572</v>
      </c>
      <c r="S376" s="58" t="n">
        <v>0</v>
      </c>
      <c r="T376" s="9" t="n">
        <v>1</v>
      </c>
      <c r="U376" s="56" t="n">
        <f aca="false">I376*O376</f>
        <v>0</v>
      </c>
      <c r="V376" s="56" t="n">
        <f aca="false">J376*O376</f>
        <v>0</v>
      </c>
      <c r="W376" s="56" t="n">
        <f aca="false">((I376+J376)/2)*O376</f>
        <v>0</v>
      </c>
      <c r="X376" s="56" t="n">
        <f aca="false">H376*O376</f>
        <v>0</v>
      </c>
    </row>
    <row r="377" customFormat="false" ht="22.35" hidden="false" customHeight="false" outlineLevel="0" collapsed="false">
      <c r="A377" s="76" t="s">
        <v>2063</v>
      </c>
      <c r="B377" s="49" t="s">
        <v>2716</v>
      </c>
      <c r="C377" s="49" t="s">
        <v>2717</v>
      </c>
      <c r="D377" s="49" t="s">
        <v>2570</v>
      </c>
      <c r="E377" s="77" t="s">
        <v>2571</v>
      </c>
      <c r="F377" s="49" t="s">
        <v>2097</v>
      </c>
      <c r="G377" s="49" t="s">
        <v>2097</v>
      </c>
      <c r="H377" s="51" t="n">
        <v>48</v>
      </c>
      <c r="I377" s="51" t="n">
        <v>0</v>
      </c>
      <c r="J377" s="51" t="n">
        <v>0</v>
      </c>
      <c r="K377" s="52" t="n">
        <v>0</v>
      </c>
      <c r="L377" s="53" t="n">
        <v>41.9</v>
      </c>
      <c r="M377" s="54" t="n">
        <v>82.1</v>
      </c>
      <c r="N377" s="51" t="n">
        <v>0.036986</v>
      </c>
      <c r="O377" s="55" t="n">
        <v>0</v>
      </c>
      <c r="P377" s="51" t="n">
        <v>48</v>
      </c>
      <c r="Q377" s="49" t="s">
        <v>2098</v>
      </c>
      <c r="R377" s="49" t="s">
        <v>2572</v>
      </c>
      <c r="S377" s="53" t="n">
        <v>0</v>
      </c>
      <c r="T377" s="51" t="n">
        <v>1</v>
      </c>
      <c r="U377" s="56" t="n">
        <f aca="false">I377*O377</f>
        <v>0</v>
      </c>
      <c r="V377" s="56" t="n">
        <f aca="false">J377*O377</f>
        <v>0</v>
      </c>
      <c r="W377" s="56" t="n">
        <f aca="false">((I377+J377)/2)*O377</f>
        <v>0</v>
      </c>
      <c r="X377" s="56" t="n">
        <f aca="false">H377*O377</f>
        <v>0</v>
      </c>
    </row>
    <row r="378" customFormat="false" ht="22.35" hidden="false" customHeight="false" outlineLevel="0" collapsed="false">
      <c r="A378" s="76" t="s">
        <v>2063</v>
      </c>
      <c r="B378" s="7" t="s">
        <v>2718</v>
      </c>
      <c r="C378" s="7" t="s">
        <v>2719</v>
      </c>
      <c r="D378" s="7" t="s">
        <v>2570</v>
      </c>
      <c r="E378" s="77" t="s">
        <v>2571</v>
      </c>
      <c r="F378" s="7" t="s">
        <v>2097</v>
      </c>
      <c r="G378" s="7" t="s">
        <v>2097</v>
      </c>
      <c r="H378" s="9" t="n">
        <v>36</v>
      </c>
      <c r="I378" s="9" t="n">
        <v>0</v>
      </c>
      <c r="J378" s="9" t="n">
        <v>0</v>
      </c>
      <c r="K378" s="52" t="n">
        <v>0</v>
      </c>
      <c r="L378" s="58" t="n">
        <v>34.6</v>
      </c>
      <c r="M378" s="59" t="n">
        <v>92</v>
      </c>
      <c r="N378" s="9" t="n">
        <v>0.016438</v>
      </c>
      <c r="O378" s="8" t="n">
        <v>0</v>
      </c>
      <c r="P378" s="9" t="n">
        <v>36</v>
      </c>
      <c r="Q378" s="7" t="s">
        <v>2098</v>
      </c>
      <c r="R378" s="7" t="s">
        <v>2572</v>
      </c>
      <c r="S378" s="58" t="n">
        <v>0</v>
      </c>
      <c r="T378" s="9" t="n">
        <v>1</v>
      </c>
      <c r="U378" s="56" t="n">
        <f aca="false">I378*O378</f>
        <v>0</v>
      </c>
      <c r="V378" s="56" t="n">
        <f aca="false">J378*O378</f>
        <v>0</v>
      </c>
      <c r="W378" s="56" t="n">
        <f aca="false">((I378+J378)/2)*O378</f>
        <v>0</v>
      </c>
      <c r="X378" s="56" t="n">
        <f aca="false">H378*O378</f>
        <v>0</v>
      </c>
    </row>
    <row r="379" customFormat="false" ht="22.35" hidden="false" customHeight="false" outlineLevel="0" collapsed="false">
      <c r="A379" s="76" t="s">
        <v>2063</v>
      </c>
      <c r="B379" s="49" t="s">
        <v>2720</v>
      </c>
      <c r="C379" s="49" t="s">
        <v>2721</v>
      </c>
      <c r="D379" s="49" t="s">
        <v>2570</v>
      </c>
      <c r="E379" s="77" t="s">
        <v>2571</v>
      </c>
      <c r="F379" s="49" t="s">
        <v>2097</v>
      </c>
      <c r="G379" s="49" t="s">
        <v>2097</v>
      </c>
      <c r="H379" s="51" t="n">
        <v>3</v>
      </c>
      <c r="I379" s="51" t="n">
        <v>0</v>
      </c>
      <c r="J379" s="51" t="n">
        <v>0</v>
      </c>
      <c r="K379" s="52" t="n">
        <v>0</v>
      </c>
      <c r="L379" s="53" t="n">
        <v>71.5</v>
      </c>
      <c r="M379" s="54" t="n">
        <v>50</v>
      </c>
      <c r="N379" s="51" t="n">
        <v>0</v>
      </c>
      <c r="O379" s="55" t="n">
        <v>0</v>
      </c>
      <c r="P379" s="51" t="n">
        <v>3</v>
      </c>
      <c r="Q379" s="49" t="s">
        <v>2098</v>
      </c>
      <c r="R379" s="49" t="s">
        <v>2572</v>
      </c>
      <c r="S379" s="53" t="n">
        <v>0</v>
      </c>
      <c r="T379" s="51" t="n">
        <v>1</v>
      </c>
      <c r="U379" s="56" t="n">
        <f aca="false">I379*O379</f>
        <v>0</v>
      </c>
      <c r="V379" s="56" t="n">
        <f aca="false">J379*O379</f>
        <v>0</v>
      </c>
      <c r="W379" s="56" t="n">
        <f aca="false">((I379+J379)/2)*O379</f>
        <v>0</v>
      </c>
      <c r="X379" s="56" t="n">
        <f aca="false">H379*O379</f>
        <v>0</v>
      </c>
    </row>
    <row r="380" customFormat="false" ht="22.35" hidden="false" customHeight="false" outlineLevel="0" collapsed="false">
      <c r="A380" s="76" t="s">
        <v>2063</v>
      </c>
      <c r="B380" s="7" t="s">
        <v>2722</v>
      </c>
      <c r="C380" s="7" t="s">
        <v>2723</v>
      </c>
      <c r="D380" s="7" t="s">
        <v>2570</v>
      </c>
      <c r="E380" s="77" t="s">
        <v>2571</v>
      </c>
      <c r="F380" s="7" t="s">
        <v>2097</v>
      </c>
      <c r="G380" s="7" t="s">
        <v>2097</v>
      </c>
      <c r="H380" s="9" t="n">
        <v>48</v>
      </c>
      <c r="I380" s="9" t="n">
        <v>0</v>
      </c>
      <c r="J380" s="9" t="n">
        <v>0</v>
      </c>
      <c r="K380" s="52" t="n">
        <v>0</v>
      </c>
      <c r="L380" s="58" t="n">
        <v>49</v>
      </c>
      <c r="M380" s="59" t="n">
        <v>80.2</v>
      </c>
      <c r="N380" s="9" t="n">
        <v>0.00274</v>
      </c>
      <c r="O380" s="8" t="n">
        <v>0</v>
      </c>
      <c r="P380" s="9" t="n">
        <v>48</v>
      </c>
      <c r="Q380" s="7" t="s">
        <v>2098</v>
      </c>
      <c r="R380" s="7" t="s">
        <v>2572</v>
      </c>
      <c r="S380" s="58" t="n">
        <v>0</v>
      </c>
      <c r="T380" s="9" t="n">
        <v>1</v>
      </c>
      <c r="U380" s="56" t="n">
        <f aca="false">I380*O380</f>
        <v>0</v>
      </c>
      <c r="V380" s="56" t="n">
        <f aca="false">J380*O380</f>
        <v>0</v>
      </c>
      <c r="W380" s="56" t="n">
        <f aca="false">((I380+J380)/2)*O380</f>
        <v>0</v>
      </c>
      <c r="X380" s="56" t="n">
        <f aca="false">H380*O380</f>
        <v>0</v>
      </c>
    </row>
    <row r="381" customFormat="false" ht="22.35" hidden="false" customHeight="false" outlineLevel="0" collapsed="false">
      <c r="A381" s="76" t="s">
        <v>2063</v>
      </c>
      <c r="B381" s="49" t="s">
        <v>2724</v>
      </c>
      <c r="C381" s="49" t="s">
        <v>2725</v>
      </c>
      <c r="D381" s="49" t="s">
        <v>2570</v>
      </c>
      <c r="E381" s="77" t="s">
        <v>2571</v>
      </c>
      <c r="F381" s="49" t="s">
        <v>2097</v>
      </c>
      <c r="G381" s="49" t="s">
        <v>2097</v>
      </c>
      <c r="H381" s="51" t="n">
        <v>36</v>
      </c>
      <c r="I381" s="51" t="n">
        <v>0</v>
      </c>
      <c r="J381" s="51" t="n">
        <v>0</v>
      </c>
      <c r="K381" s="52" t="n">
        <v>0</v>
      </c>
      <c r="L381" s="53" t="n">
        <v>43.5</v>
      </c>
      <c r="M381" s="54" t="n">
        <v>89.3</v>
      </c>
      <c r="N381" s="51" t="n">
        <v>0.016438</v>
      </c>
      <c r="O381" s="55" t="n">
        <v>0</v>
      </c>
      <c r="P381" s="51" t="n">
        <v>36</v>
      </c>
      <c r="Q381" s="49" t="s">
        <v>2098</v>
      </c>
      <c r="R381" s="49" t="s">
        <v>2572</v>
      </c>
      <c r="S381" s="53" t="n">
        <v>0</v>
      </c>
      <c r="T381" s="51" t="n">
        <v>1</v>
      </c>
      <c r="U381" s="56" t="n">
        <f aca="false">I381*O381</f>
        <v>0</v>
      </c>
      <c r="V381" s="56" t="n">
        <f aca="false">J381*O381</f>
        <v>0</v>
      </c>
      <c r="W381" s="56" t="n">
        <f aca="false">((I381+J381)/2)*O381</f>
        <v>0</v>
      </c>
      <c r="X381" s="56" t="n">
        <f aca="false">H381*O381</f>
        <v>0</v>
      </c>
    </row>
    <row r="382" customFormat="false" ht="22.35" hidden="false" customHeight="false" outlineLevel="0" collapsed="false">
      <c r="A382" s="76" t="s">
        <v>2063</v>
      </c>
      <c r="B382" s="7" t="s">
        <v>2726</v>
      </c>
      <c r="C382" s="7" t="s">
        <v>2727</v>
      </c>
      <c r="D382" s="7" t="s">
        <v>2570</v>
      </c>
      <c r="E382" s="77" t="s">
        <v>2571</v>
      </c>
      <c r="F382" s="7" t="s">
        <v>2097</v>
      </c>
      <c r="G382" s="7" t="s">
        <v>2097</v>
      </c>
      <c r="H382" s="9" t="n">
        <v>72</v>
      </c>
      <c r="I382" s="9" t="n">
        <v>0</v>
      </c>
      <c r="J382" s="9" t="n">
        <v>0</v>
      </c>
      <c r="K382" s="52" t="n">
        <v>0</v>
      </c>
      <c r="L382" s="58" t="n">
        <v>29.4</v>
      </c>
      <c r="M382" s="59" t="n">
        <v>89.9</v>
      </c>
      <c r="N382" s="9" t="n">
        <v>0.016438</v>
      </c>
      <c r="O382" s="8" t="n">
        <v>0</v>
      </c>
      <c r="P382" s="9" t="n">
        <v>72</v>
      </c>
      <c r="Q382" s="7" t="s">
        <v>2098</v>
      </c>
      <c r="R382" s="7" t="s">
        <v>2572</v>
      </c>
      <c r="S382" s="58" t="n">
        <v>0</v>
      </c>
      <c r="T382" s="9" t="n">
        <v>1</v>
      </c>
      <c r="U382" s="56" t="n">
        <f aca="false">I382*O382</f>
        <v>0</v>
      </c>
      <c r="V382" s="56" t="n">
        <f aca="false">J382*O382</f>
        <v>0</v>
      </c>
      <c r="W382" s="56" t="n">
        <f aca="false">((I382+J382)/2)*O382</f>
        <v>0</v>
      </c>
      <c r="X382" s="56" t="n">
        <f aca="false">H382*O382</f>
        <v>0</v>
      </c>
    </row>
    <row r="383" customFormat="false" ht="22.35" hidden="false" customHeight="false" outlineLevel="0" collapsed="false">
      <c r="A383" s="76" t="s">
        <v>2063</v>
      </c>
      <c r="B383" s="49" t="s">
        <v>2728</v>
      </c>
      <c r="C383" s="49" t="s">
        <v>2729</v>
      </c>
      <c r="D383" s="49" t="s">
        <v>2570</v>
      </c>
      <c r="E383" s="77" t="s">
        <v>2571</v>
      </c>
      <c r="F383" s="49" t="s">
        <v>2097</v>
      </c>
      <c r="G383" s="49" t="s">
        <v>2097</v>
      </c>
      <c r="H383" s="51" t="n">
        <v>36</v>
      </c>
      <c r="I383" s="51" t="n">
        <v>0</v>
      </c>
      <c r="J383" s="51" t="n">
        <v>0</v>
      </c>
      <c r="K383" s="52" t="n">
        <v>0</v>
      </c>
      <c r="L383" s="53" t="n">
        <v>32.5</v>
      </c>
      <c r="M383" s="54" t="n">
        <v>89.6</v>
      </c>
      <c r="N383" s="51" t="n">
        <v>0.005479</v>
      </c>
      <c r="O383" s="55" t="n">
        <v>0</v>
      </c>
      <c r="P383" s="51" t="n">
        <v>36</v>
      </c>
      <c r="Q383" s="49" t="s">
        <v>2098</v>
      </c>
      <c r="R383" s="49" t="s">
        <v>2572</v>
      </c>
      <c r="S383" s="53" t="n">
        <v>0</v>
      </c>
      <c r="T383" s="51" t="n">
        <v>1</v>
      </c>
      <c r="U383" s="56" t="n">
        <f aca="false">I383*O383</f>
        <v>0</v>
      </c>
      <c r="V383" s="56" t="n">
        <f aca="false">J383*O383</f>
        <v>0</v>
      </c>
      <c r="W383" s="56" t="n">
        <f aca="false">((I383+J383)/2)*O383</f>
        <v>0</v>
      </c>
      <c r="X383" s="56" t="n">
        <f aca="false">H383*O383</f>
        <v>0</v>
      </c>
    </row>
    <row r="384" customFormat="false" ht="22.35" hidden="false" customHeight="false" outlineLevel="0" collapsed="false">
      <c r="A384" s="76" t="s">
        <v>2063</v>
      </c>
      <c r="B384" s="7" t="s">
        <v>2730</v>
      </c>
      <c r="C384" s="7" t="s">
        <v>2731</v>
      </c>
      <c r="D384" s="7" t="s">
        <v>2570</v>
      </c>
      <c r="E384" s="77" t="s">
        <v>2571</v>
      </c>
      <c r="F384" s="7" t="s">
        <v>2097</v>
      </c>
      <c r="G384" s="7" t="s">
        <v>2097</v>
      </c>
      <c r="H384" s="9" t="n">
        <v>36</v>
      </c>
      <c r="I384" s="9" t="n">
        <v>0</v>
      </c>
      <c r="J384" s="9" t="n">
        <v>0</v>
      </c>
      <c r="K384" s="52" t="n">
        <v>0</v>
      </c>
      <c r="L384" s="58" t="n">
        <v>50.9</v>
      </c>
      <c r="M384" s="59" t="n">
        <v>84.1</v>
      </c>
      <c r="N384" s="9" t="n">
        <v>0.017808</v>
      </c>
      <c r="O384" s="8" t="n">
        <v>0</v>
      </c>
      <c r="P384" s="9" t="n">
        <v>36</v>
      </c>
      <c r="Q384" s="7" t="s">
        <v>2098</v>
      </c>
      <c r="R384" s="7" t="s">
        <v>2572</v>
      </c>
      <c r="S384" s="58" t="n">
        <v>0</v>
      </c>
      <c r="T384" s="9" t="n">
        <v>1</v>
      </c>
      <c r="U384" s="56" t="n">
        <f aca="false">I384*O384</f>
        <v>0</v>
      </c>
      <c r="V384" s="56" t="n">
        <f aca="false">J384*O384</f>
        <v>0</v>
      </c>
      <c r="W384" s="56" t="n">
        <f aca="false">((I384+J384)/2)*O384</f>
        <v>0</v>
      </c>
      <c r="X384" s="56" t="n">
        <f aca="false">H384*O384</f>
        <v>0</v>
      </c>
    </row>
    <row r="385" customFormat="false" ht="22.35" hidden="false" customHeight="false" outlineLevel="0" collapsed="false">
      <c r="A385" s="76" t="s">
        <v>2063</v>
      </c>
      <c r="B385" s="49" t="s">
        <v>2732</v>
      </c>
      <c r="C385" s="49" t="s">
        <v>2733</v>
      </c>
      <c r="D385" s="49" t="s">
        <v>2570</v>
      </c>
      <c r="E385" s="77" t="s">
        <v>2571</v>
      </c>
      <c r="F385" s="49" t="s">
        <v>2097</v>
      </c>
      <c r="G385" s="49" t="s">
        <v>2097</v>
      </c>
      <c r="H385" s="51" t="n">
        <v>6</v>
      </c>
      <c r="I385" s="51" t="n">
        <v>0</v>
      </c>
      <c r="J385" s="51" t="n">
        <v>0</v>
      </c>
      <c r="K385" s="52" t="n">
        <v>0</v>
      </c>
      <c r="L385" s="53" t="n">
        <v>49.2</v>
      </c>
      <c r="M385" s="54" t="n">
        <v>100</v>
      </c>
      <c r="N385" s="51" t="n">
        <v>0</v>
      </c>
      <c r="O385" s="55" t="n">
        <v>0</v>
      </c>
      <c r="P385" s="51" t="n">
        <v>6</v>
      </c>
      <c r="Q385" s="49" t="s">
        <v>2098</v>
      </c>
      <c r="R385" s="49" t="s">
        <v>2572</v>
      </c>
      <c r="S385" s="53" t="n">
        <v>0</v>
      </c>
      <c r="T385" s="51" t="n">
        <v>1</v>
      </c>
      <c r="U385" s="56" t="n">
        <f aca="false">I385*O385</f>
        <v>0</v>
      </c>
      <c r="V385" s="56" t="n">
        <f aca="false">J385*O385</f>
        <v>0</v>
      </c>
      <c r="W385" s="56" t="n">
        <f aca="false">((I385+J385)/2)*O385</f>
        <v>0</v>
      </c>
      <c r="X385" s="56" t="n">
        <f aca="false">H385*O385</f>
        <v>0</v>
      </c>
    </row>
    <row r="386" customFormat="false" ht="22.35" hidden="false" customHeight="false" outlineLevel="0" collapsed="false">
      <c r="A386" s="76" t="s">
        <v>2063</v>
      </c>
      <c r="B386" s="7" t="s">
        <v>2734</v>
      </c>
      <c r="C386" s="7" t="s">
        <v>2735</v>
      </c>
      <c r="D386" s="7" t="s">
        <v>2570</v>
      </c>
      <c r="E386" s="77" t="s">
        <v>2571</v>
      </c>
      <c r="F386" s="7" t="s">
        <v>2097</v>
      </c>
      <c r="G386" s="7" t="s">
        <v>2097</v>
      </c>
      <c r="H386" s="9" t="n">
        <v>72</v>
      </c>
      <c r="I386" s="9" t="n">
        <v>0</v>
      </c>
      <c r="J386" s="9" t="n">
        <v>0</v>
      </c>
      <c r="K386" s="52" t="n">
        <v>0</v>
      </c>
      <c r="L386" s="58" t="n">
        <v>33.2</v>
      </c>
      <c r="M386" s="59" t="n">
        <v>83.8</v>
      </c>
      <c r="N386" s="9" t="n">
        <v>0.024658</v>
      </c>
      <c r="O386" s="8" t="n">
        <v>0</v>
      </c>
      <c r="P386" s="9" t="n">
        <v>72</v>
      </c>
      <c r="Q386" s="7" t="s">
        <v>2098</v>
      </c>
      <c r="R386" s="7" t="s">
        <v>2572</v>
      </c>
      <c r="S386" s="58" t="n">
        <v>0</v>
      </c>
      <c r="T386" s="9" t="n">
        <v>1</v>
      </c>
      <c r="U386" s="56" t="n">
        <f aca="false">I386*O386</f>
        <v>0</v>
      </c>
      <c r="V386" s="56" t="n">
        <f aca="false">J386*O386</f>
        <v>0</v>
      </c>
      <c r="W386" s="56" t="n">
        <f aca="false">((I386+J386)/2)*O386</f>
        <v>0</v>
      </c>
      <c r="X386" s="56" t="n">
        <f aca="false">H386*O386</f>
        <v>0</v>
      </c>
    </row>
    <row r="387" customFormat="false" ht="22.35" hidden="false" customHeight="false" outlineLevel="0" collapsed="false">
      <c r="A387" s="76" t="s">
        <v>2063</v>
      </c>
      <c r="B387" s="49" t="s">
        <v>2736</v>
      </c>
      <c r="C387" s="49" t="s">
        <v>2737</v>
      </c>
      <c r="D387" s="49" t="s">
        <v>2570</v>
      </c>
      <c r="E387" s="77" t="s">
        <v>2571</v>
      </c>
      <c r="F387" s="49" t="s">
        <v>2097</v>
      </c>
      <c r="G387" s="49" t="s">
        <v>2097</v>
      </c>
      <c r="H387" s="51" t="n">
        <v>72</v>
      </c>
      <c r="I387" s="51" t="n">
        <v>0</v>
      </c>
      <c r="J387" s="51" t="n">
        <v>0</v>
      </c>
      <c r="K387" s="52" t="n">
        <v>0</v>
      </c>
      <c r="L387" s="53" t="n">
        <v>32.7</v>
      </c>
      <c r="M387" s="54" t="n">
        <v>83.7</v>
      </c>
      <c r="N387" s="51" t="n">
        <v>0.049315</v>
      </c>
      <c r="O387" s="55" t="n">
        <v>0</v>
      </c>
      <c r="P387" s="51" t="n">
        <v>72</v>
      </c>
      <c r="Q387" s="49" t="s">
        <v>2098</v>
      </c>
      <c r="R387" s="49" t="s">
        <v>2572</v>
      </c>
      <c r="S387" s="53" t="n">
        <v>0</v>
      </c>
      <c r="T387" s="51" t="n">
        <v>1</v>
      </c>
      <c r="U387" s="56" t="n">
        <f aca="false">I387*O387</f>
        <v>0</v>
      </c>
      <c r="V387" s="56" t="n">
        <f aca="false">J387*O387</f>
        <v>0</v>
      </c>
      <c r="W387" s="56" t="n">
        <f aca="false">((I387+J387)/2)*O387</f>
        <v>0</v>
      </c>
      <c r="X387" s="56" t="n">
        <f aca="false">H387*O387</f>
        <v>0</v>
      </c>
    </row>
    <row r="388" customFormat="false" ht="22.35" hidden="false" customHeight="false" outlineLevel="0" collapsed="false">
      <c r="A388" s="76" t="s">
        <v>2063</v>
      </c>
      <c r="B388" s="7" t="s">
        <v>2738</v>
      </c>
      <c r="C388" s="7" t="s">
        <v>2739</v>
      </c>
      <c r="D388" s="7" t="s">
        <v>2570</v>
      </c>
      <c r="E388" s="77" t="s">
        <v>2571</v>
      </c>
      <c r="F388" s="7" t="s">
        <v>2097</v>
      </c>
      <c r="G388" s="7" t="s">
        <v>2097</v>
      </c>
      <c r="H388" s="9" t="n">
        <v>36</v>
      </c>
      <c r="I388" s="9" t="n">
        <v>0</v>
      </c>
      <c r="J388" s="9" t="n">
        <v>0</v>
      </c>
      <c r="K388" s="52" t="n">
        <v>0</v>
      </c>
      <c r="L388" s="58" t="n">
        <v>35.9</v>
      </c>
      <c r="M388" s="59" t="n">
        <v>78.2</v>
      </c>
      <c r="N388" s="9" t="n">
        <v>0.017808</v>
      </c>
      <c r="O388" s="8" t="n">
        <v>0</v>
      </c>
      <c r="P388" s="9" t="n">
        <v>36</v>
      </c>
      <c r="Q388" s="7" t="s">
        <v>2098</v>
      </c>
      <c r="R388" s="7" t="s">
        <v>2572</v>
      </c>
      <c r="S388" s="58" t="n">
        <v>0</v>
      </c>
      <c r="T388" s="9" t="n">
        <v>1</v>
      </c>
      <c r="U388" s="56" t="n">
        <f aca="false">I388*O388</f>
        <v>0</v>
      </c>
      <c r="V388" s="56" t="n">
        <f aca="false">J388*O388</f>
        <v>0</v>
      </c>
      <c r="W388" s="56" t="n">
        <f aca="false">((I388+J388)/2)*O388</f>
        <v>0</v>
      </c>
      <c r="X388" s="56" t="n">
        <f aca="false">H388*O388</f>
        <v>0</v>
      </c>
    </row>
    <row r="389" customFormat="false" ht="22.35" hidden="false" customHeight="false" outlineLevel="0" collapsed="false">
      <c r="A389" s="76" t="s">
        <v>2063</v>
      </c>
      <c r="B389" s="49" t="s">
        <v>2740</v>
      </c>
      <c r="C389" s="49" t="s">
        <v>2741</v>
      </c>
      <c r="D389" s="49" t="s">
        <v>2570</v>
      </c>
      <c r="E389" s="77" t="s">
        <v>2571</v>
      </c>
      <c r="F389" s="49" t="s">
        <v>2097</v>
      </c>
      <c r="G389" s="49" t="s">
        <v>2097</v>
      </c>
      <c r="H389" s="51" t="n">
        <v>96</v>
      </c>
      <c r="I389" s="51" t="n">
        <v>0</v>
      </c>
      <c r="J389" s="51" t="n">
        <v>0</v>
      </c>
      <c r="K389" s="52" t="n">
        <v>0</v>
      </c>
      <c r="L389" s="53" t="n">
        <v>34</v>
      </c>
      <c r="M389" s="54" t="n">
        <v>84.9</v>
      </c>
      <c r="N389" s="51" t="n">
        <v>0.065753</v>
      </c>
      <c r="O389" s="55" t="n">
        <v>0</v>
      </c>
      <c r="P389" s="51" t="n">
        <v>96</v>
      </c>
      <c r="Q389" s="49" t="s">
        <v>2098</v>
      </c>
      <c r="R389" s="49" t="s">
        <v>2572</v>
      </c>
      <c r="S389" s="53" t="n">
        <v>0</v>
      </c>
      <c r="T389" s="51" t="n">
        <v>1</v>
      </c>
      <c r="U389" s="56" t="n">
        <f aca="false">I389*O389</f>
        <v>0</v>
      </c>
      <c r="V389" s="56" t="n">
        <f aca="false">J389*O389</f>
        <v>0</v>
      </c>
      <c r="W389" s="56" t="n">
        <f aca="false">((I389+J389)/2)*O389</f>
        <v>0</v>
      </c>
      <c r="X389" s="56" t="n">
        <f aca="false">H389*O389</f>
        <v>0</v>
      </c>
    </row>
    <row r="390" customFormat="false" ht="22.35" hidden="false" customHeight="false" outlineLevel="0" collapsed="false">
      <c r="A390" s="76" t="s">
        <v>2063</v>
      </c>
      <c r="B390" s="7" t="s">
        <v>2742</v>
      </c>
      <c r="C390" s="7" t="s">
        <v>2743</v>
      </c>
      <c r="D390" s="7" t="s">
        <v>2570</v>
      </c>
      <c r="E390" s="77" t="s">
        <v>2571</v>
      </c>
      <c r="F390" s="7" t="s">
        <v>2097</v>
      </c>
      <c r="G390" s="7" t="s">
        <v>2097</v>
      </c>
      <c r="H390" s="9" t="n">
        <v>96</v>
      </c>
      <c r="I390" s="9" t="n">
        <v>0</v>
      </c>
      <c r="J390" s="9" t="n">
        <v>0</v>
      </c>
      <c r="K390" s="52" t="n">
        <v>0</v>
      </c>
      <c r="L390" s="58" t="n">
        <v>26.1</v>
      </c>
      <c r="M390" s="59"/>
      <c r="N390" s="9" t="n">
        <v>1.586301</v>
      </c>
      <c r="O390" s="8" t="n">
        <v>0</v>
      </c>
      <c r="P390" s="9" t="n">
        <v>96</v>
      </c>
      <c r="Q390" s="7" t="s">
        <v>2098</v>
      </c>
      <c r="R390" s="7" t="s">
        <v>2572</v>
      </c>
      <c r="S390" s="58" t="n">
        <v>0</v>
      </c>
      <c r="T390" s="9" t="n">
        <v>1</v>
      </c>
      <c r="U390" s="56" t="n">
        <f aca="false">I390*O390</f>
        <v>0</v>
      </c>
      <c r="V390" s="56" t="n">
        <f aca="false">J390*O390</f>
        <v>0</v>
      </c>
      <c r="W390" s="56" t="n">
        <f aca="false">((I390+J390)/2)*O390</f>
        <v>0</v>
      </c>
      <c r="X390" s="56" t="n">
        <f aca="false">H390*O390</f>
        <v>0</v>
      </c>
    </row>
    <row r="391" customFormat="false" ht="22.35" hidden="false" customHeight="false" outlineLevel="0" collapsed="false">
      <c r="A391" s="76" t="s">
        <v>2063</v>
      </c>
      <c r="B391" s="49" t="s">
        <v>2744</v>
      </c>
      <c r="C391" s="49" t="s">
        <v>2745</v>
      </c>
      <c r="D391" s="49" t="s">
        <v>2570</v>
      </c>
      <c r="E391" s="77" t="s">
        <v>2571</v>
      </c>
      <c r="F391" s="49" t="s">
        <v>2097</v>
      </c>
      <c r="G391" s="49" t="s">
        <v>2097</v>
      </c>
      <c r="H391" s="51" t="n">
        <v>876</v>
      </c>
      <c r="I391" s="51" t="n">
        <v>0</v>
      </c>
      <c r="J391" s="51" t="n">
        <v>0</v>
      </c>
      <c r="K391" s="52" t="n">
        <v>0</v>
      </c>
      <c r="L391" s="53" t="n">
        <v>26.1</v>
      </c>
      <c r="M391" s="54"/>
      <c r="N391" s="51" t="n">
        <v>6.90411</v>
      </c>
      <c r="O391" s="55" t="n">
        <v>0</v>
      </c>
      <c r="P391" s="51" t="n">
        <v>876</v>
      </c>
      <c r="Q391" s="49" t="s">
        <v>2098</v>
      </c>
      <c r="R391" s="49" t="s">
        <v>2572</v>
      </c>
      <c r="S391" s="53" t="n">
        <v>0</v>
      </c>
      <c r="T391" s="51" t="n">
        <v>1</v>
      </c>
      <c r="U391" s="56" t="n">
        <f aca="false">I391*O391</f>
        <v>0</v>
      </c>
      <c r="V391" s="56" t="n">
        <f aca="false">J391*O391</f>
        <v>0</v>
      </c>
      <c r="W391" s="56" t="n">
        <f aca="false">((I391+J391)/2)*O391</f>
        <v>0</v>
      </c>
      <c r="X391" s="56" t="n">
        <f aca="false">H391*O391</f>
        <v>0</v>
      </c>
    </row>
    <row r="392" customFormat="false" ht="22.35" hidden="false" customHeight="false" outlineLevel="0" collapsed="false">
      <c r="A392" s="76" t="s">
        <v>2063</v>
      </c>
      <c r="B392" s="7" t="s">
        <v>2746</v>
      </c>
      <c r="C392" s="7" t="s">
        <v>2745</v>
      </c>
      <c r="D392" s="7" t="s">
        <v>2570</v>
      </c>
      <c r="E392" s="77" t="s">
        <v>2571</v>
      </c>
      <c r="F392" s="7" t="s">
        <v>2097</v>
      </c>
      <c r="G392" s="7" t="s">
        <v>2097</v>
      </c>
      <c r="H392" s="9" t="n">
        <v>36</v>
      </c>
      <c r="I392" s="9" t="n">
        <v>0</v>
      </c>
      <c r="J392" s="9" t="n">
        <v>0</v>
      </c>
      <c r="K392" s="52" t="n">
        <v>0</v>
      </c>
      <c r="L392" s="58" t="n">
        <v>26.1</v>
      </c>
      <c r="M392" s="59"/>
      <c r="N392" s="9" t="n">
        <v>0.278082</v>
      </c>
      <c r="O392" s="8" t="n">
        <v>0</v>
      </c>
      <c r="P392" s="9" t="n">
        <v>36</v>
      </c>
      <c r="Q392" s="7" t="s">
        <v>2098</v>
      </c>
      <c r="R392" s="7" t="s">
        <v>2572</v>
      </c>
      <c r="S392" s="58" t="n">
        <v>0</v>
      </c>
      <c r="T392" s="9" t="n">
        <v>1</v>
      </c>
      <c r="U392" s="56" t="n">
        <f aca="false">I392*O392</f>
        <v>0</v>
      </c>
      <c r="V392" s="56" t="n">
        <f aca="false">J392*O392</f>
        <v>0</v>
      </c>
      <c r="W392" s="56" t="n">
        <f aca="false">((I392+J392)/2)*O392</f>
        <v>0</v>
      </c>
      <c r="X392" s="56" t="n">
        <f aca="false">H392*O392</f>
        <v>0</v>
      </c>
    </row>
    <row r="393" customFormat="false" ht="22.35" hidden="false" customHeight="false" outlineLevel="0" collapsed="false">
      <c r="A393" s="76" t="s">
        <v>2063</v>
      </c>
      <c r="B393" s="49" t="s">
        <v>2747</v>
      </c>
      <c r="C393" s="49" t="s">
        <v>2745</v>
      </c>
      <c r="D393" s="49" t="s">
        <v>2570</v>
      </c>
      <c r="E393" s="77" t="s">
        <v>2571</v>
      </c>
      <c r="F393" s="49" t="s">
        <v>2097</v>
      </c>
      <c r="G393" s="49" t="s">
        <v>2097</v>
      </c>
      <c r="H393" s="51" t="n">
        <v>2140</v>
      </c>
      <c r="I393" s="51" t="n">
        <v>0</v>
      </c>
      <c r="J393" s="51" t="n">
        <v>0</v>
      </c>
      <c r="K393" s="52" t="n">
        <v>0</v>
      </c>
      <c r="L393" s="53" t="n">
        <v>26.1</v>
      </c>
      <c r="M393" s="54"/>
      <c r="N393" s="51" t="n">
        <v>20.187671</v>
      </c>
      <c r="O393" s="55" t="n">
        <v>0</v>
      </c>
      <c r="P393" s="51" t="n">
        <v>2140</v>
      </c>
      <c r="Q393" s="49" t="s">
        <v>2098</v>
      </c>
      <c r="R393" s="49" t="s">
        <v>2572</v>
      </c>
      <c r="S393" s="53" t="n">
        <v>0</v>
      </c>
      <c r="T393" s="51" t="n">
        <v>1</v>
      </c>
      <c r="U393" s="56" t="n">
        <f aca="false">I393*O393</f>
        <v>0</v>
      </c>
      <c r="V393" s="56" t="n">
        <f aca="false">J393*O393</f>
        <v>0</v>
      </c>
      <c r="W393" s="56" t="n">
        <f aca="false">((I393+J393)/2)*O393</f>
        <v>0</v>
      </c>
      <c r="X393" s="56" t="n">
        <f aca="false">H393*O393</f>
        <v>0</v>
      </c>
    </row>
    <row r="394" customFormat="false" ht="22.35" hidden="false" customHeight="false" outlineLevel="0" collapsed="false">
      <c r="A394" s="76" t="s">
        <v>2063</v>
      </c>
      <c r="B394" s="7" t="s">
        <v>2748</v>
      </c>
      <c r="C394" s="7" t="s">
        <v>2745</v>
      </c>
      <c r="D394" s="7" t="s">
        <v>2570</v>
      </c>
      <c r="E394" s="77" t="s">
        <v>2571</v>
      </c>
      <c r="F394" s="7" t="s">
        <v>2097</v>
      </c>
      <c r="G394" s="7" t="s">
        <v>2097</v>
      </c>
      <c r="H394" s="9" t="n">
        <v>576</v>
      </c>
      <c r="I394" s="9" t="n">
        <v>0</v>
      </c>
      <c r="J394" s="9" t="n">
        <v>0</v>
      </c>
      <c r="K394" s="52" t="n">
        <v>0</v>
      </c>
      <c r="L394" s="58" t="n">
        <v>26.1</v>
      </c>
      <c r="M394" s="59"/>
      <c r="N394" s="9" t="n">
        <v>7.564384</v>
      </c>
      <c r="O394" s="8" t="n">
        <v>0</v>
      </c>
      <c r="P394" s="9" t="n">
        <v>576</v>
      </c>
      <c r="Q394" s="7" t="s">
        <v>2098</v>
      </c>
      <c r="R394" s="7" t="s">
        <v>2572</v>
      </c>
      <c r="S394" s="58" t="n">
        <v>0</v>
      </c>
      <c r="T394" s="9" t="n">
        <v>1</v>
      </c>
      <c r="U394" s="56" t="n">
        <f aca="false">I394*O394</f>
        <v>0</v>
      </c>
      <c r="V394" s="56" t="n">
        <f aca="false">J394*O394</f>
        <v>0</v>
      </c>
      <c r="W394" s="56" t="n">
        <f aca="false">((I394+J394)/2)*O394</f>
        <v>0</v>
      </c>
      <c r="X394" s="56" t="n">
        <f aca="false">H394*O394</f>
        <v>0</v>
      </c>
    </row>
    <row r="395" customFormat="false" ht="22.35" hidden="false" customHeight="false" outlineLevel="0" collapsed="false">
      <c r="A395" s="76" t="s">
        <v>2063</v>
      </c>
      <c r="B395" s="49" t="s">
        <v>2749</v>
      </c>
      <c r="C395" s="49" t="s">
        <v>2745</v>
      </c>
      <c r="D395" s="49" t="s">
        <v>2570</v>
      </c>
      <c r="E395" s="77" t="s">
        <v>2571</v>
      </c>
      <c r="F395" s="49" t="s">
        <v>2097</v>
      </c>
      <c r="G395" s="49" t="s">
        <v>2097</v>
      </c>
      <c r="H395" s="51" t="n">
        <v>144</v>
      </c>
      <c r="I395" s="51" t="n">
        <v>0</v>
      </c>
      <c r="J395" s="51" t="n">
        <v>0</v>
      </c>
      <c r="K395" s="52" t="n">
        <v>0</v>
      </c>
      <c r="L395" s="53" t="n">
        <v>26.1</v>
      </c>
      <c r="M395" s="54"/>
      <c r="N395" s="51" t="n">
        <v>0.842466</v>
      </c>
      <c r="O395" s="55" t="n">
        <v>0</v>
      </c>
      <c r="P395" s="51" t="n">
        <v>144</v>
      </c>
      <c r="Q395" s="49" t="s">
        <v>2098</v>
      </c>
      <c r="R395" s="49" t="s">
        <v>2572</v>
      </c>
      <c r="S395" s="53" t="n">
        <v>0</v>
      </c>
      <c r="T395" s="51" t="n">
        <v>1</v>
      </c>
      <c r="U395" s="56" t="n">
        <f aca="false">I395*O395</f>
        <v>0</v>
      </c>
      <c r="V395" s="56" t="n">
        <f aca="false">J395*O395</f>
        <v>0</v>
      </c>
      <c r="W395" s="56" t="n">
        <f aca="false">((I395+J395)/2)*O395</f>
        <v>0</v>
      </c>
      <c r="X395" s="56" t="n">
        <f aca="false">H395*O395</f>
        <v>0</v>
      </c>
    </row>
    <row r="396" customFormat="false" ht="22.35" hidden="false" customHeight="false" outlineLevel="0" collapsed="false">
      <c r="A396" s="76" t="s">
        <v>2063</v>
      </c>
      <c r="B396" s="7" t="s">
        <v>2750</v>
      </c>
      <c r="C396" s="7" t="s">
        <v>2745</v>
      </c>
      <c r="D396" s="7" t="s">
        <v>2570</v>
      </c>
      <c r="E396" s="77" t="s">
        <v>2571</v>
      </c>
      <c r="F396" s="7" t="s">
        <v>2097</v>
      </c>
      <c r="G396" s="7" t="s">
        <v>2097</v>
      </c>
      <c r="H396" s="9" t="n">
        <v>64</v>
      </c>
      <c r="I396" s="9" t="n">
        <v>0</v>
      </c>
      <c r="J396" s="9" t="n">
        <v>0</v>
      </c>
      <c r="K396" s="52" t="n">
        <v>0</v>
      </c>
      <c r="L396" s="58" t="n">
        <v>26.1</v>
      </c>
      <c r="M396" s="59"/>
      <c r="N396" s="9" t="n">
        <v>0.673973</v>
      </c>
      <c r="O396" s="8" t="n">
        <v>0</v>
      </c>
      <c r="P396" s="9" t="n">
        <v>64</v>
      </c>
      <c r="Q396" s="7" t="s">
        <v>2098</v>
      </c>
      <c r="R396" s="7" t="s">
        <v>2572</v>
      </c>
      <c r="S396" s="58" t="n">
        <v>0</v>
      </c>
      <c r="T396" s="9" t="n">
        <v>1</v>
      </c>
      <c r="U396" s="56" t="n">
        <f aca="false">I396*O396</f>
        <v>0</v>
      </c>
      <c r="V396" s="56" t="n">
        <f aca="false">J396*O396</f>
        <v>0</v>
      </c>
      <c r="W396" s="56" t="n">
        <f aca="false">((I396+J396)/2)*O396</f>
        <v>0</v>
      </c>
      <c r="X396" s="56" t="n">
        <f aca="false">H396*O396</f>
        <v>0</v>
      </c>
    </row>
    <row r="397" customFormat="false" ht="22.35" hidden="false" customHeight="false" outlineLevel="0" collapsed="false">
      <c r="A397" s="76" t="s">
        <v>2063</v>
      </c>
      <c r="B397" s="49" t="s">
        <v>2751</v>
      </c>
      <c r="C397" s="49" t="s">
        <v>2752</v>
      </c>
      <c r="D397" s="49" t="s">
        <v>2570</v>
      </c>
      <c r="E397" s="77" t="s">
        <v>2571</v>
      </c>
      <c r="F397" s="49" t="s">
        <v>2097</v>
      </c>
      <c r="G397" s="49" t="s">
        <v>2097</v>
      </c>
      <c r="H397" s="51" t="n">
        <v>9</v>
      </c>
      <c r="I397" s="51" t="n">
        <v>0</v>
      </c>
      <c r="J397" s="51" t="n">
        <v>0</v>
      </c>
      <c r="K397" s="52" t="n">
        <v>0</v>
      </c>
      <c r="L397" s="53" t="n">
        <v>26.1</v>
      </c>
      <c r="M397" s="54"/>
      <c r="N397" s="51" t="n">
        <v>0.132877</v>
      </c>
      <c r="O397" s="55" t="n">
        <v>0</v>
      </c>
      <c r="P397" s="51" t="n">
        <v>9</v>
      </c>
      <c r="Q397" s="49" t="s">
        <v>2098</v>
      </c>
      <c r="R397" s="49" t="s">
        <v>2572</v>
      </c>
      <c r="S397" s="53" t="n">
        <v>0</v>
      </c>
      <c r="T397" s="51" t="n">
        <v>1</v>
      </c>
      <c r="U397" s="56" t="n">
        <f aca="false">I397*O397</f>
        <v>0</v>
      </c>
      <c r="V397" s="56" t="n">
        <f aca="false">J397*O397</f>
        <v>0</v>
      </c>
      <c r="W397" s="56" t="n">
        <f aca="false">((I397+J397)/2)*O397</f>
        <v>0</v>
      </c>
      <c r="X397" s="56" t="n">
        <f aca="false">H397*O397</f>
        <v>0</v>
      </c>
    </row>
    <row r="398" customFormat="false" ht="22.35" hidden="false" customHeight="false" outlineLevel="0" collapsed="false">
      <c r="A398" s="76" t="s">
        <v>2063</v>
      </c>
      <c r="B398" s="7" t="s">
        <v>2753</v>
      </c>
      <c r="C398" s="7" t="s">
        <v>2752</v>
      </c>
      <c r="D398" s="7" t="s">
        <v>2570</v>
      </c>
      <c r="E398" s="77" t="s">
        <v>2571</v>
      </c>
      <c r="F398" s="7" t="s">
        <v>2097</v>
      </c>
      <c r="G398" s="7" t="s">
        <v>2097</v>
      </c>
      <c r="H398" s="9" t="n">
        <v>12</v>
      </c>
      <c r="I398" s="9" t="n">
        <v>0</v>
      </c>
      <c r="J398" s="9" t="n">
        <v>0</v>
      </c>
      <c r="K398" s="52" t="n">
        <v>0</v>
      </c>
      <c r="L398" s="58" t="n">
        <v>26.1</v>
      </c>
      <c r="M398" s="59"/>
      <c r="N398" s="9" t="n">
        <v>0.20411</v>
      </c>
      <c r="O398" s="8" t="n">
        <v>0</v>
      </c>
      <c r="P398" s="9" t="n">
        <v>12</v>
      </c>
      <c r="Q398" s="7" t="s">
        <v>2098</v>
      </c>
      <c r="R398" s="7" t="s">
        <v>2572</v>
      </c>
      <c r="S398" s="58" t="n">
        <v>0</v>
      </c>
      <c r="T398" s="9" t="n">
        <v>1</v>
      </c>
      <c r="U398" s="56" t="n">
        <f aca="false">I398*O398</f>
        <v>0</v>
      </c>
      <c r="V398" s="56" t="n">
        <f aca="false">J398*O398</f>
        <v>0</v>
      </c>
      <c r="W398" s="56" t="n">
        <f aca="false">((I398+J398)/2)*O398</f>
        <v>0</v>
      </c>
      <c r="X398" s="56" t="n">
        <f aca="false">H398*O398</f>
        <v>0</v>
      </c>
    </row>
    <row r="399" customFormat="false" ht="22.35" hidden="false" customHeight="false" outlineLevel="0" collapsed="false">
      <c r="A399" s="76" t="s">
        <v>2063</v>
      </c>
      <c r="B399" s="49" t="s">
        <v>2754</v>
      </c>
      <c r="C399" s="49" t="s">
        <v>2755</v>
      </c>
      <c r="D399" s="49" t="s">
        <v>2570</v>
      </c>
      <c r="E399" s="77" t="s">
        <v>2571</v>
      </c>
      <c r="F399" s="49" t="s">
        <v>2097</v>
      </c>
      <c r="G399" s="49" t="s">
        <v>2097</v>
      </c>
      <c r="H399" s="51" t="n">
        <v>64</v>
      </c>
      <c r="I399" s="51" t="n">
        <v>0</v>
      </c>
      <c r="J399" s="51" t="n">
        <v>0</v>
      </c>
      <c r="K399" s="52" t="n">
        <v>0</v>
      </c>
      <c r="L399" s="53" t="n">
        <v>26.1</v>
      </c>
      <c r="M399" s="54"/>
      <c r="N399" s="51" t="n">
        <v>0.724658</v>
      </c>
      <c r="O399" s="55" t="n">
        <v>0</v>
      </c>
      <c r="P399" s="51" t="n">
        <v>64</v>
      </c>
      <c r="Q399" s="49" t="s">
        <v>2098</v>
      </c>
      <c r="R399" s="49" t="s">
        <v>2572</v>
      </c>
      <c r="S399" s="53" t="n">
        <v>0</v>
      </c>
      <c r="T399" s="51" t="n">
        <v>12</v>
      </c>
      <c r="U399" s="56" t="n">
        <f aca="false">I399*O399</f>
        <v>0</v>
      </c>
      <c r="V399" s="56" t="n">
        <f aca="false">J399*O399</f>
        <v>0</v>
      </c>
      <c r="W399" s="56" t="n">
        <f aca="false">((I399+J399)/2)*O399</f>
        <v>0</v>
      </c>
      <c r="X399" s="56" t="n">
        <f aca="false">H399*O399</f>
        <v>0</v>
      </c>
    </row>
    <row r="400" customFormat="false" ht="22.35" hidden="false" customHeight="false" outlineLevel="0" collapsed="false">
      <c r="A400" s="76" t="s">
        <v>2063</v>
      </c>
      <c r="B400" s="7" t="s">
        <v>2756</v>
      </c>
      <c r="C400" s="7" t="s">
        <v>2755</v>
      </c>
      <c r="D400" s="7" t="s">
        <v>2570</v>
      </c>
      <c r="E400" s="77" t="s">
        <v>2571</v>
      </c>
      <c r="F400" s="7" t="s">
        <v>2097</v>
      </c>
      <c r="G400" s="7" t="s">
        <v>2097</v>
      </c>
      <c r="H400" s="9" t="n">
        <v>36</v>
      </c>
      <c r="I400" s="9" t="n">
        <v>0</v>
      </c>
      <c r="J400" s="9" t="n">
        <v>0</v>
      </c>
      <c r="K400" s="52" t="n">
        <v>0</v>
      </c>
      <c r="L400" s="58" t="n">
        <v>26.1</v>
      </c>
      <c r="M400" s="59"/>
      <c r="N400" s="9" t="n">
        <v>0.610959</v>
      </c>
      <c r="O400" s="8" t="n">
        <v>0</v>
      </c>
      <c r="P400" s="9" t="n">
        <v>36</v>
      </c>
      <c r="Q400" s="7" t="s">
        <v>2098</v>
      </c>
      <c r="R400" s="7" t="s">
        <v>2572</v>
      </c>
      <c r="S400" s="58" t="n">
        <v>0</v>
      </c>
      <c r="T400" s="9" t="n">
        <v>12</v>
      </c>
      <c r="U400" s="56" t="n">
        <f aca="false">I400*O400</f>
        <v>0</v>
      </c>
      <c r="V400" s="56" t="n">
        <f aca="false">J400*O400</f>
        <v>0</v>
      </c>
      <c r="W400" s="56" t="n">
        <f aca="false">((I400+J400)/2)*O400</f>
        <v>0</v>
      </c>
      <c r="X400" s="56" t="n">
        <f aca="false">H400*O400</f>
        <v>0</v>
      </c>
    </row>
    <row r="401" customFormat="false" ht="22.35" hidden="false" customHeight="false" outlineLevel="0" collapsed="false">
      <c r="A401" s="76" t="s">
        <v>2063</v>
      </c>
      <c r="B401" s="49" t="s">
        <v>2757</v>
      </c>
      <c r="C401" s="49" t="s">
        <v>2758</v>
      </c>
      <c r="D401" s="49" t="s">
        <v>2570</v>
      </c>
      <c r="E401" s="77" t="s">
        <v>2571</v>
      </c>
      <c r="F401" s="49" t="s">
        <v>2097</v>
      </c>
      <c r="G401" s="49" t="s">
        <v>2097</v>
      </c>
      <c r="H401" s="51" t="n">
        <v>12</v>
      </c>
      <c r="I401" s="51" t="n">
        <v>0</v>
      </c>
      <c r="J401" s="51" t="n">
        <v>0</v>
      </c>
      <c r="K401" s="52" t="n">
        <v>0</v>
      </c>
      <c r="L401" s="53" t="n">
        <v>26.1</v>
      </c>
      <c r="M401" s="54"/>
      <c r="N401" s="51" t="n">
        <v>0.206849</v>
      </c>
      <c r="O401" s="55" t="n">
        <v>0</v>
      </c>
      <c r="P401" s="51" t="n">
        <v>12</v>
      </c>
      <c r="Q401" s="49" t="s">
        <v>2098</v>
      </c>
      <c r="R401" s="49" t="s">
        <v>2572</v>
      </c>
      <c r="S401" s="53" t="n">
        <v>0</v>
      </c>
      <c r="T401" s="51" t="n">
        <v>1</v>
      </c>
      <c r="U401" s="56" t="n">
        <f aca="false">I401*O401</f>
        <v>0</v>
      </c>
      <c r="V401" s="56" t="n">
        <f aca="false">J401*O401</f>
        <v>0</v>
      </c>
      <c r="W401" s="56" t="n">
        <f aca="false">((I401+J401)/2)*O401</f>
        <v>0</v>
      </c>
      <c r="X401" s="56" t="n">
        <f aca="false">H401*O401</f>
        <v>0</v>
      </c>
    </row>
    <row r="402" customFormat="false" ht="22.35" hidden="false" customHeight="false" outlineLevel="0" collapsed="false">
      <c r="A402" s="76" t="s">
        <v>2063</v>
      </c>
      <c r="B402" s="7" t="s">
        <v>2759</v>
      </c>
      <c r="C402" s="7" t="s">
        <v>2758</v>
      </c>
      <c r="D402" s="7" t="s">
        <v>2570</v>
      </c>
      <c r="E402" s="77" t="s">
        <v>2571</v>
      </c>
      <c r="F402" s="7" t="s">
        <v>2097</v>
      </c>
      <c r="G402" s="7" t="s">
        <v>2097</v>
      </c>
      <c r="H402" s="9" t="n">
        <v>32</v>
      </c>
      <c r="I402" s="9" t="n">
        <v>0</v>
      </c>
      <c r="J402" s="9" t="n">
        <v>0</v>
      </c>
      <c r="K402" s="52" t="n">
        <v>0</v>
      </c>
      <c r="L402" s="58" t="n">
        <v>26.1</v>
      </c>
      <c r="M402" s="59"/>
      <c r="N402" s="9" t="n">
        <v>0.557534</v>
      </c>
      <c r="O402" s="8" t="n">
        <v>0</v>
      </c>
      <c r="P402" s="9" t="n">
        <v>32</v>
      </c>
      <c r="Q402" s="7" t="s">
        <v>2098</v>
      </c>
      <c r="R402" s="7" t="s">
        <v>2572</v>
      </c>
      <c r="S402" s="58" t="n">
        <v>0</v>
      </c>
      <c r="T402" s="9" t="n">
        <v>1</v>
      </c>
      <c r="U402" s="56" t="n">
        <f aca="false">I402*O402</f>
        <v>0</v>
      </c>
      <c r="V402" s="56" t="n">
        <f aca="false">J402*O402</f>
        <v>0</v>
      </c>
      <c r="W402" s="56" t="n">
        <f aca="false">((I402+J402)/2)*O402</f>
        <v>0</v>
      </c>
      <c r="X402" s="56" t="n">
        <f aca="false">H402*O402</f>
        <v>0</v>
      </c>
    </row>
    <row r="403" customFormat="false" ht="22.35" hidden="false" customHeight="false" outlineLevel="0" collapsed="false">
      <c r="A403" s="76" t="s">
        <v>2063</v>
      </c>
      <c r="B403" s="49" t="s">
        <v>2760</v>
      </c>
      <c r="C403" s="49" t="s">
        <v>2761</v>
      </c>
      <c r="D403" s="49" t="s">
        <v>2570</v>
      </c>
      <c r="E403" s="77" t="s">
        <v>2571</v>
      </c>
      <c r="F403" s="49" t="s">
        <v>2097</v>
      </c>
      <c r="G403" s="49" t="s">
        <v>2097</v>
      </c>
      <c r="H403" s="51" t="n">
        <v>64</v>
      </c>
      <c r="I403" s="51" t="n">
        <v>0</v>
      </c>
      <c r="J403" s="51" t="n">
        <v>0</v>
      </c>
      <c r="K403" s="52" t="n">
        <v>0</v>
      </c>
      <c r="L403" s="53" t="n">
        <v>26.1</v>
      </c>
      <c r="M403" s="54"/>
      <c r="N403" s="51" t="n">
        <v>0.1</v>
      </c>
      <c r="O403" s="55" t="n">
        <v>0</v>
      </c>
      <c r="P403" s="51" t="n">
        <v>64</v>
      </c>
      <c r="Q403" s="49" t="s">
        <v>2098</v>
      </c>
      <c r="R403" s="49" t="s">
        <v>2572</v>
      </c>
      <c r="S403" s="53" t="n">
        <v>0</v>
      </c>
      <c r="T403" s="51" t="n">
        <v>1</v>
      </c>
      <c r="U403" s="56" t="n">
        <f aca="false">I403*O403</f>
        <v>0</v>
      </c>
      <c r="V403" s="56" t="n">
        <f aca="false">J403*O403</f>
        <v>0</v>
      </c>
      <c r="W403" s="56" t="n">
        <f aca="false">((I403+J403)/2)*O403</f>
        <v>0</v>
      </c>
      <c r="X403" s="56" t="n">
        <f aca="false">H403*O403</f>
        <v>0</v>
      </c>
    </row>
    <row r="404" customFormat="false" ht="22.35" hidden="false" customHeight="false" outlineLevel="0" collapsed="false">
      <c r="A404" s="76" t="s">
        <v>2063</v>
      </c>
      <c r="B404" s="7" t="s">
        <v>2762</v>
      </c>
      <c r="C404" s="7" t="s">
        <v>2763</v>
      </c>
      <c r="D404" s="7" t="s">
        <v>2570</v>
      </c>
      <c r="E404" s="77" t="s">
        <v>2571</v>
      </c>
      <c r="F404" s="7" t="s">
        <v>2097</v>
      </c>
      <c r="G404" s="7" t="s">
        <v>2097</v>
      </c>
      <c r="H404" s="9" t="n">
        <v>72</v>
      </c>
      <c r="I404" s="9" t="n">
        <v>0</v>
      </c>
      <c r="J404" s="9" t="n">
        <v>0</v>
      </c>
      <c r="K404" s="52" t="n">
        <v>0</v>
      </c>
      <c r="L404" s="58" t="n">
        <v>26.1</v>
      </c>
      <c r="M404" s="59"/>
      <c r="N404" s="9" t="n">
        <v>0.936986</v>
      </c>
      <c r="O404" s="8" t="n">
        <v>0</v>
      </c>
      <c r="P404" s="9" t="n">
        <v>72</v>
      </c>
      <c r="Q404" s="7" t="s">
        <v>2098</v>
      </c>
      <c r="R404" s="7" t="s">
        <v>2572</v>
      </c>
      <c r="S404" s="58" t="n">
        <v>0</v>
      </c>
      <c r="T404" s="9" t="n">
        <v>1</v>
      </c>
      <c r="U404" s="56" t="n">
        <f aca="false">I404*O404</f>
        <v>0</v>
      </c>
      <c r="V404" s="56" t="n">
        <f aca="false">J404*O404</f>
        <v>0</v>
      </c>
      <c r="W404" s="56" t="n">
        <f aca="false">((I404+J404)/2)*O404</f>
        <v>0</v>
      </c>
      <c r="X404" s="56" t="n">
        <f aca="false">H404*O404</f>
        <v>0</v>
      </c>
    </row>
    <row r="405" customFormat="false" ht="22.35" hidden="false" customHeight="false" outlineLevel="0" collapsed="false">
      <c r="A405" s="76" t="s">
        <v>2063</v>
      </c>
      <c r="B405" s="49" t="s">
        <v>2764</v>
      </c>
      <c r="C405" s="49" t="s">
        <v>2752</v>
      </c>
      <c r="D405" s="49" t="s">
        <v>2570</v>
      </c>
      <c r="E405" s="77" t="s">
        <v>2571</v>
      </c>
      <c r="F405" s="49" t="s">
        <v>2097</v>
      </c>
      <c r="G405" s="49" t="s">
        <v>2097</v>
      </c>
      <c r="H405" s="51" t="n">
        <v>48</v>
      </c>
      <c r="I405" s="51" t="n">
        <v>0</v>
      </c>
      <c r="J405" s="51" t="n">
        <v>0</v>
      </c>
      <c r="K405" s="52" t="n">
        <v>0</v>
      </c>
      <c r="L405" s="53" t="n">
        <v>26.1</v>
      </c>
      <c r="M405" s="54"/>
      <c r="N405" s="51" t="n">
        <v>0.513699</v>
      </c>
      <c r="O405" s="55" t="n">
        <v>0</v>
      </c>
      <c r="P405" s="51" t="n">
        <v>48</v>
      </c>
      <c r="Q405" s="49" t="s">
        <v>2098</v>
      </c>
      <c r="R405" s="49" t="s">
        <v>2572</v>
      </c>
      <c r="S405" s="53" t="n">
        <v>0</v>
      </c>
      <c r="T405" s="51" t="n">
        <v>1</v>
      </c>
      <c r="U405" s="56" t="n">
        <f aca="false">I405*O405</f>
        <v>0</v>
      </c>
      <c r="V405" s="56" t="n">
        <f aca="false">J405*O405</f>
        <v>0</v>
      </c>
      <c r="W405" s="56" t="n">
        <f aca="false">((I405+J405)/2)*O405</f>
        <v>0</v>
      </c>
      <c r="X405" s="56" t="n">
        <f aca="false">H405*O405</f>
        <v>0</v>
      </c>
    </row>
    <row r="406" customFormat="false" ht="22.35" hidden="false" customHeight="false" outlineLevel="0" collapsed="false">
      <c r="A406" s="76" t="s">
        <v>2063</v>
      </c>
      <c r="B406" s="7" t="s">
        <v>2765</v>
      </c>
      <c r="C406" s="7" t="s">
        <v>2752</v>
      </c>
      <c r="D406" s="7" t="s">
        <v>2570</v>
      </c>
      <c r="E406" s="77" t="s">
        <v>2571</v>
      </c>
      <c r="F406" s="7" t="s">
        <v>2097</v>
      </c>
      <c r="G406" s="7" t="s">
        <v>2097</v>
      </c>
      <c r="H406" s="9" t="n">
        <v>96</v>
      </c>
      <c r="I406" s="9" t="n">
        <v>0</v>
      </c>
      <c r="J406" s="9" t="n">
        <v>0</v>
      </c>
      <c r="K406" s="52" t="n">
        <v>0</v>
      </c>
      <c r="L406" s="58" t="n">
        <v>26.1</v>
      </c>
      <c r="M406" s="59"/>
      <c r="N406" s="9" t="n">
        <v>0.910959</v>
      </c>
      <c r="O406" s="8" t="n">
        <v>0</v>
      </c>
      <c r="P406" s="9" t="n">
        <v>96</v>
      </c>
      <c r="Q406" s="7" t="s">
        <v>2098</v>
      </c>
      <c r="R406" s="7" t="s">
        <v>2572</v>
      </c>
      <c r="S406" s="58" t="n">
        <v>0</v>
      </c>
      <c r="T406" s="9" t="n">
        <v>1</v>
      </c>
      <c r="U406" s="56" t="n">
        <f aca="false">I406*O406</f>
        <v>0</v>
      </c>
      <c r="V406" s="56" t="n">
        <f aca="false">J406*O406</f>
        <v>0</v>
      </c>
      <c r="W406" s="56" t="n">
        <f aca="false">((I406+J406)/2)*O406</f>
        <v>0</v>
      </c>
      <c r="X406" s="56" t="n">
        <f aca="false">H406*O406</f>
        <v>0</v>
      </c>
    </row>
    <row r="407" customFormat="false" ht="22.35" hidden="false" customHeight="false" outlineLevel="0" collapsed="false">
      <c r="A407" s="76" t="s">
        <v>2063</v>
      </c>
      <c r="B407" s="49" t="s">
        <v>2766</v>
      </c>
      <c r="C407" s="49" t="s">
        <v>2761</v>
      </c>
      <c r="D407" s="49" t="s">
        <v>2570</v>
      </c>
      <c r="E407" s="77" t="s">
        <v>2571</v>
      </c>
      <c r="F407" s="49" t="s">
        <v>2097</v>
      </c>
      <c r="G407" s="49" t="s">
        <v>2097</v>
      </c>
      <c r="H407" s="51" t="n">
        <v>4</v>
      </c>
      <c r="I407" s="51" t="n">
        <v>0</v>
      </c>
      <c r="J407" s="51" t="n">
        <v>0</v>
      </c>
      <c r="K407" s="52" t="n">
        <v>0</v>
      </c>
      <c r="L407" s="53" t="n">
        <v>26.1</v>
      </c>
      <c r="M407" s="54"/>
      <c r="N407" s="51" t="n">
        <v>0.030137</v>
      </c>
      <c r="O407" s="55" t="n">
        <v>0</v>
      </c>
      <c r="P407" s="51" t="n">
        <v>4</v>
      </c>
      <c r="Q407" s="49" t="s">
        <v>2098</v>
      </c>
      <c r="R407" s="49" t="s">
        <v>2572</v>
      </c>
      <c r="S407" s="53" t="n">
        <v>0</v>
      </c>
      <c r="T407" s="51" t="n">
        <v>3</v>
      </c>
      <c r="U407" s="56" t="n">
        <f aca="false">I407*O407</f>
        <v>0</v>
      </c>
      <c r="V407" s="56" t="n">
        <f aca="false">J407*O407</f>
        <v>0</v>
      </c>
      <c r="W407" s="56" t="n">
        <f aca="false">((I407+J407)/2)*O407</f>
        <v>0</v>
      </c>
      <c r="X407" s="56" t="n">
        <f aca="false">H407*O407</f>
        <v>0</v>
      </c>
    </row>
    <row r="408" customFormat="false" ht="22.35" hidden="false" customHeight="false" outlineLevel="0" collapsed="false">
      <c r="A408" s="76" t="s">
        <v>2063</v>
      </c>
      <c r="B408" s="7" t="s">
        <v>2767</v>
      </c>
      <c r="C408" s="7" t="s">
        <v>2761</v>
      </c>
      <c r="D408" s="7" t="s">
        <v>2570</v>
      </c>
      <c r="E408" s="77" t="s">
        <v>2571</v>
      </c>
      <c r="F408" s="7" t="s">
        <v>2097</v>
      </c>
      <c r="G408" s="7" t="s">
        <v>2097</v>
      </c>
      <c r="H408" s="9" t="n">
        <v>120</v>
      </c>
      <c r="I408" s="9" t="n">
        <v>0</v>
      </c>
      <c r="J408" s="9" t="n">
        <v>0</v>
      </c>
      <c r="K408" s="52" t="n">
        <v>0</v>
      </c>
      <c r="L408" s="58" t="n">
        <v>26.1</v>
      </c>
      <c r="M408" s="59"/>
      <c r="N408" s="9" t="n">
        <v>0.952055</v>
      </c>
      <c r="O408" s="8" t="n">
        <v>0</v>
      </c>
      <c r="P408" s="9" t="n">
        <v>120</v>
      </c>
      <c r="Q408" s="7" t="s">
        <v>2098</v>
      </c>
      <c r="R408" s="7" t="s">
        <v>2572</v>
      </c>
      <c r="S408" s="58" t="n">
        <v>0</v>
      </c>
      <c r="T408" s="9" t="n">
        <v>4</v>
      </c>
      <c r="U408" s="56" t="n">
        <f aca="false">I408*O408</f>
        <v>0</v>
      </c>
      <c r="V408" s="56" t="n">
        <f aca="false">J408*O408</f>
        <v>0</v>
      </c>
      <c r="W408" s="56" t="n">
        <f aca="false">((I408+J408)/2)*O408</f>
        <v>0</v>
      </c>
      <c r="X408" s="56" t="n">
        <f aca="false">H408*O408</f>
        <v>0</v>
      </c>
    </row>
    <row r="409" customFormat="false" ht="22.35" hidden="false" customHeight="false" outlineLevel="0" collapsed="false">
      <c r="A409" s="76" t="s">
        <v>2063</v>
      </c>
      <c r="B409" s="49" t="s">
        <v>2768</v>
      </c>
      <c r="C409" s="49" t="s">
        <v>2761</v>
      </c>
      <c r="D409" s="49" t="s">
        <v>2570</v>
      </c>
      <c r="E409" s="77" t="s">
        <v>2571</v>
      </c>
      <c r="F409" s="49" t="s">
        <v>2097</v>
      </c>
      <c r="G409" s="49" t="s">
        <v>2097</v>
      </c>
      <c r="H409" s="51" t="n">
        <v>4</v>
      </c>
      <c r="I409" s="51" t="n">
        <v>0</v>
      </c>
      <c r="J409" s="51" t="n">
        <v>0</v>
      </c>
      <c r="K409" s="52" t="n">
        <v>0</v>
      </c>
      <c r="L409" s="53" t="n">
        <v>26.1</v>
      </c>
      <c r="M409" s="54"/>
      <c r="N409" s="51" t="n">
        <v>0.064384</v>
      </c>
      <c r="O409" s="55" t="n">
        <v>0</v>
      </c>
      <c r="P409" s="51" t="n">
        <v>4</v>
      </c>
      <c r="Q409" s="49" t="s">
        <v>2098</v>
      </c>
      <c r="R409" s="49" t="s">
        <v>2572</v>
      </c>
      <c r="S409" s="53" t="n">
        <v>0</v>
      </c>
      <c r="T409" s="51" t="n">
        <v>3</v>
      </c>
      <c r="U409" s="56" t="n">
        <f aca="false">I409*O409</f>
        <v>0</v>
      </c>
      <c r="V409" s="56" t="n">
        <f aca="false">J409*O409</f>
        <v>0</v>
      </c>
      <c r="W409" s="56" t="n">
        <f aca="false">((I409+J409)/2)*O409</f>
        <v>0</v>
      </c>
      <c r="X409" s="56" t="n">
        <f aca="false">H409*O409</f>
        <v>0</v>
      </c>
    </row>
    <row r="410" customFormat="false" ht="22.35" hidden="false" customHeight="false" outlineLevel="0" collapsed="false">
      <c r="A410" s="76" t="s">
        <v>2063</v>
      </c>
      <c r="B410" s="7" t="s">
        <v>2769</v>
      </c>
      <c r="C410" s="7" t="s">
        <v>2761</v>
      </c>
      <c r="D410" s="7" t="s">
        <v>2570</v>
      </c>
      <c r="E410" s="77" t="s">
        <v>2571</v>
      </c>
      <c r="F410" s="7" t="s">
        <v>2097</v>
      </c>
      <c r="G410" s="7" t="s">
        <v>2097</v>
      </c>
      <c r="H410" s="9" t="n">
        <v>20</v>
      </c>
      <c r="I410" s="9" t="n">
        <v>0</v>
      </c>
      <c r="J410" s="9" t="n">
        <v>0</v>
      </c>
      <c r="K410" s="52" t="n">
        <v>0</v>
      </c>
      <c r="L410" s="58" t="n">
        <v>26.1</v>
      </c>
      <c r="M410" s="59"/>
      <c r="N410" s="9" t="n">
        <v>0.228767</v>
      </c>
      <c r="O410" s="8" t="n">
        <v>0</v>
      </c>
      <c r="P410" s="9" t="n">
        <v>20</v>
      </c>
      <c r="Q410" s="7" t="s">
        <v>2098</v>
      </c>
      <c r="R410" s="7" t="s">
        <v>2572</v>
      </c>
      <c r="S410" s="58" t="n">
        <v>0</v>
      </c>
      <c r="T410" s="9" t="n">
        <v>8</v>
      </c>
      <c r="U410" s="56" t="n">
        <f aca="false">I410*O410</f>
        <v>0</v>
      </c>
      <c r="V410" s="56" t="n">
        <f aca="false">J410*O410</f>
        <v>0</v>
      </c>
      <c r="W410" s="56" t="n">
        <f aca="false">((I410+J410)/2)*O410</f>
        <v>0</v>
      </c>
      <c r="X410" s="56" t="n">
        <f aca="false">H410*O410</f>
        <v>0</v>
      </c>
    </row>
    <row r="411" customFormat="false" ht="22.35" hidden="false" customHeight="false" outlineLevel="0" collapsed="false">
      <c r="A411" s="76" t="s">
        <v>2063</v>
      </c>
      <c r="B411" s="49" t="s">
        <v>2770</v>
      </c>
      <c r="C411" s="49" t="s">
        <v>2771</v>
      </c>
      <c r="D411" s="49" t="s">
        <v>2570</v>
      </c>
      <c r="E411" s="77" t="s">
        <v>2571</v>
      </c>
      <c r="F411" s="49" t="s">
        <v>2097</v>
      </c>
      <c r="G411" s="49" t="s">
        <v>2097</v>
      </c>
      <c r="H411" s="51" t="n">
        <v>10</v>
      </c>
      <c r="I411" s="51" t="n">
        <v>0</v>
      </c>
      <c r="J411" s="51" t="n">
        <v>0</v>
      </c>
      <c r="K411" s="52" t="n">
        <v>0</v>
      </c>
      <c r="L411" s="53" t="n">
        <v>26.1</v>
      </c>
      <c r="M411" s="54"/>
      <c r="N411" s="51" t="n">
        <v>0.117808</v>
      </c>
      <c r="O411" s="55" t="n">
        <v>0</v>
      </c>
      <c r="P411" s="51" t="n">
        <v>10</v>
      </c>
      <c r="Q411" s="49" t="s">
        <v>2098</v>
      </c>
      <c r="R411" s="49" t="s">
        <v>2572</v>
      </c>
      <c r="S411" s="53" t="n">
        <v>0</v>
      </c>
      <c r="T411" s="51" t="n">
        <v>3</v>
      </c>
      <c r="U411" s="56" t="n">
        <f aca="false">I411*O411</f>
        <v>0</v>
      </c>
      <c r="V411" s="56" t="n">
        <f aca="false">J411*O411</f>
        <v>0</v>
      </c>
      <c r="W411" s="56" t="n">
        <f aca="false">((I411+J411)/2)*O411</f>
        <v>0</v>
      </c>
      <c r="X411" s="56" t="n">
        <f aca="false">H411*O411</f>
        <v>0</v>
      </c>
    </row>
    <row r="412" customFormat="false" ht="22.35" hidden="false" customHeight="false" outlineLevel="0" collapsed="false">
      <c r="A412" s="76" t="s">
        <v>2063</v>
      </c>
      <c r="B412" s="7" t="s">
        <v>2772</v>
      </c>
      <c r="C412" s="7" t="s">
        <v>2771</v>
      </c>
      <c r="D412" s="7" t="s">
        <v>2570</v>
      </c>
      <c r="E412" s="77" t="s">
        <v>2571</v>
      </c>
      <c r="F412" s="7" t="s">
        <v>2097</v>
      </c>
      <c r="G412" s="7" t="s">
        <v>2097</v>
      </c>
      <c r="H412" s="9" t="n">
        <v>36</v>
      </c>
      <c r="I412" s="9" t="n">
        <v>0</v>
      </c>
      <c r="J412" s="9" t="n">
        <v>0</v>
      </c>
      <c r="K412" s="52" t="n">
        <v>0</v>
      </c>
      <c r="L412" s="58" t="n">
        <v>26.1</v>
      </c>
      <c r="M412" s="59"/>
      <c r="N412" s="9" t="n">
        <v>0.608219</v>
      </c>
      <c r="O412" s="8" t="n">
        <v>0</v>
      </c>
      <c r="P412" s="9" t="n">
        <v>36</v>
      </c>
      <c r="Q412" s="7" t="s">
        <v>2098</v>
      </c>
      <c r="R412" s="7" t="s">
        <v>2572</v>
      </c>
      <c r="S412" s="58" t="n">
        <v>0</v>
      </c>
      <c r="T412" s="9" t="n">
        <v>8</v>
      </c>
      <c r="U412" s="56" t="n">
        <f aca="false">I412*O412</f>
        <v>0</v>
      </c>
      <c r="V412" s="56" t="n">
        <f aca="false">J412*O412</f>
        <v>0</v>
      </c>
      <c r="W412" s="56" t="n">
        <f aca="false">((I412+J412)/2)*O412</f>
        <v>0</v>
      </c>
      <c r="X412" s="56" t="n">
        <f aca="false">H412*O412</f>
        <v>0</v>
      </c>
    </row>
    <row r="413" customFormat="false" ht="22.35" hidden="false" customHeight="false" outlineLevel="0" collapsed="false">
      <c r="A413" s="76" t="s">
        <v>2063</v>
      </c>
      <c r="B413" s="49" t="s">
        <v>2773</v>
      </c>
      <c r="C413" s="49" t="s">
        <v>2774</v>
      </c>
      <c r="D413" s="49" t="s">
        <v>2570</v>
      </c>
      <c r="E413" s="77" t="s">
        <v>2571</v>
      </c>
      <c r="F413" s="49" t="s">
        <v>2097</v>
      </c>
      <c r="G413" s="49" t="s">
        <v>2097</v>
      </c>
      <c r="H413" s="51" t="n">
        <v>96</v>
      </c>
      <c r="I413" s="51" t="n">
        <v>0</v>
      </c>
      <c r="J413" s="51" t="n">
        <v>0</v>
      </c>
      <c r="K413" s="52" t="n">
        <v>0</v>
      </c>
      <c r="L413" s="53" t="n">
        <v>26.1</v>
      </c>
      <c r="M413" s="54"/>
      <c r="N413" s="51" t="n">
        <v>1.380822</v>
      </c>
      <c r="O413" s="55" t="n">
        <v>0</v>
      </c>
      <c r="P413" s="51" t="n">
        <v>96</v>
      </c>
      <c r="Q413" s="49" t="s">
        <v>2098</v>
      </c>
      <c r="R413" s="49" t="s">
        <v>2572</v>
      </c>
      <c r="S413" s="53" t="n">
        <v>0</v>
      </c>
      <c r="T413" s="51" t="n">
        <v>24</v>
      </c>
      <c r="U413" s="56" t="n">
        <f aca="false">I413*O413</f>
        <v>0</v>
      </c>
      <c r="V413" s="56" t="n">
        <f aca="false">J413*O413</f>
        <v>0</v>
      </c>
      <c r="W413" s="56" t="n">
        <f aca="false">((I413+J413)/2)*O413</f>
        <v>0</v>
      </c>
      <c r="X413" s="56" t="n">
        <f aca="false">H413*O413</f>
        <v>0</v>
      </c>
    </row>
    <row r="414" customFormat="false" ht="22.35" hidden="false" customHeight="false" outlineLevel="0" collapsed="false">
      <c r="A414" s="76" t="s">
        <v>2063</v>
      </c>
      <c r="B414" s="7" t="s">
        <v>2775</v>
      </c>
      <c r="C414" s="7" t="s">
        <v>2774</v>
      </c>
      <c r="D414" s="7" t="s">
        <v>2570</v>
      </c>
      <c r="E414" s="77" t="s">
        <v>2571</v>
      </c>
      <c r="F414" s="7" t="s">
        <v>2097</v>
      </c>
      <c r="G414" s="7" t="s">
        <v>2097</v>
      </c>
      <c r="H414" s="9" t="n">
        <v>32</v>
      </c>
      <c r="I414" s="9" t="n">
        <v>0</v>
      </c>
      <c r="J414" s="9" t="n">
        <v>0</v>
      </c>
      <c r="K414" s="52" t="n">
        <v>0</v>
      </c>
      <c r="L414" s="58" t="n">
        <v>89</v>
      </c>
      <c r="M414" s="59" t="n">
        <v>100</v>
      </c>
      <c r="N414" s="9" t="n">
        <v>0.415068</v>
      </c>
      <c r="O414" s="8" t="n">
        <v>0</v>
      </c>
      <c r="P414" s="9" t="n">
        <v>32</v>
      </c>
      <c r="Q414" s="7" t="s">
        <v>2098</v>
      </c>
      <c r="R414" s="7" t="s">
        <v>2572</v>
      </c>
      <c r="S414" s="58" t="n">
        <v>0</v>
      </c>
      <c r="T414" s="9" t="n">
        <v>12</v>
      </c>
      <c r="U414" s="56" t="n">
        <f aca="false">I414*O414</f>
        <v>0</v>
      </c>
      <c r="V414" s="56" t="n">
        <f aca="false">J414*O414</f>
        <v>0</v>
      </c>
      <c r="W414" s="56" t="n">
        <f aca="false">((I414+J414)/2)*O414</f>
        <v>0</v>
      </c>
      <c r="X414" s="56" t="n">
        <f aca="false">H414*O414</f>
        <v>0</v>
      </c>
    </row>
    <row r="415" customFormat="false" ht="22.35" hidden="false" customHeight="false" outlineLevel="0" collapsed="false">
      <c r="A415" s="76" t="s">
        <v>2063</v>
      </c>
      <c r="B415" s="49" t="s">
        <v>2776</v>
      </c>
      <c r="C415" s="49" t="s">
        <v>2777</v>
      </c>
      <c r="D415" s="49" t="s">
        <v>2570</v>
      </c>
      <c r="E415" s="77" t="s">
        <v>2571</v>
      </c>
      <c r="F415" s="49" t="s">
        <v>2097</v>
      </c>
      <c r="G415" s="49" t="s">
        <v>2097</v>
      </c>
      <c r="H415" s="51" t="n">
        <v>48</v>
      </c>
      <c r="I415" s="51" t="n">
        <v>0</v>
      </c>
      <c r="J415" s="51" t="n">
        <v>0</v>
      </c>
      <c r="K415" s="52" t="n">
        <v>0</v>
      </c>
      <c r="L415" s="53" t="n">
        <v>26.1</v>
      </c>
      <c r="M415" s="54"/>
      <c r="N415" s="51" t="n">
        <v>0.628767</v>
      </c>
      <c r="O415" s="55" t="n">
        <v>0</v>
      </c>
      <c r="P415" s="51" t="n">
        <v>48</v>
      </c>
      <c r="Q415" s="49" t="s">
        <v>2098</v>
      </c>
      <c r="R415" s="49" t="s">
        <v>2572</v>
      </c>
      <c r="S415" s="53" t="n">
        <v>0</v>
      </c>
      <c r="T415" s="51" t="n">
        <v>12</v>
      </c>
      <c r="U415" s="56" t="n">
        <f aca="false">I415*O415</f>
        <v>0</v>
      </c>
      <c r="V415" s="56" t="n">
        <f aca="false">J415*O415</f>
        <v>0</v>
      </c>
      <c r="W415" s="56" t="n">
        <f aca="false">((I415+J415)/2)*O415</f>
        <v>0</v>
      </c>
      <c r="X415" s="56" t="n">
        <f aca="false">H415*O415</f>
        <v>0</v>
      </c>
    </row>
    <row r="416" customFormat="false" ht="22.35" hidden="false" customHeight="false" outlineLevel="0" collapsed="false">
      <c r="A416" s="76" t="s">
        <v>2063</v>
      </c>
      <c r="B416" s="7" t="s">
        <v>2778</v>
      </c>
      <c r="C416" s="7" t="s">
        <v>2777</v>
      </c>
      <c r="D416" s="7" t="s">
        <v>2570</v>
      </c>
      <c r="E416" s="77" t="s">
        <v>2571</v>
      </c>
      <c r="F416" s="7" t="s">
        <v>2097</v>
      </c>
      <c r="G416" s="7" t="s">
        <v>2097</v>
      </c>
      <c r="H416" s="9" t="n">
        <v>24</v>
      </c>
      <c r="I416" s="9" t="n">
        <v>0</v>
      </c>
      <c r="J416" s="9" t="n">
        <v>0</v>
      </c>
      <c r="K416" s="52" t="n">
        <v>0</v>
      </c>
      <c r="L416" s="58" t="n">
        <v>26.1</v>
      </c>
      <c r="M416" s="59"/>
      <c r="N416" s="9" t="n">
        <v>0.319178</v>
      </c>
      <c r="O416" s="8" t="n">
        <v>0</v>
      </c>
      <c r="P416" s="9" t="n">
        <v>24</v>
      </c>
      <c r="Q416" s="7" t="s">
        <v>2098</v>
      </c>
      <c r="R416" s="7" t="s">
        <v>2572</v>
      </c>
      <c r="S416" s="58" t="n">
        <v>0</v>
      </c>
      <c r="T416" s="9" t="n">
        <v>6</v>
      </c>
      <c r="U416" s="56" t="n">
        <f aca="false">I416*O416</f>
        <v>0</v>
      </c>
      <c r="V416" s="56" t="n">
        <f aca="false">J416*O416</f>
        <v>0</v>
      </c>
      <c r="W416" s="56" t="n">
        <f aca="false">((I416+J416)/2)*O416</f>
        <v>0</v>
      </c>
      <c r="X416" s="56" t="n">
        <f aca="false">H416*O416</f>
        <v>0</v>
      </c>
    </row>
    <row r="417" customFormat="false" ht="22.35" hidden="false" customHeight="false" outlineLevel="0" collapsed="false">
      <c r="A417" s="76" t="s">
        <v>2063</v>
      </c>
      <c r="B417" s="49" t="s">
        <v>2779</v>
      </c>
      <c r="C417" s="49" t="s">
        <v>2780</v>
      </c>
      <c r="D417" s="49" t="s">
        <v>2570</v>
      </c>
      <c r="E417" s="77" t="s">
        <v>2571</v>
      </c>
      <c r="F417" s="49" t="s">
        <v>2097</v>
      </c>
      <c r="G417" s="49" t="s">
        <v>2097</v>
      </c>
      <c r="H417" s="51" t="n">
        <v>72</v>
      </c>
      <c r="I417" s="51" t="n">
        <v>0</v>
      </c>
      <c r="J417" s="51" t="n">
        <v>0</v>
      </c>
      <c r="K417" s="52" t="n">
        <v>0</v>
      </c>
      <c r="L417" s="53" t="n">
        <v>26.1</v>
      </c>
      <c r="M417" s="54"/>
      <c r="N417" s="51" t="n">
        <v>0.765753</v>
      </c>
      <c r="O417" s="55" t="n">
        <v>0</v>
      </c>
      <c r="P417" s="51" t="n">
        <v>72</v>
      </c>
      <c r="Q417" s="49" t="s">
        <v>2098</v>
      </c>
      <c r="R417" s="49" t="s">
        <v>2572</v>
      </c>
      <c r="S417" s="53" t="n">
        <v>0</v>
      </c>
      <c r="T417" s="51" t="n">
        <v>1</v>
      </c>
      <c r="U417" s="56" t="n">
        <f aca="false">I417*O417</f>
        <v>0</v>
      </c>
      <c r="V417" s="56" t="n">
        <f aca="false">J417*O417</f>
        <v>0</v>
      </c>
      <c r="W417" s="56" t="n">
        <f aca="false">((I417+J417)/2)*O417</f>
        <v>0</v>
      </c>
      <c r="X417" s="56" t="n">
        <f aca="false">H417*O417</f>
        <v>0</v>
      </c>
    </row>
    <row r="418" customFormat="false" ht="22.35" hidden="false" customHeight="false" outlineLevel="0" collapsed="false">
      <c r="A418" s="76" t="s">
        <v>2063</v>
      </c>
      <c r="B418" s="7" t="s">
        <v>2781</v>
      </c>
      <c r="C418" s="7" t="s">
        <v>2780</v>
      </c>
      <c r="D418" s="7" t="s">
        <v>2570</v>
      </c>
      <c r="E418" s="77" t="s">
        <v>2571</v>
      </c>
      <c r="F418" s="7" t="s">
        <v>2097</v>
      </c>
      <c r="G418" s="7" t="s">
        <v>2097</v>
      </c>
      <c r="H418" s="9" t="n">
        <v>8</v>
      </c>
      <c r="I418" s="9" t="n">
        <v>0</v>
      </c>
      <c r="J418" s="9" t="n">
        <v>0</v>
      </c>
      <c r="K418" s="52" t="n">
        <v>0</v>
      </c>
      <c r="L418" s="58" t="n">
        <v>26.1</v>
      </c>
      <c r="M418" s="59"/>
      <c r="N418" s="9" t="n">
        <v>0.093151</v>
      </c>
      <c r="O418" s="8" t="n">
        <v>0</v>
      </c>
      <c r="P418" s="9" t="n">
        <v>8</v>
      </c>
      <c r="Q418" s="7" t="s">
        <v>2098</v>
      </c>
      <c r="R418" s="7" t="s">
        <v>2572</v>
      </c>
      <c r="S418" s="58" t="n">
        <v>0</v>
      </c>
      <c r="T418" s="9" t="n">
        <v>1</v>
      </c>
      <c r="U418" s="56" t="n">
        <f aca="false">I418*O418</f>
        <v>0</v>
      </c>
      <c r="V418" s="56" t="n">
        <f aca="false">J418*O418</f>
        <v>0</v>
      </c>
      <c r="W418" s="56" t="n">
        <f aca="false">((I418+J418)/2)*O418</f>
        <v>0</v>
      </c>
      <c r="X418" s="56" t="n">
        <f aca="false">H418*O418</f>
        <v>0</v>
      </c>
    </row>
    <row r="419" customFormat="false" ht="22.35" hidden="false" customHeight="false" outlineLevel="0" collapsed="false">
      <c r="A419" s="76" t="s">
        <v>2063</v>
      </c>
      <c r="B419" s="49" t="s">
        <v>2782</v>
      </c>
      <c r="C419" s="49" t="s">
        <v>2783</v>
      </c>
      <c r="D419" s="49" t="s">
        <v>2570</v>
      </c>
      <c r="E419" s="77" t="s">
        <v>2571</v>
      </c>
      <c r="F419" s="49" t="s">
        <v>2097</v>
      </c>
      <c r="G419" s="49" t="s">
        <v>2097</v>
      </c>
      <c r="H419" s="51" t="n">
        <v>96</v>
      </c>
      <c r="I419" s="51" t="n">
        <v>0</v>
      </c>
      <c r="J419" s="51" t="n">
        <v>0</v>
      </c>
      <c r="K419" s="52" t="n">
        <v>0</v>
      </c>
      <c r="L419" s="53" t="n">
        <v>26.1</v>
      </c>
      <c r="M419" s="54"/>
      <c r="N419" s="51" t="n">
        <v>1.521918</v>
      </c>
      <c r="O419" s="55" t="n">
        <v>0</v>
      </c>
      <c r="P419" s="51" t="n">
        <v>96</v>
      </c>
      <c r="Q419" s="49" t="s">
        <v>2098</v>
      </c>
      <c r="R419" s="49" t="s">
        <v>2572</v>
      </c>
      <c r="S419" s="53" t="n">
        <v>0</v>
      </c>
      <c r="T419" s="51" t="n">
        <v>24</v>
      </c>
      <c r="U419" s="56" t="n">
        <f aca="false">I419*O419</f>
        <v>0</v>
      </c>
      <c r="V419" s="56" t="n">
        <f aca="false">J419*O419</f>
        <v>0</v>
      </c>
      <c r="W419" s="56" t="n">
        <f aca="false">((I419+J419)/2)*O419</f>
        <v>0</v>
      </c>
      <c r="X419" s="56" t="n">
        <f aca="false">H419*O419</f>
        <v>0</v>
      </c>
    </row>
    <row r="420" customFormat="false" ht="22.35" hidden="false" customHeight="false" outlineLevel="0" collapsed="false">
      <c r="A420" s="76" t="s">
        <v>2063</v>
      </c>
      <c r="B420" s="7" t="s">
        <v>2784</v>
      </c>
      <c r="C420" s="7" t="s">
        <v>2783</v>
      </c>
      <c r="D420" s="7" t="s">
        <v>2570</v>
      </c>
      <c r="E420" s="77" t="s">
        <v>2571</v>
      </c>
      <c r="F420" s="7" t="s">
        <v>2097</v>
      </c>
      <c r="G420" s="7" t="s">
        <v>2097</v>
      </c>
      <c r="H420" s="9" t="n">
        <v>24</v>
      </c>
      <c r="I420" s="9" t="n">
        <v>0</v>
      </c>
      <c r="J420" s="9" t="n">
        <v>0</v>
      </c>
      <c r="K420" s="52" t="n">
        <v>0</v>
      </c>
      <c r="L420" s="58" t="n">
        <v>26.1</v>
      </c>
      <c r="M420" s="59"/>
      <c r="N420" s="9" t="n">
        <v>0.386301</v>
      </c>
      <c r="O420" s="8" t="n">
        <v>0</v>
      </c>
      <c r="P420" s="9" t="n">
        <v>24</v>
      </c>
      <c r="Q420" s="7" t="s">
        <v>2098</v>
      </c>
      <c r="R420" s="7" t="s">
        <v>2572</v>
      </c>
      <c r="S420" s="58" t="n">
        <v>0</v>
      </c>
      <c r="T420" s="9" t="n">
        <v>12</v>
      </c>
      <c r="U420" s="56" t="n">
        <f aca="false">I420*O420</f>
        <v>0</v>
      </c>
      <c r="V420" s="56" t="n">
        <f aca="false">J420*O420</f>
        <v>0</v>
      </c>
      <c r="W420" s="56" t="n">
        <f aca="false">((I420+J420)/2)*O420</f>
        <v>0</v>
      </c>
      <c r="X420" s="56" t="n">
        <f aca="false">H420*O420</f>
        <v>0</v>
      </c>
    </row>
    <row r="421" customFormat="false" ht="22.35" hidden="false" customHeight="false" outlineLevel="0" collapsed="false">
      <c r="A421" s="76" t="s">
        <v>2063</v>
      </c>
      <c r="B421" s="49" t="s">
        <v>2785</v>
      </c>
      <c r="C421" s="49" t="s">
        <v>2786</v>
      </c>
      <c r="D421" s="49" t="s">
        <v>2570</v>
      </c>
      <c r="E421" s="77" t="s">
        <v>2571</v>
      </c>
      <c r="F421" s="49" t="s">
        <v>2097</v>
      </c>
      <c r="G421" s="49" t="s">
        <v>2097</v>
      </c>
      <c r="H421" s="51" t="n">
        <v>48</v>
      </c>
      <c r="I421" s="51" t="n">
        <v>0</v>
      </c>
      <c r="J421" s="51" t="n">
        <v>0</v>
      </c>
      <c r="K421" s="52" t="n">
        <v>0</v>
      </c>
      <c r="L421" s="53" t="n">
        <v>26.1</v>
      </c>
      <c r="M421" s="54"/>
      <c r="N421" s="51" t="n">
        <v>0.660274</v>
      </c>
      <c r="O421" s="55" t="n">
        <v>0</v>
      </c>
      <c r="P421" s="51" t="n">
        <v>48</v>
      </c>
      <c r="Q421" s="49" t="s">
        <v>2098</v>
      </c>
      <c r="R421" s="49" t="s">
        <v>2572</v>
      </c>
      <c r="S421" s="53" t="n">
        <v>0</v>
      </c>
      <c r="T421" s="51" t="n">
        <v>1</v>
      </c>
      <c r="U421" s="56" t="n">
        <f aca="false">I421*O421</f>
        <v>0</v>
      </c>
      <c r="V421" s="56" t="n">
        <f aca="false">J421*O421</f>
        <v>0</v>
      </c>
      <c r="W421" s="56" t="n">
        <f aca="false">((I421+J421)/2)*O421</f>
        <v>0</v>
      </c>
      <c r="X421" s="56" t="n">
        <f aca="false">H421*O421</f>
        <v>0</v>
      </c>
    </row>
    <row r="422" customFormat="false" ht="22.35" hidden="false" customHeight="false" outlineLevel="0" collapsed="false">
      <c r="A422" s="76" t="s">
        <v>2063</v>
      </c>
      <c r="B422" s="7" t="s">
        <v>2787</v>
      </c>
      <c r="C422" s="7" t="s">
        <v>2786</v>
      </c>
      <c r="D422" s="7" t="s">
        <v>2570</v>
      </c>
      <c r="E422" s="77" t="s">
        <v>2571</v>
      </c>
      <c r="F422" s="7" t="s">
        <v>2097</v>
      </c>
      <c r="G422" s="7" t="s">
        <v>2097</v>
      </c>
      <c r="H422" s="9" t="n">
        <v>12</v>
      </c>
      <c r="I422" s="9" t="n">
        <v>0</v>
      </c>
      <c r="J422" s="9" t="n">
        <v>0</v>
      </c>
      <c r="K422" s="52" t="n">
        <v>0</v>
      </c>
      <c r="L422" s="58" t="n">
        <v>26.1</v>
      </c>
      <c r="M422" s="59"/>
      <c r="N422" s="9" t="n">
        <v>0.116438</v>
      </c>
      <c r="O422" s="8" t="n">
        <v>0</v>
      </c>
      <c r="P422" s="9" t="n">
        <v>12</v>
      </c>
      <c r="Q422" s="7" t="s">
        <v>2098</v>
      </c>
      <c r="R422" s="7" t="s">
        <v>2572</v>
      </c>
      <c r="S422" s="58" t="n">
        <v>0</v>
      </c>
      <c r="T422" s="9" t="n">
        <v>1</v>
      </c>
      <c r="U422" s="56" t="n">
        <f aca="false">I422*O422</f>
        <v>0</v>
      </c>
      <c r="V422" s="56" t="n">
        <f aca="false">J422*O422</f>
        <v>0</v>
      </c>
      <c r="W422" s="56" t="n">
        <f aca="false">((I422+J422)/2)*O422</f>
        <v>0</v>
      </c>
      <c r="X422" s="56" t="n">
        <f aca="false">H422*O422</f>
        <v>0</v>
      </c>
    </row>
    <row r="423" customFormat="false" ht="22.35" hidden="false" customHeight="false" outlineLevel="0" collapsed="false">
      <c r="A423" s="76" t="s">
        <v>2063</v>
      </c>
      <c r="B423" s="49" t="s">
        <v>2788</v>
      </c>
      <c r="C423" s="49" t="s">
        <v>2789</v>
      </c>
      <c r="D423" s="49" t="s">
        <v>2570</v>
      </c>
      <c r="E423" s="77" t="s">
        <v>2571</v>
      </c>
      <c r="F423" s="49" t="s">
        <v>2097</v>
      </c>
      <c r="G423" s="49" t="s">
        <v>2097</v>
      </c>
      <c r="H423" s="51" t="n">
        <v>56</v>
      </c>
      <c r="I423" s="51" t="n">
        <v>0</v>
      </c>
      <c r="J423" s="51" t="n">
        <v>0</v>
      </c>
      <c r="K423" s="52" t="n">
        <v>0</v>
      </c>
      <c r="L423" s="53" t="n">
        <v>26.1</v>
      </c>
      <c r="M423" s="54"/>
      <c r="N423" s="51" t="n">
        <v>0.957534</v>
      </c>
      <c r="O423" s="55" t="n">
        <v>0</v>
      </c>
      <c r="P423" s="51" t="n">
        <v>56</v>
      </c>
      <c r="Q423" s="49" t="s">
        <v>2098</v>
      </c>
      <c r="R423" s="49" t="s">
        <v>2572</v>
      </c>
      <c r="S423" s="53" t="n">
        <v>0</v>
      </c>
      <c r="T423" s="51" t="n">
        <v>1</v>
      </c>
      <c r="U423" s="56" t="n">
        <f aca="false">I423*O423</f>
        <v>0</v>
      </c>
      <c r="V423" s="56" t="n">
        <f aca="false">J423*O423</f>
        <v>0</v>
      </c>
      <c r="W423" s="56" t="n">
        <f aca="false">((I423+J423)/2)*O423</f>
        <v>0</v>
      </c>
      <c r="X423" s="56" t="n">
        <f aca="false">H423*O423</f>
        <v>0</v>
      </c>
    </row>
    <row r="424" customFormat="false" ht="22.35" hidden="false" customHeight="false" outlineLevel="0" collapsed="false">
      <c r="A424" s="76" t="s">
        <v>2063</v>
      </c>
      <c r="B424" s="7" t="s">
        <v>2790</v>
      </c>
      <c r="C424" s="7" t="s">
        <v>2789</v>
      </c>
      <c r="D424" s="7" t="s">
        <v>2570</v>
      </c>
      <c r="E424" s="77" t="s">
        <v>2571</v>
      </c>
      <c r="F424" s="7" t="s">
        <v>2097</v>
      </c>
      <c r="G424" s="7" t="s">
        <v>2097</v>
      </c>
      <c r="H424" s="9" t="n">
        <v>24</v>
      </c>
      <c r="I424" s="9" t="n">
        <v>0</v>
      </c>
      <c r="J424" s="9" t="n">
        <v>0</v>
      </c>
      <c r="K424" s="52" t="n">
        <v>0</v>
      </c>
      <c r="L424" s="58" t="n">
        <v>26.1</v>
      </c>
      <c r="M424" s="59"/>
      <c r="N424" s="9" t="n">
        <v>0.382192</v>
      </c>
      <c r="O424" s="8" t="n">
        <v>0</v>
      </c>
      <c r="P424" s="9" t="n">
        <v>24</v>
      </c>
      <c r="Q424" s="7" t="s">
        <v>2098</v>
      </c>
      <c r="R424" s="7" t="s">
        <v>2572</v>
      </c>
      <c r="S424" s="58" t="n">
        <v>0</v>
      </c>
      <c r="T424" s="9" t="n">
        <v>1</v>
      </c>
      <c r="U424" s="56" t="n">
        <f aca="false">I424*O424</f>
        <v>0</v>
      </c>
      <c r="V424" s="56" t="n">
        <f aca="false">J424*O424</f>
        <v>0</v>
      </c>
      <c r="W424" s="56" t="n">
        <f aca="false">((I424+J424)/2)*O424</f>
        <v>0</v>
      </c>
      <c r="X424" s="56" t="n">
        <f aca="false">H424*O424</f>
        <v>0</v>
      </c>
    </row>
    <row r="425" customFormat="false" ht="22.35" hidden="false" customHeight="false" outlineLevel="0" collapsed="false">
      <c r="A425" s="76" t="s">
        <v>2063</v>
      </c>
      <c r="B425" s="49" t="s">
        <v>2791</v>
      </c>
      <c r="C425" s="49" t="s">
        <v>2792</v>
      </c>
      <c r="D425" s="49" t="s">
        <v>2570</v>
      </c>
      <c r="E425" s="77" t="s">
        <v>2571</v>
      </c>
      <c r="F425" s="49" t="s">
        <v>2097</v>
      </c>
      <c r="G425" s="49" t="s">
        <v>2097</v>
      </c>
      <c r="H425" s="51" t="n">
        <v>72</v>
      </c>
      <c r="I425" s="51" t="n">
        <v>0</v>
      </c>
      <c r="J425" s="51" t="n">
        <v>0</v>
      </c>
      <c r="K425" s="52" t="n">
        <v>0</v>
      </c>
      <c r="L425" s="53" t="n">
        <v>26.1</v>
      </c>
      <c r="M425" s="54"/>
      <c r="N425" s="51" t="n">
        <v>0.90274</v>
      </c>
      <c r="O425" s="55" t="n">
        <v>0</v>
      </c>
      <c r="P425" s="51" t="n">
        <v>72</v>
      </c>
      <c r="Q425" s="49" t="s">
        <v>2098</v>
      </c>
      <c r="R425" s="49" t="s">
        <v>2572</v>
      </c>
      <c r="S425" s="53" t="n">
        <v>0</v>
      </c>
      <c r="T425" s="51" t="n">
        <v>1</v>
      </c>
      <c r="U425" s="56" t="n">
        <f aca="false">I425*O425</f>
        <v>0</v>
      </c>
      <c r="V425" s="56" t="n">
        <f aca="false">J425*O425</f>
        <v>0</v>
      </c>
      <c r="W425" s="56" t="n">
        <f aca="false">((I425+J425)/2)*O425</f>
        <v>0</v>
      </c>
      <c r="X425" s="56" t="n">
        <f aca="false">H425*O425</f>
        <v>0</v>
      </c>
    </row>
    <row r="426" customFormat="false" ht="22.35" hidden="false" customHeight="false" outlineLevel="0" collapsed="false">
      <c r="A426" s="76" t="s">
        <v>2063</v>
      </c>
      <c r="B426" s="7" t="s">
        <v>2793</v>
      </c>
      <c r="C426" s="7" t="s">
        <v>2792</v>
      </c>
      <c r="D426" s="7" t="s">
        <v>2570</v>
      </c>
      <c r="E426" s="77" t="s">
        <v>2571</v>
      </c>
      <c r="F426" s="7" t="s">
        <v>2097</v>
      </c>
      <c r="G426" s="7" t="s">
        <v>2097</v>
      </c>
      <c r="H426" s="9" t="n">
        <v>16</v>
      </c>
      <c r="I426" s="9" t="n">
        <v>0</v>
      </c>
      <c r="J426" s="9" t="n">
        <v>0</v>
      </c>
      <c r="K426" s="52" t="n">
        <v>0</v>
      </c>
      <c r="L426" s="58" t="n">
        <v>26.1</v>
      </c>
      <c r="M426" s="59"/>
      <c r="N426" s="9" t="n">
        <v>0.280822</v>
      </c>
      <c r="O426" s="8" t="n">
        <v>0</v>
      </c>
      <c r="P426" s="9" t="n">
        <v>16</v>
      </c>
      <c r="Q426" s="7" t="s">
        <v>2098</v>
      </c>
      <c r="R426" s="7" t="s">
        <v>2572</v>
      </c>
      <c r="S426" s="58" t="n">
        <v>0</v>
      </c>
      <c r="T426" s="9" t="n">
        <v>1</v>
      </c>
      <c r="U426" s="56" t="n">
        <f aca="false">I426*O426</f>
        <v>0</v>
      </c>
      <c r="V426" s="56" t="n">
        <f aca="false">J426*O426</f>
        <v>0</v>
      </c>
      <c r="W426" s="56" t="n">
        <f aca="false">((I426+J426)/2)*O426</f>
        <v>0</v>
      </c>
      <c r="X426" s="56" t="n">
        <f aca="false">H426*O426</f>
        <v>0</v>
      </c>
    </row>
    <row r="427" customFormat="false" ht="22.35" hidden="false" customHeight="false" outlineLevel="0" collapsed="false">
      <c r="A427" s="76" t="s">
        <v>2063</v>
      </c>
      <c r="B427" s="49" t="s">
        <v>2794</v>
      </c>
      <c r="C427" s="49" t="s">
        <v>2795</v>
      </c>
      <c r="D427" s="49" t="s">
        <v>2570</v>
      </c>
      <c r="E427" s="77" t="s">
        <v>2571</v>
      </c>
      <c r="F427" s="49" t="s">
        <v>2097</v>
      </c>
      <c r="G427" s="49" t="s">
        <v>2097</v>
      </c>
      <c r="H427" s="51" t="n">
        <v>24</v>
      </c>
      <c r="I427" s="51" t="n">
        <v>0</v>
      </c>
      <c r="J427" s="51" t="n">
        <v>0</v>
      </c>
      <c r="K427" s="52" t="n">
        <v>0</v>
      </c>
      <c r="L427" s="53" t="n">
        <v>26.1</v>
      </c>
      <c r="M427" s="54"/>
      <c r="N427" s="51" t="n">
        <v>0.271233</v>
      </c>
      <c r="O427" s="55" t="n">
        <v>0</v>
      </c>
      <c r="P427" s="51" t="n">
        <v>24</v>
      </c>
      <c r="Q427" s="49" t="s">
        <v>2098</v>
      </c>
      <c r="R427" s="49" t="s">
        <v>2572</v>
      </c>
      <c r="S427" s="53" t="n">
        <v>0</v>
      </c>
      <c r="T427" s="51" t="n">
        <v>1</v>
      </c>
      <c r="U427" s="56" t="n">
        <f aca="false">I427*O427</f>
        <v>0</v>
      </c>
      <c r="V427" s="56" t="n">
        <f aca="false">J427*O427</f>
        <v>0</v>
      </c>
      <c r="W427" s="56" t="n">
        <f aca="false">((I427+J427)/2)*O427</f>
        <v>0</v>
      </c>
      <c r="X427" s="56" t="n">
        <f aca="false">H427*O427</f>
        <v>0</v>
      </c>
    </row>
    <row r="428" customFormat="false" ht="22.35" hidden="false" customHeight="false" outlineLevel="0" collapsed="false">
      <c r="A428" s="76" t="s">
        <v>2063</v>
      </c>
      <c r="B428" s="7" t="s">
        <v>2796</v>
      </c>
      <c r="C428" s="7" t="s">
        <v>2795</v>
      </c>
      <c r="D428" s="7" t="s">
        <v>2570</v>
      </c>
      <c r="E428" s="77" t="s">
        <v>2571</v>
      </c>
      <c r="F428" s="7" t="s">
        <v>2097</v>
      </c>
      <c r="G428" s="7" t="s">
        <v>2097</v>
      </c>
      <c r="H428" s="9" t="n">
        <v>16</v>
      </c>
      <c r="I428" s="9" t="n">
        <v>0</v>
      </c>
      <c r="J428" s="9" t="n">
        <v>0</v>
      </c>
      <c r="K428" s="52" t="n">
        <v>0</v>
      </c>
      <c r="L428" s="58" t="n">
        <v>26.1</v>
      </c>
      <c r="M428" s="59"/>
      <c r="N428" s="9" t="n">
        <v>0.282192</v>
      </c>
      <c r="O428" s="8" t="n">
        <v>0</v>
      </c>
      <c r="P428" s="9" t="n">
        <v>16</v>
      </c>
      <c r="Q428" s="7" t="s">
        <v>2098</v>
      </c>
      <c r="R428" s="7" t="s">
        <v>2572</v>
      </c>
      <c r="S428" s="58" t="n">
        <v>0</v>
      </c>
      <c r="T428" s="9" t="n">
        <v>1</v>
      </c>
      <c r="U428" s="56" t="n">
        <f aca="false">I428*O428</f>
        <v>0</v>
      </c>
      <c r="V428" s="56" t="n">
        <f aca="false">J428*O428</f>
        <v>0</v>
      </c>
      <c r="W428" s="56" t="n">
        <f aca="false">((I428+J428)/2)*O428</f>
        <v>0</v>
      </c>
      <c r="X428" s="56" t="n">
        <f aca="false">H428*O428</f>
        <v>0</v>
      </c>
    </row>
    <row r="429" customFormat="false" ht="22.35" hidden="false" customHeight="false" outlineLevel="0" collapsed="false">
      <c r="A429" s="76" t="s">
        <v>2063</v>
      </c>
      <c r="B429" s="49" t="s">
        <v>2797</v>
      </c>
      <c r="C429" s="49" t="s">
        <v>2798</v>
      </c>
      <c r="D429" s="49" t="s">
        <v>2570</v>
      </c>
      <c r="E429" s="77" t="s">
        <v>2571</v>
      </c>
      <c r="F429" s="49" t="s">
        <v>2097</v>
      </c>
      <c r="G429" s="49" t="s">
        <v>2097</v>
      </c>
      <c r="H429" s="51" t="n">
        <v>48</v>
      </c>
      <c r="I429" s="51" t="n">
        <v>0</v>
      </c>
      <c r="J429" s="51" t="n">
        <v>0</v>
      </c>
      <c r="K429" s="52" t="n">
        <v>0</v>
      </c>
      <c r="L429" s="53" t="n">
        <v>26.1</v>
      </c>
      <c r="M429" s="54"/>
      <c r="N429" s="51" t="n">
        <v>0.524658</v>
      </c>
      <c r="O429" s="55" t="n">
        <v>0</v>
      </c>
      <c r="P429" s="51" t="n">
        <v>48</v>
      </c>
      <c r="Q429" s="49" t="s">
        <v>2098</v>
      </c>
      <c r="R429" s="49" t="s">
        <v>2572</v>
      </c>
      <c r="S429" s="53" t="n">
        <v>0</v>
      </c>
      <c r="T429" s="51" t="n">
        <v>1</v>
      </c>
      <c r="U429" s="56" t="n">
        <f aca="false">I429*O429</f>
        <v>0</v>
      </c>
      <c r="V429" s="56" t="n">
        <f aca="false">J429*O429</f>
        <v>0</v>
      </c>
      <c r="W429" s="56" t="n">
        <f aca="false">((I429+J429)/2)*O429</f>
        <v>0</v>
      </c>
      <c r="X429" s="56" t="n">
        <f aca="false">H429*O429</f>
        <v>0</v>
      </c>
    </row>
    <row r="430" customFormat="false" ht="22.35" hidden="false" customHeight="false" outlineLevel="0" collapsed="false">
      <c r="A430" s="76" t="s">
        <v>2063</v>
      </c>
      <c r="B430" s="7" t="s">
        <v>2799</v>
      </c>
      <c r="C430" s="7" t="s">
        <v>2798</v>
      </c>
      <c r="D430" s="7" t="s">
        <v>2570</v>
      </c>
      <c r="E430" s="77" t="s">
        <v>2571</v>
      </c>
      <c r="F430" s="7" t="s">
        <v>2097</v>
      </c>
      <c r="G430" s="7" t="s">
        <v>2097</v>
      </c>
      <c r="H430" s="9" t="n">
        <v>120</v>
      </c>
      <c r="I430" s="9" t="n">
        <v>0</v>
      </c>
      <c r="J430" s="9" t="n">
        <v>0</v>
      </c>
      <c r="K430" s="52" t="n">
        <v>0</v>
      </c>
      <c r="L430" s="58" t="n">
        <v>26.1</v>
      </c>
      <c r="M430" s="59"/>
      <c r="N430" s="9" t="n">
        <v>0.806849</v>
      </c>
      <c r="O430" s="8" t="n">
        <v>0</v>
      </c>
      <c r="P430" s="9" t="n">
        <v>120</v>
      </c>
      <c r="Q430" s="7" t="s">
        <v>2098</v>
      </c>
      <c r="R430" s="7" t="s">
        <v>2572</v>
      </c>
      <c r="S430" s="58" t="n">
        <v>0</v>
      </c>
      <c r="T430" s="9" t="n">
        <v>1</v>
      </c>
      <c r="U430" s="56" t="n">
        <f aca="false">I430*O430</f>
        <v>0</v>
      </c>
      <c r="V430" s="56" t="n">
        <f aca="false">J430*O430</f>
        <v>0</v>
      </c>
      <c r="W430" s="56" t="n">
        <f aca="false">((I430+J430)/2)*O430</f>
        <v>0</v>
      </c>
      <c r="X430" s="56" t="n">
        <f aca="false">H430*O430</f>
        <v>0</v>
      </c>
    </row>
    <row r="431" customFormat="false" ht="22.35" hidden="false" customHeight="false" outlineLevel="0" collapsed="false">
      <c r="A431" s="76" t="s">
        <v>2063</v>
      </c>
      <c r="B431" s="49" t="s">
        <v>2800</v>
      </c>
      <c r="C431" s="49" t="s">
        <v>2801</v>
      </c>
      <c r="D431" s="49" t="s">
        <v>2570</v>
      </c>
      <c r="E431" s="77" t="s">
        <v>2571</v>
      </c>
      <c r="F431" s="49" t="s">
        <v>2097</v>
      </c>
      <c r="G431" s="49" t="s">
        <v>2097</v>
      </c>
      <c r="H431" s="51" t="n">
        <v>12</v>
      </c>
      <c r="I431" s="51" t="n">
        <v>0</v>
      </c>
      <c r="J431" s="51" t="n">
        <v>0</v>
      </c>
      <c r="K431" s="52" t="n">
        <v>0</v>
      </c>
      <c r="L431" s="53" t="n">
        <v>26.1</v>
      </c>
      <c r="M431" s="54"/>
      <c r="N431" s="51" t="n">
        <v>0.153425</v>
      </c>
      <c r="O431" s="55" t="n">
        <v>0</v>
      </c>
      <c r="P431" s="51" t="n">
        <v>12</v>
      </c>
      <c r="Q431" s="49" t="s">
        <v>2098</v>
      </c>
      <c r="R431" s="49" t="s">
        <v>2572</v>
      </c>
      <c r="S431" s="53" t="n">
        <v>0</v>
      </c>
      <c r="T431" s="51" t="n">
        <v>1</v>
      </c>
      <c r="U431" s="56" t="n">
        <f aca="false">I431*O431</f>
        <v>0</v>
      </c>
      <c r="V431" s="56" t="n">
        <f aca="false">J431*O431</f>
        <v>0</v>
      </c>
      <c r="W431" s="56" t="n">
        <f aca="false">((I431+J431)/2)*O431</f>
        <v>0</v>
      </c>
      <c r="X431" s="56" t="n">
        <f aca="false">H431*O431</f>
        <v>0</v>
      </c>
    </row>
    <row r="432" customFormat="false" ht="22.35" hidden="false" customHeight="false" outlineLevel="0" collapsed="false">
      <c r="A432" s="76" t="s">
        <v>2063</v>
      </c>
      <c r="B432" s="7" t="s">
        <v>2802</v>
      </c>
      <c r="C432" s="7" t="s">
        <v>2801</v>
      </c>
      <c r="D432" s="7" t="s">
        <v>2570</v>
      </c>
      <c r="E432" s="77" t="s">
        <v>2571</v>
      </c>
      <c r="F432" s="7" t="s">
        <v>2097</v>
      </c>
      <c r="G432" s="7" t="s">
        <v>2097</v>
      </c>
      <c r="H432" s="9" t="n">
        <v>36</v>
      </c>
      <c r="I432" s="9" t="n">
        <v>0</v>
      </c>
      <c r="J432" s="9" t="n">
        <v>0</v>
      </c>
      <c r="K432" s="52" t="n">
        <v>0</v>
      </c>
      <c r="L432" s="58" t="n">
        <v>26.1</v>
      </c>
      <c r="M432" s="59"/>
      <c r="N432" s="9" t="n">
        <v>0.49863</v>
      </c>
      <c r="O432" s="8" t="n">
        <v>0</v>
      </c>
      <c r="P432" s="9" t="n">
        <v>36</v>
      </c>
      <c r="Q432" s="7" t="s">
        <v>2098</v>
      </c>
      <c r="R432" s="7" t="s">
        <v>2572</v>
      </c>
      <c r="S432" s="58" t="n">
        <v>0</v>
      </c>
      <c r="T432" s="9" t="n">
        <v>1</v>
      </c>
      <c r="U432" s="56" t="n">
        <f aca="false">I432*O432</f>
        <v>0</v>
      </c>
      <c r="V432" s="56" t="n">
        <f aca="false">J432*O432</f>
        <v>0</v>
      </c>
      <c r="W432" s="56" t="n">
        <f aca="false">((I432+J432)/2)*O432</f>
        <v>0</v>
      </c>
      <c r="X432" s="56" t="n">
        <f aca="false">H432*O432</f>
        <v>0</v>
      </c>
    </row>
    <row r="433" customFormat="false" ht="22.35" hidden="false" customHeight="false" outlineLevel="0" collapsed="false">
      <c r="A433" s="76" t="s">
        <v>2063</v>
      </c>
      <c r="B433" s="49" t="s">
        <v>2803</v>
      </c>
      <c r="C433" s="49" t="s">
        <v>2804</v>
      </c>
      <c r="D433" s="49" t="s">
        <v>2570</v>
      </c>
      <c r="E433" s="77" t="s">
        <v>2571</v>
      </c>
      <c r="F433" s="49" t="s">
        <v>2097</v>
      </c>
      <c r="G433" s="49" t="s">
        <v>2097</v>
      </c>
      <c r="H433" s="51" t="n">
        <v>120</v>
      </c>
      <c r="I433" s="51" t="n">
        <v>0</v>
      </c>
      <c r="J433" s="51" t="n">
        <v>0</v>
      </c>
      <c r="K433" s="52" t="n">
        <v>0</v>
      </c>
      <c r="L433" s="53" t="n">
        <v>26.1</v>
      </c>
      <c r="M433" s="54"/>
      <c r="N433" s="51" t="n">
        <v>1.941096</v>
      </c>
      <c r="O433" s="55" t="n">
        <v>0</v>
      </c>
      <c r="P433" s="51" t="n">
        <v>120</v>
      </c>
      <c r="Q433" s="49" t="s">
        <v>2098</v>
      </c>
      <c r="R433" s="49" t="s">
        <v>2572</v>
      </c>
      <c r="S433" s="53" t="n">
        <v>0</v>
      </c>
      <c r="T433" s="51" t="n">
        <v>1</v>
      </c>
      <c r="U433" s="56" t="n">
        <f aca="false">I433*O433</f>
        <v>0</v>
      </c>
      <c r="V433" s="56" t="n">
        <f aca="false">J433*O433</f>
        <v>0</v>
      </c>
      <c r="W433" s="56" t="n">
        <f aca="false">((I433+J433)/2)*O433</f>
        <v>0</v>
      </c>
      <c r="X433" s="56" t="n">
        <f aca="false">H433*O433</f>
        <v>0</v>
      </c>
    </row>
    <row r="434" customFormat="false" ht="22.35" hidden="false" customHeight="false" outlineLevel="0" collapsed="false">
      <c r="A434" s="76" t="s">
        <v>2063</v>
      </c>
      <c r="B434" s="7" t="s">
        <v>2805</v>
      </c>
      <c r="C434" s="7" t="s">
        <v>2804</v>
      </c>
      <c r="D434" s="7" t="s">
        <v>2570</v>
      </c>
      <c r="E434" s="77" t="s">
        <v>2571</v>
      </c>
      <c r="F434" s="7" t="s">
        <v>2097</v>
      </c>
      <c r="G434" s="7" t="s">
        <v>2097</v>
      </c>
      <c r="H434" s="9" t="n">
        <v>16</v>
      </c>
      <c r="I434" s="9" t="n">
        <v>0</v>
      </c>
      <c r="J434" s="9" t="n">
        <v>0</v>
      </c>
      <c r="K434" s="52" t="n">
        <v>0</v>
      </c>
      <c r="L434" s="58" t="n">
        <v>26.1</v>
      </c>
      <c r="M434" s="59"/>
      <c r="N434" s="9" t="n">
        <v>0.289041</v>
      </c>
      <c r="O434" s="8" t="n">
        <v>0</v>
      </c>
      <c r="P434" s="9" t="n">
        <v>16</v>
      </c>
      <c r="Q434" s="7" t="s">
        <v>2098</v>
      </c>
      <c r="R434" s="7" t="s">
        <v>2572</v>
      </c>
      <c r="S434" s="58" t="n">
        <v>0</v>
      </c>
      <c r="T434" s="9" t="n">
        <v>1</v>
      </c>
      <c r="U434" s="56" t="n">
        <f aca="false">I434*O434</f>
        <v>0</v>
      </c>
      <c r="V434" s="56" t="n">
        <f aca="false">J434*O434</f>
        <v>0</v>
      </c>
      <c r="W434" s="56" t="n">
        <f aca="false">((I434+J434)/2)*O434</f>
        <v>0</v>
      </c>
      <c r="X434" s="56" t="n">
        <f aca="false">H434*O434</f>
        <v>0</v>
      </c>
    </row>
    <row r="435" customFormat="false" ht="22.35" hidden="false" customHeight="false" outlineLevel="0" collapsed="false">
      <c r="A435" s="76" t="s">
        <v>2063</v>
      </c>
      <c r="B435" s="49" t="s">
        <v>2806</v>
      </c>
      <c r="C435" s="49" t="s">
        <v>2807</v>
      </c>
      <c r="D435" s="49" t="s">
        <v>2570</v>
      </c>
      <c r="E435" s="77" t="s">
        <v>2571</v>
      </c>
      <c r="F435" s="49" t="s">
        <v>2097</v>
      </c>
      <c r="G435" s="49" t="s">
        <v>2097</v>
      </c>
      <c r="H435" s="51" t="n">
        <v>120</v>
      </c>
      <c r="I435" s="51" t="n">
        <v>0</v>
      </c>
      <c r="J435" s="51" t="n">
        <v>0</v>
      </c>
      <c r="K435" s="52" t="n">
        <v>0</v>
      </c>
      <c r="L435" s="53" t="n">
        <v>26.1</v>
      </c>
      <c r="M435" s="54"/>
      <c r="N435" s="51" t="n">
        <v>1.923288</v>
      </c>
      <c r="O435" s="55" t="n">
        <v>0</v>
      </c>
      <c r="P435" s="51" t="n">
        <v>120</v>
      </c>
      <c r="Q435" s="49" t="s">
        <v>2098</v>
      </c>
      <c r="R435" s="49" t="s">
        <v>2572</v>
      </c>
      <c r="S435" s="53" t="n">
        <v>0</v>
      </c>
      <c r="T435" s="51" t="n">
        <v>1</v>
      </c>
      <c r="U435" s="56" t="n">
        <f aca="false">I435*O435</f>
        <v>0</v>
      </c>
      <c r="V435" s="56" t="n">
        <f aca="false">J435*O435</f>
        <v>0</v>
      </c>
      <c r="W435" s="56" t="n">
        <f aca="false">((I435+J435)/2)*O435</f>
        <v>0</v>
      </c>
      <c r="X435" s="56" t="n">
        <f aca="false">H435*O435</f>
        <v>0</v>
      </c>
    </row>
    <row r="436" customFormat="false" ht="22.35" hidden="false" customHeight="false" outlineLevel="0" collapsed="false">
      <c r="A436" s="76" t="s">
        <v>2063</v>
      </c>
      <c r="B436" s="7" t="s">
        <v>2808</v>
      </c>
      <c r="C436" s="7" t="s">
        <v>2807</v>
      </c>
      <c r="D436" s="7" t="s">
        <v>2570</v>
      </c>
      <c r="E436" s="77" t="s">
        <v>2571</v>
      </c>
      <c r="F436" s="7" t="s">
        <v>2097</v>
      </c>
      <c r="G436" s="7" t="s">
        <v>2097</v>
      </c>
      <c r="H436" s="9" t="n">
        <v>24</v>
      </c>
      <c r="I436" s="9" t="n">
        <v>0</v>
      </c>
      <c r="J436" s="9" t="n">
        <v>0</v>
      </c>
      <c r="K436" s="52" t="n">
        <v>0</v>
      </c>
      <c r="L436" s="58" t="n">
        <v>26.1</v>
      </c>
      <c r="M436" s="59"/>
      <c r="N436" s="9" t="n">
        <v>0.346575</v>
      </c>
      <c r="O436" s="8" t="n">
        <v>0</v>
      </c>
      <c r="P436" s="9" t="n">
        <v>24</v>
      </c>
      <c r="Q436" s="7" t="s">
        <v>2098</v>
      </c>
      <c r="R436" s="7" t="s">
        <v>2572</v>
      </c>
      <c r="S436" s="58" t="n">
        <v>0</v>
      </c>
      <c r="T436" s="9" t="n">
        <v>1</v>
      </c>
      <c r="U436" s="56" t="n">
        <f aca="false">I436*O436</f>
        <v>0</v>
      </c>
      <c r="V436" s="56" t="n">
        <f aca="false">J436*O436</f>
        <v>0</v>
      </c>
      <c r="W436" s="56" t="n">
        <f aca="false">((I436+J436)/2)*O436</f>
        <v>0</v>
      </c>
      <c r="X436" s="56" t="n">
        <f aca="false">H436*O436</f>
        <v>0</v>
      </c>
    </row>
    <row r="437" customFormat="false" ht="22.35" hidden="false" customHeight="false" outlineLevel="0" collapsed="false">
      <c r="A437" s="76" t="s">
        <v>2063</v>
      </c>
      <c r="B437" s="49" t="s">
        <v>2809</v>
      </c>
      <c r="C437" s="49" t="s">
        <v>2810</v>
      </c>
      <c r="D437" s="49" t="s">
        <v>2570</v>
      </c>
      <c r="E437" s="77" t="s">
        <v>2571</v>
      </c>
      <c r="F437" s="49" t="s">
        <v>2097</v>
      </c>
      <c r="G437" s="49" t="s">
        <v>2097</v>
      </c>
      <c r="H437" s="51" t="n">
        <v>288</v>
      </c>
      <c r="I437" s="51" t="n">
        <v>0</v>
      </c>
      <c r="J437" s="51" t="n">
        <v>0</v>
      </c>
      <c r="K437" s="52" t="n">
        <v>0</v>
      </c>
      <c r="L437" s="53" t="n">
        <v>26.1</v>
      </c>
      <c r="M437" s="54"/>
      <c r="N437" s="51" t="n">
        <v>4.423288</v>
      </c>
      <c r="O437" s="55" t="n">
        <v>0</v>
      </c>
      <c r="P437" s="51" t="n">
        <v>288</v>
      </c>
      <c r="Q437" s="49" t="s">
        <v>2098</v>
      </c>
      <c r="R437" s="49" t="s">
        <v>2572</v>
      </c>
      <c r="S437" s="53" t="n">
        <v>0</v>
      </c>
      <c r="T437" s="51" t="n">
        <v>72</v>
      </c>
      <c r="U437" s="56" t="n">
        <f aca="false">I437*O437</f>
        <v>0</v>
      </c>
      <c r="V437" s="56" t="n">
        <f aca="false">J437*O437</f>
        <v>0</v>
      </c>
      <c r="W437" s="56" t="n">
        <f aca="false">((I437+J437)/2)*O437</f>
        <v>0</v>
      </c>
      <c r="X437" s="56" t="n">
        <f aca="false">H437*O437</f>
        <v>0</v>
      </c>
    </row>
    <row r="438" customFormat="false" ht="22.35" hidden="false" customHeight="false" outlineLevel="0" collapsed="false">
      <c r="A438" s="76" t="s">
        <v>2063</v>
      </c>
      <c r="B438" s="7" t="s">
        <v>2811</v>
      </c>
      <c r="C438" s="7" t="s">
        <v>2810</v>
      </c>
      <c r="D438" s="7" t="s">
        <v>2570</v>
      </c>
      <c r="E438" s="77" t="s">
        <v>2571</v>
      </c>
      <c r="F438" s="7" t="s">
        <v>2097</v>
      </c>
      <c r="G438" s="7" t="s">
        <v>2097</v>
      </c>
      <c r="H438" s="9" t="n">
        <v>96</v>
      </c>
      <c r="I438" s="9" t="n">
        <v>0</v>
      </c>
      <c r="J438" s="9" t="n">
        <v>0</v>
      </c>
      <c r="K438" s="52" t="n">
        <v>0</v>
      </c>
      <c r="L438" s="58" t="n">
        <v>26.1</v>
      </c>
      <c r="M438" s="59"/>
      <c r="N438" s="9" t="n">
        <v>1.375342</v>
      </c>
      <c r="O438" s="8" t="n">
        <v>0</v>
      </c>
      <c r="P438" s="9" t="n">
        <v>96</v>
      </c>
      <c r="Q438" s="7" t="s">
        <v>2098</v>
      </c>
      <c r="R438" s="7" t="s">
        <v>2572</v>
      </c>
      <c r="S438" s="58" t="n">
        <v>0</v>
      </c>
      <c r="T438" s="9" t="n">
        <v>48</v>
      </c>
      <c r="U438" s="56" t="n">
        <f aca="false">I438*O438</f>
        <v>0</v>
      </c>
      <c r="V438" s="56" t="n">
        <f aca="false">J438*O438</f>
        <v>0</v>
      </c>
      <c r="W438" s="56" t="n">
        <f aca="false">((I438+J438)/2)*O438</f>
        <v>0</v>
      </c>
      <c r="X438" s="56" t="n">
        <f aca="false">H438*O438</f>
        <v>0</v>
      </c>
    </row>
    <row r="439" customFormat="false" ht="22.35" hidden="false" customHeight="false" outlineLevel="0" collapsed="false">
      <c r="A439" s="76" t="s">
        <v>2063</v>
      </c>
      <c r="B439" s="49" t="s">
        <v>2812</v>
      </c>
      <c r="C439" s="49" t="s">
        <v>2813</v>
      </c>
      <c r="D439" s="49" t="s">
        <v>2570</v>
      </c>
      <c r="E439" s="77" t="s">
        <v>2571</v>
      </c>
      <c r="F439" s="49" t="s">
        <v>2097</v>
      </c>
      <c r="G439" s="49" t="s">
        <v>2097</v>
      </c>
      <c r="H439" s="51" t="n">
        <v>16</v>
      </c>
      <c r="I439" s="51" t="n">
        <v>0</v>
      </c>
      <c r="J439" s="51" t="n">
        <v>0</v>
      </c>
      <c r="K439" s="52" t="n">
        <v>0</v>
      </c>
      <c r="L439" s="53" t="n">
        <v>26.1</v>
      </c>
      <c r="M439" s="54"/>
      <c r="N439" s="51" t="n">
        <v>0.206849</v>
      </c>
      <c r="O439" s="55" t="n">
        <v>0</v>
      </c>
      <c r="P439" s="51" t="n">
        <v>16</v>
      </c>
      <c r="Q439" s="49" t="s">
        <v>2098</v>
      </c>
      <c r="R439" s="49" t="s">
        <v>2572</v>
      </c>
      <c r="S439" s="53" t="n">
        <v>0</v>
      </c>
      <c r="T439" s="51" t="n">
        <v>1</v>
      </c>
      <c r="U439" s="56" t="n">
        <f aca="false">I439*O439</f>
        <v>0</v>
      </c>
      <c r="V439" s="56" t="n">
        <f aca="false">J439*O439</f>
        <v>0</v>
      </c>
      <c r="W439" s="56" t="n">
        <f aca="false">((I439+J439)/2)*O439</f>
        <v>0</v>
      </c>
      <c r="X439" s="56" t="n">
        <f aca="false">H439*O439</f>
        <v>0</v>
      </c>
    </row>
    <row r="440" customFormat="false" ht="22.35" hidden="false" customHeight="false" outlineLevel="0" collapsed="false">
      <c r="A440" s="76" t="s">
        <v>2063</v>
      </c>
      <c r="B440" s="7" t="s">
        <v>2814</v>
      </c>
      <c r="C440" s="7" t="s">
        <v>2815</v>
      </c>
      <c r="D440" s="7" t="s">
        <v>2570</v>
      </c>
      <c r="E440" s="77" t="s">
        <v>2571</v>
      </c>
      <c r="F440" s="7" t="s">
        <v>2097</v>
      </c>
      <c r="G440" s="7" t="s">
        <v>2097</v>
      </c>
      <c r="H440" s="9" t="n">
        <v>6</v>
      </c>
      <c r="I440" s="9" t="n">
        <v>0</v>
      </c>
      <c r="J440" s="9" t="n">
        <v>0</v>
      </c>
      <c r="K440" s="52" t="n">
        <v>0</v>
      </c>
      <c r="L440" s="58" t="n">
        <v>26.1</v>
      </c>
      <c r="M440" s="59"/>
      <c r="N440" s="9" t="n">
        <v>0.09589</v>
      </c>
      <c r="O440" s="8" t="n">
        <v>0</v>
      </c>
      <c r="P440" s="9" t="n">
        <v>6</v>
      </c>
      <c r="Q440" s="7" t="s">
        <v>2098</v>
      </c>
      <c r="R440" s="7" t="s">
        <v>2572</v>
      </c>
      <c r="S440" s="58" t="n">
        <v>0</v>
      </c>
      <c r="T440" s="9" t="n">
        <v>1</v>
      </c>
      <c r="U440" s="56" t="n">
        <f aca="false">I440*O440</f>
        <v>0</v>
      </c>
      <c r="V440" s="56" t="n">
        <f aca="false">J440*O440</f>
        <v>0</v>
      </c>
      <c r="W440" s="56" t="n">
        <f aca="false">((I440+J440)/2)*O440</f>
        <v>0</v>
      </c>
      <c r="X440" s="56" t="n">
        <f aca="false">H440*O440</f>
        <v>0</v>
      </c>
    </row>
    <row r="441" customFormat="false" ht="22.35" hidden="false" customHeight="false" outlineLevel="0" collapsed="false">
      <c r="A441" s="76" t="s">
        <v>2063</v>
      </c>
      <c r="B441" s="49" t="s">
        <v>2816</v>
      </c>
      <c r="C441" s="49" t="s">
        <v>2817</v>
      </c>
      <c r="D441" s="49" t="s">
        <v>2570</v>
      </c>
      <c r="E441" s="77" t="s">
        <v>2571</v>
      </c>
      <c r="F441" s="49" t="s">
        <v>2097</v>
      </c>
      <c r="G441" s="49" t="s">
        <v>2097</v>
      </c>
      <c r="H441" s="51" t="n">
        <v>16</v>
      </c>
      <c r="I441" s="51" t="n">
        <v>0</v>
      </c>
      <c r="J441" s="51" t="n">
        <v>0</v>
      </c>
      <c r="K441" s="52" t="n">
        <v>0</v>
      </c>
      <c r="L441" s="53" t="n">
        <v>26.1</v>
      </c>
      <c r="M441" s="54"/>
      <c r="N441" s="51" t="n">
        <v>0.30274</v>
      </c>
      <c r="O441" s="55" t="n">
        <v>0</v>
      </c>
      <c r="P441" s="51" t="n">
        <v>16</v>
      </c>
      <c r="Q441" s="49" t="s">
        <v>2098</v>
      </c>
      <c r="R441" s="49" t="s">
        <v>2572</v>
      </c>
      <c r="S441" s="53" t="n">
        <v>0</v>
      </c>
      <c r="T441" s="51" t="n">
        <v>1</v>
      </c>
      <c r="U441" s="56" t="n">
        <f aca="false">I441*O441</f>
        <v>0</v>
      </c>
      <c r="V441" s="56" t="n">
        <f aca="false">J441*O441</f>
        <v>0</v>
      </c>
      <c r="W441" s="56" t="n">
        <f aca="false">((I441+J441)/2)*O441</f>
        <v>0</v>
      </c>
      <c r="X441" s="56" t="n">
        <f aca="false">H441*O441</f>
        <v>0</v>
      </c>
    </row>
    <row r="442" customFormat="false" ht="22.35" hidden="false" customHeight="false" outlineLevel="0" collapsed="false">
      <c r="A442" s="76" t="s">
        <v>2063</v>
      </c>
      <c r="B442" s="7" t="s">
        <v>2818</v>
      </c>
      <c r="C442" s="7" t="s">
        <v>2819</v>
      </c>
      <c r="D442" s="7" t="s">
        <v>2570</v>
      </c>
      <c r="E442" s="77" t="s">
        <v>2571</v>
      </c>
      <c r="F442" s="7" t="s">
        <v>2097</v>
      </c>
      <c r="G442" s="7" t="s">
        <v>2097</v>
      </c>
      <c r="H442" s="9" t="n">
        <v>54</v>
      </c>
      <c r="I442" s="9" t="n">
        <v>0</v>
      </c>
      <c r="J442" s="9" t="n">
        <v>0</v>
      </c>
      <c r="K442" s="52" t="n">
        <v>0</v>
      </c>
      <c r="L442" s="58" t="n">
        <v>26.1</v>
      </c>
      <c r="M442" s="59"/>
      <c r="N442" s="9" t="n">
        <v>0.475342</v>
      </c>
      <c r="O442" s="8" t="n">
        <v>0</v>
      </c>
      <c r="P442" s="9" t="n">
        <v>54</v>
      </c>
      <c r="Q442" s="7" t="s">
        <v>2098</v>
      </c>
      <c r="R442" s="7" t="s">
        <v>2572</v>
      </c>
      <c r="S442" s="58" t="n">
        <v>0</v>
      </c>
      <c r="T442" s="9" t="n">
        <v>1</v>
      </c>
      <c r="U442" s="56" t="n">
        <f aca="false">I442*O442</f>
        <v>0</v>
      </c>
      <c r="V442" s="56" t="n">
        <f aca="false">J442*O442</f>
        <v>0</v>
      </c>
      <c r="W442" s="56" t="n">
        <f aca="false">((I442+J442)/2)*O442</f>
        <v>0</v>
      </c>
      <c r="X442" s="56" t="n">
        <f aca="false">H442*O442</f>
        <v>0</v>
      </c>
    </row>
    <row r="443" customFormat="false" ht="22.35" hidden="false" customHeight="false" outlineLevel="0" collapsed="false">
      <c r="A443" s="76" t="s">
        <v>2063</v>
      </c>
      <c r="B443" s="49" t="s">
        <v>2820</v>
      </c>
      <c r="C443" s="49" t="s">
        <v>2819</v>
      </c>
      <c r="D443" s="49" t="s">
        <v>2570</v>
      </c>
      <c r="E443" s="77" t="s">
        <v>2571</v>
      </c>
      <c r="F443" s="49" t="s">
        <v>2097</v>
      </c>
      <c r="G443" s="49" t="s">
        <v>2097</v>
      </c>
      <c r="H443" s="51" t="n">
        <v>8</v>
      </c>
      <c r="I443" s="51" t="n">
        <v>0</v>
      </c>
      <c r="J443" s="51" t="n">
        <v>0</v>
      </c>
      <c r="K443" s="52" t="n">
        <v>0</v>
      </c>
      <c r="L443" s="53" t="n">
        <v>26.1</v>
      </c>
      <c r="M443" s="54"/>
      <c r="N443" s="51" t="n">
        <v>0.112329</v>
      </c>
      <c r="O443" s="55" t="n">
        <v>0</v>
      </c>
      <c r="P443" s="51" t="n">
        <v>8</v>
      </c>
      <c r="Q443" s="49" t="s">
        <v>2098</v>
      </c>
      <c r="R443" s="49" t="s">
        <v>2572</v>
      </c>
      <c r="S443" s="53" t="n">
        <v>0</v>
      </c>
      <c r="T443" s="51" t="n">
        <v>1</v>
      </c>
      <c r="U443" s="56" t="n">
        <f aca="false">I443*O443</f>
        <v>0</v>
      </c>
      <c r="V443" s="56" t="n">
        <f aca="false">J443*O443</f>
        <v>0</v>
      </c>
      <c r="W443" s="56" t="n">
        <f aca="false">((I443+J443)/2)*O443</f>
        <v>0</v>
      </c>
      <c r="X443" s="56" t="n">
        <f aca="false">H443*O443</f>
        <v>0</v>
      </c>
    </row>
    <row r="444" customFormat="false" ht="22.35" hidden="false" customHeight="false" outlineLevel="0" collapsed="false">
      <c r="A444" s="76" t="s">
        <v>2063</v>
      </c>
      <c r="B444" s="7" t="s">
        <v>2821</v>
      </c>
      <c r="C444" s="7" t="s">
        <v>2822</v>
      </c>
      <c r="D444" s="7" t="s">
        <v>2570</v>
      </c>
      <c r="E444" s="77" t="s">
        <v>2571</v>
      </c>
      <c r="F444" s="7" t="s">
        <v>2097</v>
      </c>
      <c r="G444" s="7" t="s">
        <v>2097</v>
      </c>
      <c r="H444" s="9" t="n">
        <v>32</v>
      </c>
      <c r="I444" s="9" t="n">
        <v>0</v>
      </c>
      <c r="J444" s="9" t="n">
        <v>0</v>
      </c>
      <c r="K444" s="52" t="n">
        <v>0</v>
      </c>
      <c r="L444" s="58" t="n">
        <v>26.1</v>
      </c>
      <c r="M444" s="59"/>
      <c r="N444" s="9" t="n">
        <v>0.49726</v>
      </c>
      <c r="O444" s="8" t="n">
        <v>0</v>
      </c>
      <c r="P444" s="9" t="n">
        <v>32</v>
      </c>
      <c r="Q444" s="7" t="s">
        <v>2098</v>
      </c>
      <c r="R444" s="7" t="s">
        <v>2572</v>
      </c>
      <c r="S444" s="58" t="n">
        <v>0</v>
      </c>
      <c r="T444" s="9" t="n">
        <v>12</v>
      </c>
      <c r="U444" s="56" t="n">
        <f aca="false">I444*O444</f>
        <v>0</v>
      </c>
      <c r="V444" s="56" t="n">
        <f aca="false">J444*O444</f>
        <v>0</v>
      </c>
      <c r="W444" s="56" t="n">
        <f aca="false">((I444+J444)/2)*O444</f>
        <v>0</v>
      </c>
      <c r="X444" s="56" t="n">
        <f aca="false">H444*O444</f>
        <v>0</v>
      </c>
    </row>
    <row r="445" customFormat="false" ht="22.35" hidden="false" customHeight="false" outlineLevel="0" collapsed="false">
      <c r="A445" s="76" t="s">
        <v>2063</v>
      </c>
      <c r="B445" s="49" t="s">
        <v>2823</v>
      </c>
      <c r="C445" s="49" t="s">
        <v>2822</v>
      </c>
      <c r="D445" s="49" t="s">
        <v>2570</v>
      </c>
      <c r="E445" s="77" t="s">
        <v>2571</v>
      </c>
      <c r="F445" s="49" t="s">
        <v>2097</v>
      </c>
      <c r="G445" s="49" t="s">
        <v>2097</v>
      </c>
      <c r="H445" s="51" t="n">
        <v>24</v>
      </c>
      <c r="I445" s="51" t="n">
        <v>0</v>
      </c>
      <c r="J445" s="51" t="n">
        <v>0</v>
      </c>
      <c r="K445" s="52" t="n">
        <v>0</v>
      </c>
      <c r="L445" s="53" t="n">
        <v>26.1</v>
      </c>
      <c r="M445" s="54"/>
      <c r="N445" s="51" t="n">
        <v>0.434247</v>
      </c>
      <c r="O445" s="55" t="n">
        <v>0</v>
      </c>
      <c r="P445" s="51" t="n">
        <v>24</v>
      </c>
      <c r="Q445" s="49" t="s">
        <v>2098</v>
      </c>
      <c r="R445" s="49" t="s">
        <v>2572</v>
      </c>
      <c r="S445" s="53" t="n">
        <v>0</v>
      </c>
      <c r="T445" s="51" t="n">
        <v>8</v>
      </c>
      <c r="U445" s="56" t="n">
        <f aca="false">I445*O445</f>
        <v>0</v>
      </c>
      <c r="V445" s="56" t="n">
        <f aca="false">J445*O445</f>
        <v>0</v>
      </c>
      <c r="W445" s="56" t="n">
        <f aca="false">((I445+J445)/2)*O445</f>
        <v>0</v>
      </c>
      <c r="X445" s="56" t="n">
        <f aca="false">H445*O445</f>
        <v>0</v>
      </c>
    </row>
    <row r="446" customFormat="false" ht="22.35" hidden="false" customHeight="false" outlineLevel="0" collapsed="false">
      <c r="A446" s="76" t="s">
        <v>2063</v>
      </c>
      <c r="B446" s="7" t="s">
        <v>2824</v>
      </c>
      <c r="C446" s="7" t="s">
        <v>2825</v>
      </c>
      <c r="D446" s="7" t="s">
        <v>2570</v>
      </c>
      <c r="E446" s="77" t="s">
        <v>2571</v>
      </c>
      <c r="F446" s="7" t="s">
        <v>2097</v>
      </c>
      <c r="G446" s="7" t="s">
        <v>2097</v>
      </c>
      <c r="H446" s="9" t="n">
        <v>20</v>
      </c>
      <c r="I446" s="9" t="n">
        <v>0</v>
      </c>
      <c r="J446" s="9" t="n">
        <v>0</v>
      </c>
      <c r="K446" s="52" t="n">
        <v>0</v>
      </c>
      <c r="L446" s="58" t="n">
        <v>26.1</v>
      </c>
      <c r="M446" s="59"/>
      <c r="N446" s="9" t="n">
        <v>0.305479</v>
      </c>
      <c r="O446" s="8" t="n">
        <v>0</v>
      </c>
      <c r="P446" s="9" t="n">
        <v>20</v>
      </c>
      <c r="Q446" s="7" t="s">
        <v>2098</v>
      </c>
      <c r="R446" s="7" t="s">
        <v>2572</v>
      </c>
      <c r="S446" s="58" t="n">
        <v>0</v>
      </c>
      <c r="T446" s="9" t="n">
        <v>8</v>
      </c>
      <c r="U446" s="56" t="n">
        <f aca="false">I446*O446</f>
        <v>0</v>
      </c>
      <c r="V446" s="56" t="n">
        <f aca="false">J446*O446</f>
        <v>0</v>
      </c>
      <c r="W446" s="56" t="n">
        <f aca="false">((I446+J446)/2)*O446</f>
        <v>0</v>
      </c>
      <c r="X446" s="56" t="n">
        <f aca="false">H446*O446</f>
        <v>0</v>
      </c>
    </row>
    <row r="447" customFormat="false" ht="22.35" hidden="false" customHeight="false" outlineLevel="0" collapsed="false">
      <c r="A447" s="76" t="s">
        <v>2063</v>
      </c>
      <c r="B447" s="49" t="s">
        <v>2826</v>
      </c>
      <c r="C447" s="49" t="s">
        <v>2825</v>
      </c>
      <c r="D447" s="49" t="s">
        <v>2570</v>
      </c>
      <c r="E447" s="77" t="s">
        <v>2571</v>
      </c>
      <c r="F447" s="49" t="s">
        <v>2097</v>
      </c>
      <c r="G447" s="49" t="s">
        <v>2097</v>
      </c>
      <c r="H447" s="51" t="n">
        <v>6</v>
      </c>
      <c r="I447" s="51" t="n">
        <v>0</v>
      </c>
      <c r="J447" s="51" t="n">
        <v>0</v>
      </c>
      <c r="K447" s="52" t="n">
        <v>0</v>
      </c>
      <c r="L447" s="53" t="n">
        <v>26.1</v>
      </c>
      <c r="M447" s="54"/>
      <c r="N447" s="51" t="n">
        <v>0.089041</v>
      </c>
      <c r="O447" s="55" t="n">
        <v>0</v>
      </c>
      <c r="P447" s="51" t="n">
        <v>6</v>
      </c>
      <c r="Q447" s="49" t="s">
        <v>2098</v>
      </c>
      <c r="R447" s="49" t="s">
        <v>2572</v>
      </c>
      <c r="S447" s="53" t="n">
        <v>0</v>
      </c>
      <c r="T447" s="51" t="n">
        <v>3</v>
      </c>
      <c r="U447" s="56" t="n">
        <f aca="false">I447*O447</f>
        <v>0</v>
      </c>
      <c r="V447" s="56" t="n">
        <f aca="false">J447*O447</f>
        <v>0</v>
      </c>
      <c r="W447" s="56" t="n">
        <f aca="false">((I447+J447)/2)*O447</f>
        <v>0</v>
      </c>
      <c r="X447" s="56" t="n">
        <f aca="false">H447*O447</f>
        <v>0</v>
      </c>
    </row>
    <row r="448" customFormat="false" ht="22.35" hidden="false" customHeight="false" outlineLevel="0" collapsed="false">
      <c r="A448" s="76" t="s">
        <v>2063</v>
      </c>
      <c r="B448" s="7" t="s">
        <v>2827</v>
      </c>
      <c r="C448" s="7" t="s">
        <v>2828</v>
      </c>
      <c r="D448" s="7" t="s">
        <v>2570</v>
      </c>
      <c r="E448" s="77" t="s">
        <v>2571</v>
      </c>
      <c r="F448" s="7" t="s">
        <v>2097</v>
      </c>
      <c r="G448" s="7" t="s">
        <v>2097</v>
      </c>
      <c r="H448" s="9" t="n">
        <v>48</v>
      </c>
      <c r="I448" s="9" t="n">
        <v>0</v>
      </c>
      <c r="J448" s="9" t="n">
        <v>0</v>
      </c>
      <c r="K448" s="52" t="n">
        <v>0</v>
      </c>
      <c r="L448" s="58" t="n">
        <v>26.1</v>
      </c>
      <c r="M448" s="59"/>
      <c r="N448" s="9" t="n">
        <v>0.824658</v>
      </c>
      <c r="O448" s="8" t="n">
        <v>0</v>
      </c>
      <c r="P448" s="9" t="n">
        <v>48</v>
      </c>
      <c r="Q448" s="7" t="s">
        <v>2098</v>
      </c>
      <c r="R448" s="7" t="s">
        <v>2572</v>
      </c>
      <c r="S448" s="58" t="n">
        <v>0</v>
      </c>
      <c r="T448" s="9" t="n">
        <v>12</v>
      </c>
      <c r="U448" s="56" t="n">
        <f aca="false">I448*O448</f>
        <v>0</v>
      </c>
      <c r="V448" s="56" t="n">
        <f aca="false">J448*O448</f>
        <v>0</v>
      </c>
      <c r="W448" s="56" t="n">
        <f aca="false">((I448+J448)/2)*O448</f>
        <v>0</v>
      </c>
      <c r="X448" s="56" t="n">
        <f aca="false">H448*O448</f>
        <v>0</v>
      </c>
    </row>
    <row r="449" customFormat="false" ht="22.35" hidden="false" customHeight="false" outlineLevel="0" collapsed="false">
      <c r="A449" s="76" t="s">
        <v>2063</v>
      </c>
      <c r="B449" s="49" t="s">
        <v>2829</v>
      </c>
      <c r="C449" s="49" t="s">
        <v>2828</v>
      </c>
      <c r="D449" s="49" t="s">
        <v>2570</v>
      </c>
      <c r="E449" s="77" t="s">
        <v>2571</v>
      </c>
      <c r="F449" s="49" t="s">
        <v>2097</v>
      </c>
      <c r="G449" s="49" t="s">
        <v>2097</v>
      </c>
      <c r="H449" s="51" t="n">
        <v>8</v>
      </c>
      <c r="I449" s="51" t="n">
        <v>0</v>
      </c>
      <c r="J449" s="51" t="n">
        <v>0</v>
      </c>
      <c r="K449" s="52" t="n">
        <v>0</v>
      </c>
      <c r="L449" s="53" t="n">
        <v>26.1</v>
      </c>
      <c r="M449" s="54"/>
      <c r="N449" s="51" t="n">
        <v>0.156164</v>
      </c>
      <c r="O449" s="55" t="n">
        <v>0</v>
      </c>
      <c r="P449" s="51" t="n">
        <v>8</v>
      </c>
      <c r="Q449" s="49" t="s">
        <v>2098</v>
      </c>
      <c r="R449" s="49" t="s">
        <v>2572</v>
      </c>
      <c r="S449" s="53" t="n">
        <v>0</v>
      </c>
      <c r="T449" s="51" t="n">
        <v>4</v>
      </c>
      <c r="U449" s="56" t="n">
        <f aca="false">I449*O449</f>
        <v>0</v>
      </c>
      <c r="V449" s="56" t="n">
        <f aca="false">J449*O449</f>
        <v>0</v>
      </c>
      <c r="W449" s="56" t="n">
        <f aca="false">((I449+J449)/2)*O449</f>
        <v>0</v>
      </c>
      <c r="X449" s="56" t="n">
        <f aca="false">H449*O449</f>
        <v>0</v>
      </c>
    </row>
    <row r="450" customFormat="false" ht="22.35" hidden="false" customHeight="false" outlineLevel="0" collapsed="false">
      <c r="A450" s="76" t="s">
        <v>2063</v>
      </c>
      <c r="B450" s="7" t="s">
        <v>2830</v>
      </c>
      <c r="C450" s="7" t="s">
        <v>2831</v>
      </c>
      <c r="D450" s="7" t="s">
        <v>2570</v>
      </c>
      <c r="E450" s="77" t="s">
        <v>2571</v>
      </c>
      <c r="F450" s="7" t="s">
        <v>2097</v>
      </c>
      <c r="G450" s="7" t="s">
        <v>2097</v>
      </c>
      <c r="H450" s="9" t="n">
        <v>48</v>
      </c>
      <c r="I450" s="9" t="n">
        <v>0</v>
      </c>
      <c r="J450" s="9" t="n">
        <v>0</v>
      </c>
      <c r="K450" s="52" t="n">
        <v>0</v>
      </c>
      <c r="L450" s="58" t="n">
        <v>26.1</v>
      </c>
      <c r="M450" s="59"/>
      <c r="N450" s="9" t="n">
        <v>0.791781</v>
      </c>
      <c r="O450" s="8" t="n">
        <v>0</v>
      </c>
      <c r="P450" s="9" t="n">
        <v>48</v>
      </c>
      <c r="Q450" s="7" t="s">
        <v>2098</v>
      </c>
      <c r="R450" s="7" t="s">
        <v>2572</v>
      </c>
      <c r="S450" s="58" t="n">
        <v>0</v>
      </c>
      <c r="T450" s="9" t="n">
        <v>12</v>
      </c>
      <c r="U450" s="56" t="n">
        <f aca="false">I450*O450</f>
        <v>0</v>
      </c>
      <c r="V450" s="56" t="n">
        <f aca="false">J450*O450</f>
        <v>0</v>
      </c>
      <c r="W450" s="56" t="n">
        <f aca="false">((I450+J450)/2)*O450</f>
        <v>0</v>
      </c>
      <c r="X450" s="56" t="n">
        <f aca="false">H450*O450</f>
        <v>0</v>
      </c>
    </row>
    <row r="451" customFormat="false" ht="22.35" hidden="false" customHeight="false" outlineLevel="0" collapsed="false">
      <c r="A451" s="76" t="s">
        <v>2063</v>
      </c>
      <c r="B451" s="49" t="s">
        <v>2832</v>
      </c>
      <c r="C451" s="49" t="s">
        <v>2831</v>
      </c>
      <c r="D451" s="49" t="s">
        <v>2570</v>
      </c>
      <c r="E451" s="77" t="s">
        <v>2571</v>
      </c>
      <c r="F451" s="49" t="s">
        <v>2097</v>
      </c>
      <c r="G451" s="49" t="s">
        <v>2097</v>
      </c>
      <c r="H451" s="51" t="n">
        <v>8</v>
      </c>
      <c r="I451" s="51" t="n">
        <v>0</v>
      </c>
      <c r="J451" s="51" t="n">
        <v>0</v>
      </c>
      <c r="K451" s="52" t="n">
        <v>0</v>
      </c>
      <c r="L451" s="53" t="n">
        <v>26.1</v>
      </c>
      <c r="M451" s="54"/>
      <c r="N451" s="51" t="n">
        <v>0.141096</v>
      </c>
      <c r="O451" s="55" t="n">
        <v>0</v>
      </c>
      <c r="P451" s="51" t="n">
        <v>8</v>
      </c>
      <c r="Q451" s="49" t="s">
        <v>2098</v>
      </c>
      <c r="R451" s="49" t="s">
        <v>2572</v>
      </c>
      <c r="S451" s="53" t="n">
        <v>0</v>
      </c>
      <c r="T451" s="51" t="n">
        <v>3</v>
      </c>
      <c r="U451" s="56" t="n">
        <f aca="false">I451*O451</f>
        <v>0</v>
      </c>
      <c r="V451" s="56" t="n">
        <f aca="false">J451*O451</f>
        <v>0</v>
      </c>
      <c r="W451" s="56" t="n">
        <f aca="false">((I451+J451)/2)*O451</f>
        <v>0</v>
      </c>
      <c r="X451" s="56" t="n">
        <f aca="false">H451*O451</f>
        <v>0</v>
      </c>
    </row>
    <row r="452" customFormat="false" ht="22.35" hidden="false" customHeight="false" outlineLevel="0" collapsed="false">
      <c r="A452" s="76" t="s">
        <v>2063</v>
      </c>
      <c r="B452" s="7" t="s">
        <v>2833</v>
      </c>
      <c r="C452" s="7" t="s">
        <v>2834</v>
      </c>
      <c r="D452" s="7" t="s">
        <v>2570</v>
      </c>
      <c r="E452" s="77" t="s">
        <v>2571</v>
      </c>
      <c r="F452" s="7" t="s">
        <v>2097</v>
      </c>
      <c r="G452" s="7" t="s">
        <v>2097</v>
      </c>
      <c r="H452" s="9" t="n">
        <v>36</v>
      </c>
      <c r="I452" s="9" t="n">
        <v>0</v>
      </c>
      <c r="J452" s="9" t="n">
        <v>0</v>
      </c>
      <c r="K452" s="52" t="n">
        <v>0</v>
      </c>
      <c r="L452" s="58" t="n">
        <v>26.1</v>
      </c>
      <c r="M452" s="59"/>
      <c r="N452" s="9" t="n">
        <v>0.587671</v>
      </c>
      <c r="O452" s="8" t="n">
        <v>0</v>
      </c>
      <c r="P452" s="9" t="n">
        <v>36</v>
      </c>
      <c r="Q452" s="7" t="s">
        <v>2098</v>
      </c>
      <c r="R452" s="7" t="s">
        <v>2572</v>
      </c>
      <c r="S452" s="58" t="n">
        <v>0</v>
      </c>
      <c r="T452" s="9" t="n">
        <v>12</v>
      </c>
      <c r="U452" s="56" t="n">
        <f aca="false">I452*O452</f>
        <v>0</v>
      </c>
      <c r="V452" s="56" t="n">
        <f aca="false">J452*O452</f>
        <v>0</v>
      </c>
      <c r="W452" s="56" t="n">
        <f aca="false">((I452+J452)/2)*O452</f>
        <v>0</v>
      </c>
      <c r="X452" s="56" t="n">
        <f aca="false">H452*O452</f>
        <v>0</v>
      </c>
    </row>
    <row r="453" customFormat="false" ht="22.35" hidden="false" customHeight="false" outlineLevel="0" collapsed="false">
      <c r="A453" s="76" t="s">
        <v>2063</v>
      </c>
      <c r="B453" s="49" t="s">
        <v>2835</v>
      </c>
      <c r="C453" s="49" t="s">
        <v>2834</v>
      </c>
      <c r="D453" s="49" t="s">
        <v>2570</v>
      </c>
      <c r="E453" s="77" t="s">
        <v>2571</v>
      </c>
      <c r="F453" s="49" t="s">
        <v>2097</v>
      </c>
      <c r="G453" s="49" t="s">
        <v>2097</v>
      </c>
      <c r="H453" s="51" t="n">
        <v>36</v>
      </c>
      <c r="I453" s="51" t="n">
        <v>0</v>
      </c>
      <c r="J453" s="51" t="n">
        <v>0</v>
      </c>
      <c r="K453" s="52" t="n">
        <v>0</v>
      </c>
      <c r="L453" s="53" t="n">
        <v>26.1</v>
      </c>
      <c r="M453" s="54"/>
      <c r="N453" s="51" t="n">
        <v>0.426027</v>
      </c>
      <c r="O453" s="55" t="n">
        <v>0</v>
      </c>
      <c r="P453" s="51" t="n">
        <v>36</v>
      </c>
      <c r="Q453" s="49" t="s">
        <v>2098</v>
      </c>
      <c r="R453" s="49" t="s">
        <v>2572</v>
      </c>
      <c r="S453" s="53" t="n">
        <v>0</v>
      </c>
      <c r="T453" s="51" t="n">
        <v>12</v>
      </c>
      <c r="U453" s="56" t="n">
        <f aca="false">I453*O453</f>
        <v>0</v>
      </c>
      <c r="V453" s="56" t="n">
        <f aca="false">J453*O453</f>
        <v>0</v>
      </c>
      <c r="W453" s="56" t="n">
        <f aca="false">((I453+J453)/2)*O453</f>
        <v>0</v>
      </c>
      <c r="X453" s="56" t="n">
        <f aca="false">H453*O453</f>
        <v>0</v>
      </c>
    </row>
    <row r="454" customFormat="false" ht="22.35" hidden="false" customHeight="false" outlineLevel="0" collapsed="false">
      <c r="A454" s="76" t="s">
        <v>2063</v>
      </c>
      <c r="B454" s="7" t="s">
        <v>2836</v>
      </c>
      <c r="C454" s="7" t="s">
        <v>2837</v>
      </c>
      <c r="D454" s="7" t="s">
        <v>2570</v>
      </c>
      <c r="E454" s="77" t="s">
        <v>2571</v>
      </c>
      <c r="F454" s="7" t="s">
        <v>2097</v>
      </c>
      <c r="G454" s="7" t="s">
        <v>2097</v>
      </c>
      <c r="H454" s="9" t="n">
        <v>54</v>
      </c>
      <c r="I454" s="9" t="n">
        <v>0</v>
      </c>
      <c r="J454" s="9" t="n">
        <v>0</v>
      </c>
      <c r="K454" s="52" t="n">
        <v>0</v>
      </c>
      <c r="L454" s="58" t="n">
        <v>26.1</v>
      </c>
      <c r="M454" s="59"/>
      <c r="N454" s="9" t="n">
        <v>1.030137</v>
      </c>
      <c r="O454" s="8" t="n">
        <v>0</v>
      </c>
      <c r="P454" s="9" t="n">
        <v>54</v>
      </c>
      <c r="Q454" s="7" t="s">
        <v>2098</v>
      </c>
      <c r="R454" s="7" t="s">
        <v>2572</v>
      </c>
      <c r="S454" s="58" t="n">
        <v>0</v>
      </c>
      <c r="T454" s="9" t="n">
        <v>12</v>
      </c>
      <c r="U454" s="56" t="n">
        <f aca="false">I454*O454</f>
        <v>0</v>
      </c>
      <c r="V454" s="56" t="n">
        <f aca="false">J454*O454</f>
        <v>0</v>
      </c>
      <c r="W454" s="56" t="n">
        <f aca="false">((I454+J454)/2)*O454</f>
        <v>0</v>
      </c>
      <c r="X454" s="56" t="n">
        <f aca="false">H454*O454</f>
        <v>0</v>
      </c>
    </row>
    <row r="455" customFormat="false" ht="22.35" hidden="false" customHeight="false" outlineLevel="0" collapsed="false">
      <c r="A455" s="76" t="s">
        <v>2063</v>
      </c>
      <c r="B455" s="49" t="s">
        <v>2838</v>
      </c>
      <c r="C455" s="49" t="s">
        <v>2837</v>
      </c>
      <c r="D455" s="49" t="s">
        <v>2570</v>
      </c>
      <c r="E455" s="77" t="s">
        <v>2571</v>
      </c>
      <c r="F455" s="49" t="s">
        <v>2097</v>
      </c>
      <c r="G455" s="49" t="s">
        <v>2097</v>
      </c>
      <c r="H455" s="51" t="n">
        <v>12</v>
      </c>
      <c r="I455" s="51" t="n">
        <v>0</v>
      </c>
      <c r="J455" s="51" t="n">
        <v>0</v>
      </c>
      <c r="K455" s="52" t="n">
        <v>0</v>
      </c>
      <c r="L455" s="53" t="n">
        <v>26.1</v>
      </c>
      <c r="M455" s="54"/>
      <c r="N455" s="51" t="n">
        <v>0.171233</v>
      </c>
      <c r="O455" s="55" t="n">
        <v>0</v>
      </c>
      <c r="P455" s="51" t="n">
        <v>12</v>
      </c>
      <c r="Q455" s="49" t="s">
        <v>2098</v>
      </c>
      <c r="R455" s="49" t="s">
        <v>2572</v>
      </c>
      <c r="S455" s="53" t="n">
        <v>0</v>
      </c>
      <c r="T455" s="51" t="n">
        <v>4</v>
      </c>
      <c r="U455" s="56" t="n">
        <f aca="false">I455*O455</f>
        <v>0</v>
      </c>
      <c r="V455" s="56" t="n">
        <f aca="false">J455*O455</f>
        <v>0</v>
      </c>
      <c r="W455" s="56" t="n">
        <f aca="false">((I455+J455)/2)*O455</f>
        <v>0</v>
      </c>
      <c r="X455" s="56" t="n">
        <f aca="false">H455*O455</f>
        <v>0</v>
      </c>
    </row>
    <row r="456" customFormat="false" ht="22.35" hidden="false" customHeight="false" outlineLevel="0" collapsed="false">
      <c r="A456" s="76" t="s">
        <v>2063</v>
      </c>
      <c r="B456" s="7" t="s">
        <v>2839</v>
      </c>
      <c r="C456" s="7" t="s">
        <v>2840</v>
      </c>
      <c r="D456" s="7" t="s">
        <v>2570</v>
      </c>
      <c r="E456" s="77" t="s">
        <v>2571</v>
      </c>
      <c r="F456" s="7" t="s">
        <v>2097</v>
      </c>
      <c r="G456" s="7" t="s">
        <v>2097</v>
      </c>
      <c r="H456" s="9" t="n">
        <v>8</v>
      </c>
      <c r="I456" s="9" t="n">
        <v>0</v>
      </c>
      <c r="J456" s="9" t="n">
        <v>0</v>
      </c>
      <c r="K456" s="52" t="n">
        <v>0</v>
      </c>
      <c r="L456" s="58" t="n">
        <v>26.1</v>
      </c>
      <c r="M456" s="59"/>
      <c r="N456" s="9" t="n">
        <v>0.076712</v>
      </c>
      <c r="O456" s="8" t="n">
        <v>0</v>
      </c>
      <c r="P456" s="9" t="n">
        <v>8</v>
      </c>
      <c r="Q456" s="7" t="s">
        <v>2098</v>
      </c>
      <c r="R456" s="7" t="s">
        <v>2572</v>
      </c>
      <c r="S456" s="58" t="n">
        <v>0</v>
      </c>
      <c r="T456" s="9" t="n">
        <v>4</v>
      </c>
      <c r="U456" s="56" t="n">
        <f aca="false">I456*O456</f>
        <v>0</v>
      </c>
      <c r="V456" s="56" t="n">
        <f aca="false">J456*O456</f>
        <v>0</v>
      </c>
      <c r="W456" s="56" t="n">
        <f aca="false">((I456+J456)/2)*O456</f>
        <v>0</v>
      </c>
      <c r="X456" s="56" t="n">
        <f aca="false">H456*O456</f>
        <v>0</v>
      </c>
    </row>
    <row r="457" customFormat="false" ht="22.35" hidden="false" customHeight="false" outlineLevel="0" collapsed="false">
      <c r="A457" s="76" t="s">
        <v>2063</v>
      </c>
      <c r="B457" s="49" t="s">
        <v>2841</v>
      </c>
      <c r="C457" s="49" t="s">
        <v>2840</v>
      </c>
      <c r="D457" s="49" t="s">
        <v>2570</v>
      </c>
      <c r="E457" s="77" t="s">
        <v>2571</v>
      </c>
      <c r="F457" s="49" t="s">
        <v>2097</v>
      </c>
      <c r="G457" s="49" t="s">
        <v>2097</v>
      </c>
      <c r="H457" s="51" t="n">
        <v>12</v>
      </c>
      <c r="I457" s="51" t="n">
        <v>0</v>
      </c>
      <c r="J457" s="51" t="n">
        <v>0</v>
      </c>
      <c r="K457" s="52" t="n">
        <v>0</v>
      </c>
      <c r="L457" s="53" t="n">
        <v>89</v>
      </c>
      <c r="M457" s="54" t="n">
        <v>100</v>
      </c>
      <c r="N457" s="51" t="n">
        <v>0.141096</v>
      </c>
      <c r="O457" s="55" t="n">
        <v>0</v>
      </c>
      <c r="P457" s="51" t="n">
        <v>12</v>
      </c>
      <c r="Q457" s="49" t="s">
        <v>2098</v>
      </c>
      <c r="R457" s="49" t="s">
        <v>2572</v>
      </c>
      <c r="S457" s="53" t="n">
        <v>0</v>
      </c>
      <c r="T457" s="51" t="n">
        <v>3</v>
      </c>
      <c r="U457" s="56" t="n">
        <f aca="false">I457*O457</f>
        <v>0</v>
      </c>
      <c r="V457" s="56" t="n">
        <f aca="false">J457*O457</f>
        <v>0</v>
      </c>
      <c r="W457" s="56" t="n">
        <f aca="false">((I457+J457)/2)*O457</f>
        <v>0</v>
      </c>
      <c r="X457" s="56" t="n">
        <f aca="false">H457*O457</f>
        <v>0</v>
      </c>
    </row>
    <row r="458" customFormat="false" ht="22.35" hidden="false" customHeight="false" outlineLevel="0" collapsed="false">
      <c r="A458" s="76" t="s">
        <v>2063</v>
      </c>
      <c r="B458" s="7" t="s">
        <v>2842</v>
      </c>
      <c r="C458" s="7" t="s">
        <v>2843</v>
      </c>
      <c r="D458" s="7" t="s">
        <v>2570</v>
      </c>
      <c r="E458" s="77" t="s">
        <v>2571</v>
      </c>
      <c r="F458" s="7" t="s">
        <v>2097</v>
      </c>
      <c r="G458" s="7" t="s">
        <v>2097</v>
      </c>
      <c r="H458" s="9" t="n">
        <v>12</v>
      </c>
      <c r="I458" s="9" t="n">
        <v>0</v>
      </c>
      <c r="J458" s="9" t="n">
        <v>0</v>
      </c>
      <c r="K458" s="52" t="n">
        <v>0</v>
      </c>
      <c r="L458" s="58" t="n">
        <v>26.1</v>
      </c>
      <c r="M458" s="59"/>
      <c r="N458" s="9" t="n">
        <v>0.091781</v>
      </c>
      <c r="O458" s="8" t="n">
        <v>0</v>
      </c>
      <c r="P458" s="9" t="n">
        <v>12</v>
      </c>
      <c r="Q458" s="7" t="s">
        <v>2098</v>
      </c>
      <c r="R458" s="7" t="s">
        <v>2572</v>
      </c>
      <c r="S458" s="58" t="n">
        <v>0</v>
      </c>
      <c r="T458" s="9" t="n">
        <v>4</v>
      </c>
      <c r="U458" s="56" t="n">
        <f aca="false">I458*O458</f>
        <v>0</v>
      </c>
      <c r="V458" s="56" t="n">
        <f aca="false">J458*O458</f>
        <v>0</v>
      </c>
      <c r="W458" s="56" t="n">
        <f aca="false">((I458+J458)/2)*O458</f>
        <v>0</v>
      </c>
      <c r="X458" s="56" t="n">
        <f aca="false">H458*O458</f>
        <v>0</v>
      </c>
    </row>
    <row r="459" customFormat="false" ht="22.35" hidden="false" customHeight="false" outlineLevel="0" collapsed="false">
      <c r="A459" s="76" t="s">
        <v>2063</v>
      </c>
      <c r="B459" s="49" t="s">
        <v>2844</v>
      </c>
      <c r="C459" s="49" t="s">
        <v>2843</v>
      </c>
      <c r="D459" s="49" t="s">
        <v>2570</v>
      </c>
      <c r="E459" s="77" t="s">
        <v>2571</v>
      </c>
      <c r="F459" s="49" t="s">
        <v>2097</v>
      </c>
      <c r="G459" s="49" t="s">
        <v>2097</v>
      </c>
      <c r="H459" s="51" t="n">
        <v>32</v>
      </c>
      <c r="I459" s="51" t="n">
        <v>0</v>
      </c>
      <c r="J459" s="51" t="n">
        <v>0</v>
      </c>
      <c r="K459" s="52" t="n">
        <v>0</v>
      </c>
      <c r="L459" s="53" t="n">
        <v>26.1</v>
      </c>
      <c r="M459" s="54"/>
      <c r="N459" s="51" t="n">
        <v>0.372603</v>
      </c>
      <c r="O459" s="55" t="n">
        <v>0</v>
      </c>
      <c r="P459" s="51" t="n">
        <v>32</v>
      </c>
      <c r="Q459" s="49" t="s">
        <v>2098</v>
      </c>
      <c r="R459" s="49" t="s">
        <v>2572</v>
      </c>
      <c r="S459" s="53" t="n">
        <v>0</v>
      </c>
      <c r="T459" s="51" t="n">
        <v>3</v>
      </c>
      <c r="U459" s="56" t="n">
        <f aca="false">I459*O459</f>
        <v>0</v>
      </c>
      <c r="V459" s="56" t="n">
        <f aca="false">J459*O459</f>
        <v>0</v>
      </c>
      <c r="W459" s="56" t="n">
        <f aca="false">((I459+J459)/2)*O459</f>
        <v>0</v>
      </c>
      <c r="X459" s="56" t="n">
        <f aca="false">H459*O459</f>
        <v>0</v>
      </c>
    </row>
    <row r="460" customFormat="false" ht="22.35" hidden="false" customHeight="false" outlineLevel="0" collapsed="false">
      <c r="A460" s="76" t="s">
        <v>2063</v>
      </c>
      <c r="B460" s="7" t="s">
        <v>2845</v>
      </c>
      <c r="C460" s="7" t="s">
        <v>2846</v>
      </c>
      <c r="D460" s="7" t="s">
        <v>2570</v>
      </c>
      <c r="E460" s="77" t="s">
        <v>2571</v>
      </c>
      <c r="F460" s="7" t="s">
        <v>2097</v>
      </c>
      <c r="G460" s="7" t="s">
        <v>2097</v>
      </c>
      <c r="H460" s="9" t="n">
        <v>24</v>
      </c>
      <c r="I460" s="9" t="n">
        <v>0</v>
      </c>
      <c r="J460" s="9" t="n">
        <v>0</v>
      </c>
      <c r="K460" s="52" t="n">
        <v>0</v>
      </c>
      <c r="L460" s="58" t="n">
        <v>89</v>
      </c>
      <c r="M460" s="59" t="n">
        <v>100</v>
      </c>
      <c r="N460" s="9" t="n">
        <v>0.135616</v>
      </c>
      <c r="O460" s="8" t="n">
        <v>0</v>
      </c>
      <c r="P460" s="9" t="n">
        <v>24</v>
      </c>
      <c r="Q460" s="7" t="s">
        <v>2098</v>
      </c>
      <c r="R460" s="7" t="s">
        <v>2572</v>
      </c>
      <c r="S460" s="58" t="n">
        <v>0</v>
      </c>
      <c r="T460" s="9" t="n">
        <v>8</v>
      </c>
      <c r="U460" s="56" t="n">
        <f aca="false">I460*O460</f>
        <v>0</v>
      </c>
      <c r="V460" s="56" t="n">
        <f aca="false">J460*O460</f>
        <v>0</v>
      </c>
      <c r="W460" s="56" t="n">
        <f aca="false">((I460+J460)/2)*O460</f>
        <v>0</v>
      </c>
      <c r="X460" s="56" t="n">
        <f aca="false">H460*O460</f>
        <v>0</v>
      </c>
    </row>
    <row r="461" customFormat="false" ht="22.35" hidden="false" customHeight="false" outlineLevel="0" collapsed="false">
      <c r="A461" s="76" t="s">
        <v>2063</v>
      </c>
      <c r="B461" s="49" t="s">
        <v>2847</v>
      </c>
      <c r="C461" s="49" t="s">
        <v>2846</v>
      </c>
      <c r="D461" s="49" t="s">
        <v>2570</v>
      </c>
      <c r="E461" s="77" t="s">
        <v>2571</v>
      </c>
      <c r="F461" s="49" t="s">
        <v>2097</v>
      </c>
      <c r="G461" s="49" t="s">
        <v>2097</v>
      </c>
      <c r="H461" s="51" t="n">
        <v>64</v>
      </c>
      <c r="I461" s="51" t="n">
        <v>0</v>
      </c>
      <c r="J461" s="51" t="n">
        <v>0</v>
      </c>
      <c r="K461" s="52" t="n">
        <v>0</v>
      </c>
      <c r="L461" s="53" t="n">
        <v>89</v>
      </c>
      <c r="M461" s="54" t="n">
        <v>100</v>
      </c>
      <c r="N461" s="51" t="n">
        <v>0.456164</v>
      </c>
      <c r="O461" s="55" t="n">
        <v>0</v>
      </c>
      <c r="P461" s="51" t="n">
        <v>64</v>
      </c>
      <c r="Q461" s="49" t="s">
        <v>2098</v>
      </c>
      <c r="R461" s="49" t="s">
        <v>2572</v>
      </c>
      <c r="S461" s="53" t="n">
        <v>0</v>
      </c>
      <c r="T461" s="51" t="n">
        <v>6</v>
      </c>
      <c r="U461" s="56" t="n">
        <f aca="false">I461*O461</f>
        <v>0</v>
      </c>
      <c r="V461" s="56" t="n">
        <f aca="false">J461*O461</f>
        <v>0</v>
      </c>
      <c r="W461" s="56" t="n">
        <f aca="false">((I461+J461)/2)*O461</f>
        <v>0</v>
      </c>
      <c r="X461" s="56" t="n">
        <f aca="false">H461*O461</f>
        <v>0</v>
      </c>
    </row>
    <row r="462" customFormat="false" ht="22.35" hidden="false" customHeight="false" outlineLevel="0" collapsed="false">
      <c r="A462" s="76" t="s">
        <v>2063</v>
      </c>
      <c r="B462" s="7" t="s">
        <v>2848</v>
      </c>
      <c r="C462" s="7" t="s">
        <v>2849</v>
      </c>
      <c r="D462" s="7" t="s">
        <v>2570</v>
      </c>
      <c r="E462" s="77" t="s">
        <v>2571</v>
      </c>
      <c r="F462" s="7" t="s">
        <v>2097</v>
      </c>
      <c r="G462" s="7" t="s">
        <v>2097</v>
      </c>
      <c r="H462" s="9" t="n">
        <v>192</v>
      </c>
      <c r="I462" s="9" t="n">
        <v>0</v>
      </c>
      <c r="J462" s="9" t="n">
        <v>0</v>
      </c>
      <c r="K462" s="52" t="n">
        <v>0</v>
      </c>
      <c r="L462" s="58" t="n">
        <v>26.1</v>
      </c>
      <c r="M462" s="59"/>
      <c r="N462" s="9" t="n">
        <v>11.893151</v>
      </c>
      <c r="O462" s="8" t="n">
        <v>0</v>
      </c>
      <c r="P462" s="9" t="n">
        <v>192</v>
      </c>
      <c r="Q462" s="7" t="s">
        <v>2098</v>
      </c>
      <c r="R462" s="7" t="s">
        <v>2572</v>
      </c>
      <c r="S462" s="58" t="n">
        <v>0</v>
      </c>
      <c r="T462" s="9" t="n">
        <v>1</v>
      </c>
      <c r="U462" s="56" t="n">
        <f aca="false">I462*O462</f>
        <v>0</v>
      </c>
      <c r="V462" s="56" t="n">
        <f aca="false">J462*O462</f>
        <v>0</v>
      </c>
      <c r="W462" s="56" t="n">
        <f aca="false">((I462+J462)/2)*O462</f>
        <v>0</v>
      </c>
      <c r="X462" s="56" t="n">
        <f aca="false">H462*O462</f>
        <v>0</v>
      </c>
    </row>
    <row r="463" customFormat="false" ht="22.35" hidden="false" customHeight="false" outlineLevel="0" collapsed="false">
      <c r="A463" s="76" t="s">
        <v>2063</v>
      </c>
      <c r="B463" s="49" t="s">
        <v>2850</v>
      </c>
      <c r="C463" s="49" t="s">
        <v>2851</v>
      </c>
      <c r="D463" s="49" t="s">
        <v>2570</v>
      </c>
      <c r="E463" s="77" t="s">
        <v>2571</v>
      </c>
      <c r="F463" s="49" t="s">
        <v>2097</v>
      </c>
      <c r="G463" s="49" t="s">
        <v>2097</v>
      </c>
      <c r="H463" s="51" t="n">
        <v>36</v>
      </c>
      <c r="I463" s="51" t="n">
        <v>0</v>
      </c>
      <c r="J463" s="51" t="n">
        <v>0</v>
      </c>
      <c r="K463" s="52" t="n">
        <v>0</v>
      </c>
      <c r="L463" s="53" t="n">
        <v>26.1</v>
      </c>
      <c r="M463" s="54"/>
      <c r="N463" s="51" t="n">
        <v>1.564384</v>
      </c>
      <c r="O463" s="55" t="n">
        <v>0</v>
      </c>
      <c r="P463" s="51" t="n">
        <v>36</v>
      </c>
      <c r="Q463" s="49" t="s">
        <v>2098</v>
      </c>
      <c r="R463" s="49" t="s">
        <v>2572</v>
      </c>
      <c r="S463" s="53" t="n">
        <v>0</v>
      </c>
      <c r="T463" s="51" t="n">
        <v>1</v>
      </c>
      <c r="U463" s="56" t="n">
        <f aca="false">I463*O463</f>
        <v>0</v>
      </c>
      <c r="V463" s="56" t="n">
        <f aca="false">J463*O463</f>
        <v>0</v>
      </c>
      <c r="W463" s="56" t="n">
        <f aca="false">((I463+J463)/2)*O463</f>
        <v>0</v>
      </c>
      <c r="X463" s="56" t="n">
        <f aca="false">H463*O463</f>
        <v>0</v>
      </c>
    </row>
    <row r="464" customFormat="false" ht="22.35" hidden="false" customHeight="false" outlineLevel="0" collapsed="false">
      <c r="A464" s="76" t="s">
        <v>2063</v>
      </c>
      <c r="B464" s="7" t="s">
        <v>2852</v>
      </c>
      <c r="C464" s="7" t="s">
        <v>2853</v>
      </c>
      <c r="D464" s="7" t="s">
        <v>2570</v>
      </c>
      <c r="E464" s="77" t="s">
        <v>2571</v>
      </c>
      <c r="F464" s="7" t="s">
        <v>2097</v>
      </c>
      <c r="G464" s="7" t="s">
        <v>2097</v>
      </c>
      <c r="H464" s="9" t="n">
        <v>24</v>
      </c>
      <c r="I464" s="9" t="n">
        <v>0</v>
      </c>
      <c r="J464" s="9" t="n">
        <v>0</v>
      </c>
      <c r="K464" s="52" t="n">
        <v>0</v>
      </c>
      <c r="L464" s="58" t="n">
        <v>26.1</v>
      </c>
      <c r="M464" s="59"/>
      <c r="N464" s="9" t="n">
        <v>0.941096</v>
      </c>
      <c r="O464" s="8" t="n">
        <v>0</v>
      </c>
      <c r="P464" s="9" t="n">
        <v>24</v>
      </c>
      <c r="Q464" s="7" t="s">
        <v>2098</v>
      </c>
      <c r="R464" s="7" t="s">
        <v>2572</v>
      </c>
      <c r="S464" s="58" t="n">
        <v>0</v>
      </c>
      <c r="T464" s="9" t="n">
        <v>1</v>
      </c>
      <c r="U464" s="56" t="n">
        <f aca="false">I464*O464</f>
        <v>0</v>
      </c>
      <c r="V464" s="56" t="n">
        <f aca="false">J464*O464</f>
        <v>0</v>
      </c>
      <c r="W464" s="56" t="n">
        <f aca="false">((I464+J464)/2)*O464</f>
        <v>0</v>
      </c>
      <c r="X464" s="56" t="n">
        <f aca="false">H464*O464</f>
        <v>0</v>
      </c>
    </row>
    <row r="465" customFormat="false" ht="22.35" hidden="false" customHeight="false" outlineLevel="0" collapsed="false">
      <c r="A465" s="76" t="s">
        <v>2063</v>
      </c>
      <c r="B465" s="49" t="s">
        <v>2854</v>
      </c>
      <c r="C465" s="49" t="s">
        <v>2855</v>
      </c>
      <c r="D465" s="49" t="s">
        <v>2570</v>
      </c>
      <c r="E465" s="77" t="s">
        <v>2571</v>
      </c>
      <c r="F465" s="49" t="s">
        <v>2097</v>
      </c>
      <c r="G465" s="49" t="s">
        <v>2097</v>
      </c>
      <c r="H465" s="51" t="n">
        <v>164</v>
      </c>
      <c r="I465" s="51" t="n">
        <v>0</v>
      </c>
      <c r="J465" s="51" t="n">
        <v>0</v>
      </c>
      <c r="K465" s="52" t="n">
        <v>0</v>
      </c>
      <c r="L465" s="53" t="n">
        <v>26.1</v>
      </c>
      <c r="M465" s="54"/>
      <c r="N465" s="51" t="n">
        <v>9.075342</v>
      </c>
      <c r="O465" s="55" t="n">
        <v>0</v>
      </c>
      <c r="P465" s="51" t="n">
        <v>164</v>
      </c>
      <c r="Q465" s="49" t="s">
        <v>2098</v>
      </c>
      <c r="R465" s="49" t="s">
        <v>2572</v>
      </c>
      <c r="S465" s="53" t="n">
        <v>0</v>
      </c>
      <c r="T465" s="51" t="n">
        <v>1</v>
      </c>
      <c r="U465" s="56" t="n">
        <f aca="false">I465*O465</f>
        <v>0</v>
      </c>
      <c r="V465" s="56" t="n">
        <f aca="false">J465*O465</f>
        <v>0</v>
      </c>
      <c r="W465" s="56" t="n">
        <f aca="false">((I465+J465)/2)*O465</f>
        <v>0</v>
      </c>
      <c r="X465" s="56" t="n">
        <f aca="false">H465*O465</f>
        <v>0</v>
      </c>
    </row>
    <row r="466" customFormat="false" ht="22.35" hidden="false" customHeight="false" outlineLevel="0" collapsed="false">
      <c r="A466" s="76" t="s">
        <v>2063</v>
      </c>
      <c r="B466" s="7" t="s">
        <v>2856</v>
      </c>
      <c r="C466" s="7" t="s">
        <v>2857</v>
      </c>
      <c r="D466" s="7" t="s">
        <v>2570</v>
      </c>
      <c r="E466" s="77" t="s">
        <v>2571</v>
      </c>
      <c r="F466" s="7" t="s">
        <v>2097</v>
      </c>
      <c r="G466" s="7" t="s">
        <v>2097</v>
      </c>
      <c r="H466" s="9" t="n">
        <v>16</v>
      </c>
      <c r="I466" s="9" t="n">
        <v>0</v>
      </c>
      <c r="J466" s="9" t="n">
        <v>0</v>
      </c>
      <c r="K466" s="52" t="n">
        <v>0</v>
      </c>
      <c r="L466" s="58" t="n">
        <v>26.1</v>
      </c>
      <c r="M466" s="59"/>
      <c r="N466" s="9" t="n">
        <v>0.312329</v>
      </c>
      <c r="O466" s="8" t="n">
        <v>0</v>
      </c>
      <c r="P466" s="9" t="n">
        <v>16</v>
      </c>
      <c r="Q466" s="7" t="s">
        <v>2098</v>
      </c>
      <c r="R466" s="7" t="s">
        <v>2572</v>
      </c>
      <c r="S466" s="58" t="n">
        <v>0</v>
      </c>
      <c r="T466" s="9" t="n">
        <v>6</v>
      </c>
      <c r="U466" s="56" t="n">
        <f aca="false">I466*O466</f>
        <v>0</v>
      </c>
      <c r="V466" s="56" t="n">
        <f aca="false">J466*O466</f>
        <v>0</v>
      </c>
      <c r="W466" s="56" t="n">
        <f aca="false">((I466+J466)/2)*O466</f>
        <v>0</v>
      </c>
      <c r="X466" s="56" t="n">
        <f aca="false">H466*O466</f>
        <v>0</v>
      </c>
    </row>
    <row r="467" customFormat="false" ht="22.35" hidden="false" customHeight="false" outlineLevel="0" collapsed="false">
      <c r="A467" s="76" t="s">
        <v>2063</v>
      </c>
      <c r="B467" s="49" t="s">
        <v>2858</v>
      </c>
      <c r="C467" s="49" t="s">
        <v>2857</v>
      </c>
      <c r="D467" s="49" t="s">
        <v>2570</v>
      </c>
      <c r="E467" s="77" t="s">
        <v>2571</v>
      </c>
      <c r="F467" s="49" t="s">
        <v>2097</v>
      </c>
      <c r="G467" s="49" t="s">
        <v>2097</v>
      </c>
      <c r="H467" s="51" t="n">
        <v>4</v>
      </c>
      <c r="I467" s="51" t="n">
        <v>0</v>
      </c>
      <c r="J467" s="51" t="n">
        <v>0</v>
      </c>
      <c r="K467" s="52" t="n">
        <v>0</v>
      </c>
      <c r="L467" s="53" t="n">
        <v>26.1</v>
      </c>
      <c r="M467" s="54"/>
      <c r="N467" s="51" t="n">
        <v>0.052055</v>
      </c>
      <c r="O467" s="55" t="n">
        <v>0</v>
      </c>
      <c r="P467" s="51" t="n">
        <v>4</v>
      </c>
      <c r="Q467" s="49" t="s">
        <v>2098</v>
      </c>
      <c r="R467" s="49" t="s">
        <v>2572</v>
      </c>
      <c r="S467" s="53" t="n">
        <v>0</v>
      </c>
      <c r="T467" s="51" t="n">
        <v>3</v>
      </c>
      <c r="U467" s="56" t="n">
        <f aca="false">I467*O467</f>
        <v>0</v>
      </c>
      <c r="V467" s="56" t="n">
        <f aca="false">J467*O467</f>
        <v>0</v>
      </c>
      <c r="W467" s="56" t="n">
        <f aca="false">((I467+J467)/2)*O467</f>
        <v>0</v>
      </c>
      <c r="X467" s="56" t="n">
        <f aca="false">H467*O467</f>
        <v>0</v>
      </c>
    </row>
    <row r="468" customFormat="false" ht="22.35" hidden="false" customHeight="false" outlineLevel="0" collapsed="false">
      <c r="A468" s="76" t="s">
        <v>2063</v>
      </c>
      <c r="B468" s="7" t="s">
        <v>2859</v>
      </c>
      <c r="C468" s="7" t="s">
        <v>2860</v>
      </c>
      <c r="D468" s="7" t="s">
        <v>2570</v>
      </c>
      <c r="E468" s="77" t="s">
        <v>2571</v>
      </c>
      <c r="F468" s="7" t="s">
        <v>2097</v>
      </c>
      <c r="G468" s="7" t="s">
        <v>2097</v>
      </c>
      <c r="H468" s="9" t="n">
        <v>16</v>
      </c>
      <c r="I468" s="9" t="n">
        <v>0</v>
      </c>
      <c r="J468" s="9" t="n">
        <v>0</v>
      </c>
      <c r="K468" s="52" t="n">
        <v>0</v>
      </c>
      <c r="L468" s="58" t="n">
        <v>26.1</v>
      </c>
      <c r="M468" s="59"/>
      <c r="N468" s="9" t="n">
        <v>0.20411</v>
      </c>
      <c r="O468" s="8" t="n">
        <v>0</v>
      </c>
      <c r="P468" s="9" t="n">
        <v>16</v>
      </c>
      <c r="Q468" s="7" t="s">
        <v>2098</v>
      </c>
      <c r="R468" s="7" t="s">
        <v>2572</v>
      </c>
      <c r="S468" s="58" t="n">
        <v>0</v>
      </c>
      <c r="T468" s="9" t="n">
        <v>6</v>
      </c>
      <c r="U468" s="56" t="n">
        <f aca="false">I468*O468</f>
        <v>0</v>
      </c>
      <c r="V468" s="56" t="n">
        <f aca="false">J468*O468</f>
        <v>0</v>
      </c>
      <c r="W468" s="56" t="n">
        <f aca="false">((I468+J468)/2)*O468</f>
        <v>0</v>
      </c>
      <c r="X468" s="56" t="n">
        <f aca="false">H468*O468</f>
        <v>0</v>
      </c>
    </row>
    <row r="469" customFormat="false" ht="22.35" hidden="false" customHeight="false" outlineLevel="0" collapsed="false">
      <c r="A469" s="76" t="s">
        <v>2063</v>
      </c>
      <c r="B469" s="49" t="s">
        <v>2861</v>
      </c>
      <c r="C469" s="49" t="s">
        <v>2860</v>
      </c>
      <c r="D469" s="49" t="s">
        <v>2570</v>
      </c>
      <c r="E469" s="77" t="s">
        <v>2571</v>
      </c>
      <c r="F469" s="49" t="s">
        <v>2097</v>
      </c>
      <c r="G469" s="49" t="s">
        <v>2097</v>
      </c>
      <c r="H469" s="51" t="n">
        <v>12</v>
      </c>
      <c r="I469" s="51" t="n">
        <v>0</v>
      </c>
      <c r="J469" s="51" t="n">
        <v>0</v>
      </c>
      <c r="K469" s="52" t="n">
        <v>0</v>
      </c>
      <c r="L469" s="53" t="n">
        <v>26.1</v>
      </c>
      <c r="M469" s="54"/>
      <c r="N469" s="51" t="n">
        <v>0.082192</v>
      </c>
      <c r="O469" s="55" t="n">
        <v>0</v>
      </c>
      <c r="P469" s="51" t="n">
        <v>12</v>
      </c>
      <c r="Q469" s="49" t="s">
        <v>2098</v>
      </c>
      <c r="R469" s="49" t="s">
        <v>2572</v>
      </c>
      <c r="S469" s="53" t="n">
        <v>0</v>
      </c>
      <c r="T469" s="51" t="n">
        <v>4</v>
      </c>
      <c r="U469" s="56" t="n">
        <f aca="false">I469*O469</f>
        <v>0</v>
      </c>
      <c r="V469" s="56" t="n">
        <f aca="false">J469*O469</f>
        <v>0</v>
      </c>
      <c r="W469" s="56" t="n">
        <f aca="false">((I469+J469)/2)*O469</f>
        <v>0</v>
      </c>
      <c r="X469" s="56" t="n">
        <f aca="false">H469*O469</f>
        <v>0</v>
      </c>
    </row>
    <row r="470" customFormat="false" ht="22.35" hidden="false" customHeight="false" outlineLevel="0" collapsed="false">
      <c r="A470" s="76" t="s">
        <v>2063</v>
      </c>
      <c r="B470" s="7" t="s">
        <v>2862</v>
      </c>
      <c r="C470" s="7" t="s">
        <v>2863</v>
      </c>
      <c r="D470" s="7" t="s">
        <v>2570</v>
      </c>
      <c r="E470" s="77" t="s">
        <v>2571</v>
      </c>
      <c r="F470" s="7" t="s">
        <v>2097</v>
      </c>
      <c r="G470" s="7" t="s">
        <v>2097</v>
      </c>
      <c r="H470" s="9" t="n">
        <v>72</v>
      </c>
      <c r="I470" s="9" t="n">
        <v>0</v>
      </c>
      <c r="J470" s="9" t="n">
        <v>0</v>
      </c>
      <c r="K470" s="52" t="n">
        <v>0</v>
      </c>
      <c r="L470" s="58" t="n">
        <v>26.1</v>
      </c>
      <c r="M470" s="59"/>
      <c r="N470" s="9" t="n">
        <v>0.791781</v>
      </c>
      <c r="O470" s="8" t="n">
        <v>0</v>
      </c>
      <c r="P470" s="9" t="n">
        <v>72</v>
      </c>
      <c r="Q470" s="7" t="s">
        <v>2098</v>
      </c>
      <c r="R470" s="7" t="s">
        <v>2572</v>
      </c>
      <c r="S470" s="58" t="n">
        <v>0</v>
      </c>
      <c r="T470" s="9" t="n">
        <v>12</v>
      </c>
      <c r="U470" s="56" t="n">
        <f aca="false">I470*O470</f>
        <v>0</v>
      </c>
      <c r="V470" s="56" t="n">
        <f aca="false">J470*O470</f>
        <v>0</v>
      </c>
      <c r="W470" s="56" t="n">
        <f aca="false">((I470+J470)/2)*O470</f>
        <v>0</v>
      </c>
      <c r="X470" s="56" t="n">
        <f aca="false">H470*O470</f>
        <v>0</v>
      </c>
    </row>
    <row r="471" customFormat="false" ht="22.35" hidden="false" customHeight="false" outlineLevel="0" collapsed="false">
      <c r="A471" s="76" t="s">
        <v>2063</v>
      </c>
      <c r="B471" s="49" t="s">
        <v>2864</v>
      </c>
      <c r="C471" s="49" t="s">
        <v>2863</v>
      </c>
      <c r="D471" s="49" t="s">
        <v>2570</v>
      </c>
      <c r="E471" s="77" t="s">
        <v>2571</v>
      </c>
      <c r="F471" s="49" t="s">
        <v>2097</v>
      </c>
      <c r="G471" s="49" t="s">
        <v>2097</v>
      </c>
      <c r="H471" s="51" t="n">
        <v>36</v>
      </c>
      <c r="I471" s="51" t="n">
        <v>0</v>
      </c>
      <c r="J471" s="51" t="n">
        <v>0</v>
      </c>
      <c r="K471" s="52" t="n">
        <v>0</v>
      </c>
      <c r="L471" s="53" t="n">
        <v>26.1</v>
      </c>
      <c r="M471" s="54"/>
      <c r="N471" s="51" t="n">
        <v>0.567123</v>
      </c>
      <c r="O471" s="55" t="n">
        <v>0</v>
      </c>
      <c r="P471" s="51" t="n">
        <v>36</v>
      </c>
      <c r="Q471" s="49" t="s">
        <v>2098</v>
      </c>
      <c r="R471" s="49" t="s">
        <v>2572</v>
      </c>
      <c r="S471" s="53" t="n">
        <v>0</v>
      </c>
      <c r="T471" s="51" t="n">
        <v>4</v>
      </c>
      <c r="U471" s="56" t="n">
        <f aca="false">I471*O471</f>
        <v>0</v>
      </c>
      <c r="V471" s="56" t="n">
        <f aca="false">J471*O471</f>
        <v>0</v>
      </c>
      <c r="W471" s="56" t="n">
        <f aca="false">((I471+J471)/2)*O471</f>
        <v>0</v>
      </c>
      <c r="X471" s="56" t="n">
        <f aca="false">H471*O471</f>
        <v>0</v>
      </c>
    </row>
    <row r="472" customFormat="false" ht="22.35" hidden="false" customHeight="false" outlineLevel="0" collapsed="false">
      <c r="A472" s="76" t="s">
        <v>2063</v>
      </c>
      <c r="B472" s="7" t="s">
        <v>2865</v>
      </c>
      <c r="C472" s="7" t="s">
        <v>2866</v>
      </c>
      <c r="D472" s="7" t="s">
        <v>2570</v>
      </c>
      <c r="E472" s="77" t="s">
        <v>2571</v>
      </c>
      <c r="F472" s="7" t="s">
        <v>2097</v>
      </c>
      <c r="G472" s="7" t="s">
        <v>2097</v>
      </c>
      <c r="H472" s="9" t="n">
        <v>36</v>
      </c>
      <c r="I472" s="9" t="n">
        <v>0</v>
      </c>
      <c r="J472" s="9" t="n">
        <v>0</v>
      </c>
      <c r="K472" s="52" t="n">
        <v>0</v>
      </c>
      <c r="L472" s="58" t="n">
        <v>26.1</v>
      </c>
      <c r="M472" s="59"/>
      <c r="N472" s="9" t="n">
        <v>0.457534</v>
      </c>
      <c r="O472" s="8" t="n">
        <v>0</v>
      </c>
      <c r="P472" s="9" t="n">
        <v>36</v>
      </c>
      <c r="Q472" s="7" t="s">
        <v>2098</v>
      </c>
      <c r="R472" s="7" t="s">
        <v>2572</v>
      </c>
      <c r="S472" s="58" t="n">
        <v>0</v>
      </c>
      <c r="T472" s="9" t="n">
        <v>12</v>
      </c>
      <c r="U472" s="56" t="n">
        <f aca="false">I472*O472</f>
        <v>0</v>
      </c>
      <c r="V472" s="56" t="n">
        <f aca="false">J472*O472</f>
        <v>0</v>
      </c>
      <c r="W472" s="56" t="n">
        <f aca="false">((I472+J472)/2)*O472</f>
        <v>0</v>
      </c>
      <c r="X472" s="56" t="n">
        <f aca="false">H472*O472</f>
        <v>0</v>
      </c>
    </row>
    <row r="473" customFormat="false" ht="22.35" hidden="false" customHeight="false" outlineLevel="0" collapsed="false">
      <c r="A473" s="76" t="s">
        <v>2063</v>
      </c>
      <c r="B473" s="49" t="s">
        <v>2867</v>
      </c>
      <c r="C473" s="49" t="s">
        <v>2866</v>
      </c>
      <c r="D473" s="49" t="s">
        <v>2570</v>
      </c>
      <c r="E473" s="77" t="s">
        <v>2571</v>
      </c>
      <c r="F473" s="49" t="s">
        <v>2097</v>
      </c>
      <c r="G473" s="49" t="s">
        <v>2097</v>
      </c>
      <c r="H473" s="51" t="n">
        <v>32</v>
      </c>
      <c r="I473" s="51" t="n">
        <v>0</v>
      </c>
      <c r="J473" s="51" t="n">
        <v>0</v>
      </c>
      <c r="K473" s="52" t="n">
        <v>0</v>
      </c>
      <c r="L473" s="53" t="n">
        <v>26.1</v>
      </c>
      <c r="M473" s="54"/>
      <c r="N473" s="51" t="n">
        <v>0.486301</v>
      </c>
      <c r="O473" s="55" t="n">
        <v>0</v>
      </c>
      <c r="P473" s="51" t="n">
        <v>32</v>
      </c>
      <c r="Q473" s="49" t="s">
        <v>2098</v>
      </c>
      <c r="R473" s="49" t="s">
        <v>2572</v>
      </c>
      <c r="S473" s="53" t="n">
        <v>0</v>
      </c>
      <c r="T473" s="51" t="n">
        <v>8</v>
      </c>
      <c r="U473" s="56" t="n">
        <f aca="false">I473*O473</f>
        <v>0</v>
      </c>
      <c r="V473" s="56" t="n">
        <f aca="false">J473*O473</f>
        <v>0</v>
      </c>
      <c r="W473" s="56" t="n">
        <f aca="false">((I473+J473)/2)*O473</f>
        <v>0</v>
      </c>
      <c r="X473" s="56" t="n">
        <f aca="false">H473*O473</f>
        <v>0</v>
      </c>
    </row>
    <row r="474" customFormat="false" ht="22.35" hidden="false" customHeight="false" outlineLevel="0" collapsed="false">
      <c r="A474" s="76" t="s">
        <v>2063</v>
      </c>
      <c r="B474" s="7" t="s">
        <v>2868</v>
      </c>
      <c r="C474" s="7" t="s">
        <v>2869</v>
      </c>
      <c r="D474" s="7" t="s">
        <v>2570</v>
      </c>
      <c r="E474" s="77" t="s">
        <v>2571</v>
      </c>
      <c r="F474" s="7" t="s">
        <v>2097</v>
      </c>
      <c r="G474" s="7" t="s">
        <v>2097</v>
      </c>
      <c r="H474" s="9" t="n">
        <v>10</v>
      </c>
      <c r="I474" s="9" t="n">
        <v>0</v>
      </c>
      <c r="J474" s="9" t="n">
        <v>0</v>
      </c>
      <c r="K474" s="52" t="n">
        <v>0</v>
      </c>
      <c r="L474" s="58" t="n">
        <v>26.1</v>
      </c>
      <c r="M474" s="59"/>
      <c r="N474" s="9" t="n">
        <v>0.09863</v>
      </c>
      <c r="O474" s="8" t="n">
        <v>0</v>
      </c>
      <c r="P474" s="9" t="n">
        <v>10</v>
      </c>
      <c r="Q474" s="7" t="s">
        <v>2098</v>
      </c>
      <c r="R474" s="7" t="s">
        <v>2572</v>
      </c>
      <c r="S474" s="58" t="n">
        <v>0</v>
      </c>
      <c r="T474" s="9" t="n">
        <v>3</v>
      </c>
      <c r="U474" s="56" t="n">
        <f aca="false">I474*O474</f>
        <v>0</v>
      </c>
      <c r="V474" s="56" t="n">
        <f aca="false">J474*O474</f>
        <v>0</v>
      </c>
      <c r="W474" s="56" t="n">
        <f aca="false">((I474+J474)/2)*O474</f>
        <v>0</v>
      </c>
      <c r="X474" s="56" t="n">
        <f aca="false">H474*O474</f>
        <v>0</v>
      </c>
    </row>
    <row r="475" customFormat="false" ht="22.35" hidden="false" customHeight="false" outlineLevel="0" collapsed="false">
      <c r="A475" s="76" t="s">
        <v>2063</v>
      </c>
      <c r="B475" s="49" t="s">
        <v>2870</v>
      </c>
      <c r="C475" s="49" t="s">
        <v>2869</v>
      </c>
      <c r="D475" s="49" t="s">
        <v>2570</v>
      </c>
      <c r="E475" s="77" t="s">
        <v>2571</v>
      </c>
      <c r="F475" s="49" t="s">
        <v>2097</v>
      </c>
      <c r="G475" s="49" t="s">
        <v>2097</v>
      </c>
      <c r="H475" s="51" t="n">
        <v>20</v>
      </c>
      <c r="I475" s="51" t="n">
        <v>0</v>
      </c>
      <c r="J475" s="51" t="n">
        <v>0</v>
      </c>
      <c r="K475" s="52" t="n">
        <v>0</v>
      </c>
      <c r="L475" s="53" t="n">
        <v>26.1</v>
      </c>
      <c r="M475" s="54"/>
      <c r="N475" s="51" t="n">
        <v>0.313699</v>
      </c>
      <c r="O475" s="55" t="n">
        <v>0</v>
      </c>
      <c r="P475" s="51" t="n">
        <v>20</v>
      </c>
      <c r="Q475" s="49" t="s">
        <v>2098</v>
      </c>
      <c r="R475" s="49" t="s">
        <v>2572</v>
      </c>
      <c r="S475" s="53" t="n">
        <v>0</v>
      </c>
      <c r="T475" s="51" t="n">
        <v>8</v>
      </c>
      <c r="U475" s="56" t="n">
        <f aca="false">I475*O475</f>
        <v>0</v>
      </c>
      <c r="V475" s="56" t="n">
        <f aca="false">J475*O475</f>
        <v>0</v>
      </c>
      <c r="W475" s="56" t="n">
        <f aca="false">((I475+J475)/2)*O475</f>
        <v>0</v>
      </c>
      <c r="X475" s="56" t="n">
        <f aca="false">H475*O475</f>
        <v>0</v>
      </c>
    </row>
    <row r="476" customFormat="false" ht="22.35" hidden="false" customHeight="false" outlineLevel="0" collapsed="false">
      <c r="A476" s="76" t="s">
        <v>2063</v>
      </c>
      <c r="B476" s="7" t="s">
        <v>2871</v>
      </c>
      <c r="C476" s="7" t="s">
        <v>2872</v>
      </c>
      <c r="D476" s="7" t="s">
        <v>2570</v>
      </c>
      <c r="E476" s="77" t="s">
        <v>2571</v>
      </c>
      <c r="F476" s="7" t="s">
        <v>2097</v>
      </c>
      <c r="G476" s="7" t="s">
        <v>2097</v>
      </c>
      <c r="H476" s="9" t="n">
        <v>488</v>
      </c>
      <c r="I476" s="9" t="n">
        <v>0</v>
      </c>
      <c r="J476" s="9" t="n">
        <v>0</v>
      </c>
      <c r="K476" s="52" t="n">
        <v>0</v>
      </c>
      <c r="L476" s="58" t="n">
        <v>26.1</v>
      </c>
      <c r="M476" s="59"/>
      <c r="N476" s="9" t="n">
        <v>3.306849</v>
      </c>
      <c r="O476" s="8" t="n">
        <v>0</v>
      </c>
      <c r="P476" s="9" t="n">
        <v>488</v>
      </c>
      <c r="Q476" s="7" t="s">
        <v>2098</v>
      </c>
      <c r="R476" s="7" t="s">
        <v>2572</v>
      </c>
      <c r="S476" s="58" t="n">
        <v>0</v>
      </c>
      <c r="T476" s="9" t="n">
        <v>1</v>
      </c>
      <c r="U476" s="56" t="n">
        <f aca="false">I476*O476</f>
        <v>0</v>
      </c>
      <c r="V476" s="56" t="n">
        <f aca="false">J476*O476</f>
        <v>0</v>
      </c>
      <c r="W476" s="56" t="n">
        <f aca="false">((I476+J476)/2)*O476</f>
        <v>0</v>
      </c>
      <c r="X476" s="56" t="n">
        <f aca="false">H476*O476</f>
        <v>0</v>
      </c>
    </row>
    <row r="477" customFormat="false" ht="22.35" hidden="false" customHeight="false" outlineLevel="0" collapsed="false">
      <c r="A477" s="76" t="s">
        <v>2063</v>
      </c>
      <c r="B477" s="49" t="s">
        <v>2873</v>
      </c>
      <c r="C477" s="49" t="s">
        <v>2872</v>
      </c>
      <c r="D477" s="49" t="s">
        <v>2570</v>
      </c>
      <c r="E477" s="77" t="s">
        <v>2571</v>
      </c>
      <c r="F477" s="49" t="s">
        <v>2097</v>
      </c>
      <c r="G477" s="49" t="s">
        <v>2097</v>
      </c>
      <c r="H477" s="51" t="n">
        <v>172</v>
      </c>
      <c r="I477" s="51" t="n">
        <v>0</v>
      </c>
      <c r="J477" s="51" t="n">
        <v>0</v>
      </c>
      <c r="K477" s="52" t="n">
        <v>0</v>
      </c>
      <c r="L477" s="53" t="n">
        <v>26.1</v>
      </c>
      <c r="M477" s="54"/>
      <c r="N477" s="51" t="n">
        <v>1.490411</v>
      </c>
      <c r="O477" s="55" t="n">
        <v>0</v>
      </c>
      <c r="P477" s="51" t="n">
        <v>172</v>
      </c>
      <c r="Q477" s="49" t="s">
        <v>2098</v>
      </c>
      <c r="R477" s="49" t="s">
        <v>2572</v>
      </c>
      <c r="S477" s="53" t="n">
        <v>0</v>
      </c>
      <c r="T477" s="51" t="n">
        <v>1</v>
      </c>
      <c r="U477" s="56" t="n">
        <f aca="false">I477*O477</f>
        <v>0</v>
      </c>
      <c r="V477" s="56" t="n">
        <f aca="false">J477*O477</f>
        <v>0</v>
      </c>
      <c r="W477" s="56" t="n">
        <f aca="false">((I477+J477)/2)*O477</f>
        <v>0</v>
      </c>
      <c r="X477" s="56" t="n">
        <f aca="false">H477*O477</f>
        <v>0</v>
      </c>
    </row>
    <row r="478" customFormat="false" ht="22.35" hidden="false" customHeight="false" outlineLevel="0" collapsed="false">
      <c r="A478" s="76" t="s">
        <v>2063</v>
      </c>
      <c r="B478" s="7" t="s">
        <v>2874</v>
      </c>
      <c r="C478" s="7" t="s">
        <v>2875</v>
      </c>
      <c r="D478" s="7" t="s">
        <v>2570</v>
      </c>
      <c r="E478" s="77" t="s">
        <v>2571</v>
      </c>
      <c r="F478" s="7" t="s">
        <v>2097</v>
      </c>
      <c r="G478" s="7" t="s">
        <v>2097</v>
      </c>
      <c r="H478" s="9" t="n">
        <v>96</v>
      </c>
      <c r="I478" s="9" t="n">
        <v>0</v>
      </c>
      <c r="J478" s="9" t="n">
        <v>0</v>
      </c>
      <c r="K478" s="52" t="n">
        <v>0</v>
      </c>
      <c r="L478" s="58" t="n">
        <v>89</v>
      </c>
      <c r="M478" s="59" t="n">
        <v>100</v>
      </c>
      <c r="N478" s="9" t="n">
        <v>3.112329</v>
      </c>
      <c r="O478" s="8" t="n">
        <v>0</v>
      </c>
      <c r="P478" s="9" t="n">
        <v>96</v>
      </c>
      <c r="Q478" s="7" t="s">
        <v>2098</v>
      </c>
      <c r="R478" s="7" t="s">
        <v>2572</v>
      </c>
      <c r="S478" s="58" t="n">
        <v>0</v>
      </c>
      <c r="T478" s="9" t="n">
        <v>1</v>
      </c>
      <c r="U478" s="56" t="n">
        <f aca="false">I478*O478</f>
        <v>0</v>
      </c>
      <c r="V478" s="56" t="n">
        <f aca="false">J478*O478</f>
        <v>0</v>
      </c>
      <c r="W478" s="56" t="n">
        <f aca="false">((I478+J478)/2)*O478</f>
        <v>0</v>
      </c>
      <c r="X478" s="56" t="n">
        <f aca="false">H478*O478</f>
        <v>0</v>
      </c>
    </row>
    <row r="479" customFormat="false" ht="22.35" hidden="false" customHeight="false" outlineLevel="0" collapsed="false">
      <c r="A479" s="76" t="s">
        <v>2063</v>
      </c>
      <c r="B479" s="49" t="s">
        <v>2876</v>
      </c>
      <c r="C479" s="49" t="s">
        <v>2877</v>
      </c>
      <c r="D479" s="49" t="s">
        <v>2570</v>
      </c>
      <c r="E479" s="77" t="s">
        <v>2571</v>
      </c>
      <c r="F479" s="49" t="s">
        <v>2097</v>
      </c>
      <c r="G479" s="49" t="s">
        <v>2097</v>
      </c>
      <c r="H479" s="51" t="n">
        <v>48</v>
      </c>
      <c r="I479" s="51" t="n">
        <v>0</v>
      </c>
      <c r="J479" s="51" t="n">
        <v>0</v>
      </c>
      <c r="K479" s="52" t="n">
        <v>0</v>
      </c>
      <c r="L479" s="53" t="n">
        <v>26.1</v>
      </c>
      <c r="M479" s="54"/>
      <c r="N479" s="51" t="n">
        <v>1.336986</v>
      </c>
      <c r="O479" s="55" t="n">
        <v>0</v>
      </c>
      <c r="P479" s="51" t="n">
        <v>48</v>
      </c>
      <c r="Q479" s="49" t="s">
        <v>2098</v>
      </c>
      <c r="R479" s="49" t="s">
        <v>2572</v>
      </c>
      <c r="S479" s="53" t="n">
        <v>0</v>
      </c>
      <c r="T479" s="51" t="n">
        <v>1</v>
      </c>
      <c r="U479" s="56" t="n">
        <f aca="false">I479*O479</f>
        <v>0</v>
      </c>
      <c r="V479" s="56" t="n">
        <f aca="false">J479*O479</f>
        <v>0</v>
      </c>
      <c r="W479" s="56" t="n">
        <f aca="false">((I479+J479)/2)*O479</f>
        <v>0</v>
      </c>
      <c r="X479" s="56" t="n">
        <f aca="false">H479*O479</f>
        <v>0</v>
      </c>
    </row>
    <row r="480" customFormat="false" ht="22.35" hidden="false" customHeight="false" outlineLevel="0" collapsed="false">
      <c r="A480" s="76" t="s">
        <v>2063</v>
      </c>
      <c r="B480" s="7" t="s">
        <v>2878</v>
      </c>
      <c r="C480" s="7" t="s">
        <v>2879</v>
      </c>
      <c r="D480" s="7" t="s">
        <v>2570</v>
      </c>
      <c r="E480" s="77" t="s">
        <v>2571</v>
      </c>
      <c r="F480" s="7" t="s">
        <v>2097</v>
      </c>
      <c r="G480" s="7" t="s">
        <v>2097</v>
      </c>
      <c r="H480" s="9" t="n">
        <v>36</v>
      </c>
      <c r="I480" s="9" t="n">
        <v>0</v>
      </c>
      <c r="J480" s="9" t="n">
        <v>0</v>
      </c>
      <c r="K480" s="52" t="n">
        <v>0</v>
      </c>
      <c r="L480" s="58" t="n">
        <v>26.1</v>
      </c>
      <c r="M480" s="59"/>
      <c r="N480" s="9" t="n">
        <v>1.675342</v>
      </c>
      <c r="O480" s="8" t="n">
        <v>0</v>
      </c>
      <c r="P480" s="9" t="n">
        <v>36</v>
      </c>
      <c r="Q480" s="7" t="s">
        <v>2098</v>
      </c>
      <c r="R480" s="7" t="s">
        <v>2572</v>
      </c>
      <c r="S480" s="58" t="n">
        <v>0</v>
      </c>
      <c r="T480" s="9" t="n">
        <v>1</v>
      </c>
      <c r="U480" s="56" t="n">
        <f aca="false">I480*O480</f>
        <v>0</v>
      </c>
      <c r="V480" s="56" t="n">
        <f aca="false">J480*O480</f>
        <v>0</v>
      </c>
      <c r="W480" s="56" t="n">
        <f aca="false">((I480+J480)/2)*O480</f>
        <v>0</v>
      </c>
      <c r="X480" s="56" t="n">
        <f aca="false">H480*O480</f>
        <v>0</v>
      </c>
    </row>
    <row r="481" customFormat="false" ht="22.35" hidden="false" customHeight="false" outlineLevel="0" collapsed="false">
      <c r="A481" s="76" t="s">
        <v>2063</v>
      </c>
      <c r="B481" s="49" t="s">
        <v>2880</v>
      </c>
      <c r="C481" s="49" t="s">
        <v>2881</v>
      </c>
      <c r="D481" s="49" t="s">
        <v>2570</v>
      </c>
      <c r="E481" s="77" t="s">
        <v>2571</v>
      </c>
      <c r="F481" s="49" t="s">
        <v>2097</v>
      </c>
      <c r="G481" s="49" t="s">
        <v>2097</v>
      </c>
      <c r="H481" s="51" t="n">
        <v>48</v>
      </c>
      <c r="I481" s="51" t="n">
        <v>0</v>
      </c>
      <c r="J481" s="51" t="n">
        <v>0</v>
      </c>
      <c r="K481" s="52" t="n">
        <v>0</v>
      </c>
      <c r="L481" s="53" t="n">
        <v>26.1</v>
      </c>
      <c r="M481" s="54"/>
      <c r="N481" s="51" t="n">
        <v>0.572603</v>
      </c>
      <c r="O481" s="55" t="n">
        <v>0</v>
      </c>
      <c r="P481" s="51" t="n">
        <v>48</v>
      </c>
      <c r="Q481" s="49" t="s">
        <v>2098</v>
      </c>
      <c r="R481" s="49" t="s">
        <v>2572</v>
      </c>
      <c r="S481" s="53" t="n">
        <v>0</v>
      </c>
      <c r="T481" s="51" t="n">
        <v>1</v>
      </c>
      <c r="U481" s="56" t="n">
        <f aca="false">I481*O481</f>
        <v>0</v>
      </c>
      <c r="V481" s="56" t="n">
        <f aca="false">J481*O481</f>
        <v>0</v>
      </c>
      <c r="W481" s="56" t="n">
        <f aca="false">((I481+J481)/2)*O481</f>
        <v>0</v>
      </c>
      <c r="X481" s="56" t="n">
        <f aca="false">H481*O481</f>
        <v>0</v>
      </c>
    </row>
    <row r="482" customFormat="false" ht="22.35" hidden="false" customHeight="false" outlineLevel="0" collapsed="false">
      <c r="A482" s="76" t="s">
        <v>2063</v>
      </c>
      <c r="B482" s="7" t="s">
        <v>2882</v>
      </c>
      <c r="C482" s="7" t="s">
        <v>2883</v>
      </c>
      <c r="D482" s="7" t="s">
        <v>2570</v>
      </c>
      <c r="E482" s="77" t="s">
        <v>2571</v>
      </c>
      <c r="F482" s="7" t="s">
        <v>2097</v>
      </c>
      <c r="G482" s="7" t="s">
        <v>2097</v>
      </c>
      <c r="H482" s="9" t="n">
        <v>64</v>
      </c>
      <c r="I482" s="9" t="n">
        <v>0</v>
      </c>
      <c r="J482" s="9" t="n">
        <v>0</v>
      </c>
      <c r="K482" s="52" t="n">
        <v>0</v>
      </c>
      <c r="L482" s="58" t="n">
        <v>26.1</v>
      </c>
      <c r="M482" s="59"/>
      <c r="N482" s="9" t="n">
        <v>0.638356</v>
      </c>
      <c r="O482" s="8" t="n">
        <v>0</v>
      </c>
      <c r="P482" s="9" t="n">
        <v>64</v>
      </c>
      <c r="Q482" s="7" t="s">
        <v>2098</v>
      </c>
      <c r="R482" s="7" t="s">
        <v>2572</v>
      </c>
      <c r="S482" s="58" t="n">
        <v>0</v>
      </c>
      <c r="T482" s="9" t="n">
        <v>1</v>
      </c>
      <c r="U482" s="56" t="n">
        <f aca="false">I482*O482</f>
        <v>0</v>
      </c>
      <c r="V482" s="56" t="n">
        <f aca="false">J482*O482</f>
        <v>0</v>
      </c>
      <c r="W482" s="56" t="n">
        <f aca="false">((I482+J482)/2)*O482</f>
        <v>0</v>
      </c>
      <c r="X482" s="56" t="n">
        <f aca="false">H482*O482</f>
        <v>0</v>
      </c>
    </row>
    <row r="483" customFormat="false" ht="22.35" hidden="false" customHeight="false" outlineLevel="0" collapsed="false">
      <c r="A483" s="76" t="s">
        <v>2063</v>
      </c>
      <c r="B483" s="49" t="s">
        <v>2884</v>
      </c>
      <c r="C483" s="49" t="s">
        <v>2885</v>
      </c>
      <c r="D483" s="49" t="s">
        <v>2570</v>
      </c>
      <c r="E483" s="77" t="s">
        <v>2571</v>
      </c>
      <c r="F483" s="49" t="s">
        <v>2097</v>
      </c>
      <c r="G483" s="49" t="s">
        <v>2097</v>
      </c>
      <c r="H483" s="51" t="n">
        <v>96</v>
      </c>
      <c r="I483" s="51" t="n">
        <v>0</v>
      </c>
      <c r="J483" s="51" t="n">
        <v>0</v>
      </c>
      <c r="K483" s="52" t="n">
        <v>0</v>
      </c>
      <c r="L483" s="53" t="n">
        <v>26.1</v>
      </c>
      <c r="M483" s="54"/>
      <c r="N483" s="51" t="n">
        <v>1.226027</v>
      </c>
      <c r="O483" s="55" t="n">
        <v>0</v>
      </c>
      <c r="P483" s="51" t="n">
        <v>96</v>
      </c>
      <c r="Q483" s="49" t="s">
        <v>2098</v>
      </c>
      <c r="R483" s="49" t="s">
        <v>2572</v>
      </c>
      <c r="S483" s="53" t="n">
        <v>0</v>
      </c>
      <c r="T483" s="51" t="n">
        <v>1</v>
      </c>
      <c r="U483" s="56" t="n">
        <f aca="false">I483*O483</f>
        <v>0</v>
      </c>
      <c r="V483" s="56" t="n">
        <f aca="false">J483*O483</f>
        <v>0</v>
      </c>
      <c r="W483" s="56" t="n">
        <f aca="false">((I483+J483)/2)*O483</f>
        <v>0</v>
      </c>
      <c r="X483" s="56" t="n">
        <f aca="false">H483*O483</f>
        <v>0</v>
      </c>
    </row>
    <row r="484" customFormat="false" ht="22.35" hidden="false" customHeight="false" outlineLevel="0" collapsed="false">
      <c r="A484" s="76" t="s">
        <v>2063</v>
      </c>
      <c r="B484" s="7" t="s">
        <v>2886</v>
      </c>
      <c r="C484" s="7" t="s">
        <v>2887</v>
      </c>
      <c r="D484" s="7" t="s">
        <v>2570</v>
      </c>
      <c r="E484" s="77" t="s">
        <v>2571</v>
      </c>
      <c r="F484" s="7" t="s">
        <v>2097</v>
      </c>
      <c r="G484" s="7" t="s">
        <v>2097</v>
      </c>
      <c r="H484" s="9" t="n">
        <v>144</v>
      </c>
      <c r="I484" s="9" t="n">
        <v>0</v>
      </c>
      <c r="J484" s="9" t="n">
        <v>0</v>
      </c>
      <c r="K484" s="52" t="n">
        <v>0</v>
      </c>
      <c r="L484" s="58" t="n">
        <v>26.1</v>
      </c>
      <c r="M484" s="59"/>
      <c r="N484" s="9" t="n">
        <v>0.919178</v>
      </c>
      <c r="O484" s="8" t="n">
        <v>0</v>
      </c>
      <c r="P484" s="9" t="n">
        <v>144</v>
      </c>
      <c r="Q484" s="7" t="s">
        <v>2098</v>
      </c>
      <c r="R484" s="7" t="s">
        <v>2572</v>
      </c>
      <c r="S484" s="58" t="n">
        <v>0</v>
      </c>
      <c r="T484" s="9" t="n">
        <v>1</v>
      </c>
      <c r="U484" s="56" t="n">
        <f aca="false">I484*O484</f>
        <v>0</v>
      </c>
      <c r="V484" s="56" t="n">
        <f aca="false">J484*O484</f>
        <v>0</v>
      </c>
      <c r="W484" s="56" t="n">
        <f aca="false">((I484+J484)/2)*O484</f>
        <v>0</v>
      </c>
      <c r="X484" s="56" t="n">
        <f aca="false">H484*O484</f>
        <v>0</v>
      </c>
    </row>
    <row r="485" customFormat="false" ht="22.35" hidden="false" customHeight="false" outlineLevel="0" collapsed="false">
      <c r="A485" s="76" t="s">
        <v>2063</v>
      </c>
      <c r="B485" s="49" t="s">
        <v>2888</v>
      </c>
      <c r="C485" s="49" t="s">
        <v>2887</v>
      </c>
      <c r="D485" s="49" t="s">
        <v>2570</v>
      </c>
      <c r="E485" s="77" t="s">
        <v>2571</v>
      </c>
      <c r="F485" s="49" t="s">
        <v>2097</v>
      </c>
      <c r="G485" s="49" t="s">
        <v>2097</v>
      </c>
      <c r="H485" s="51" t="n">
        <v>72</v>
      </c>
      <c r="I485" s="51" t="n">
        <v>0</v>
      </c>
      <c r="J485" s="51" t="n">
        <v>0</v>
      </c>
      <c r="K485" s="52" t="n">
        <v>0</v>
      </c>
      <c r="L485" s="53" t="n">
        <v>26.1</v>
      </c>
      <c r="M485" s="54"/>
      <c r="N485" s="51" t="n">
        <v>1.121918</v>
      </c>
      <c r="O485" s="55" t="n">
        <v>0</v>
      </c>
      <c r="P485" s="51" t="n">
        <v>72</v>
      </c>
      <c r="Q485" s="49" t="s">
        <v>2098</v>
      </c>
      <c r="R485" s="49" t="s">
        <v>2572</v>
      </c>
      <c r="S485" s="53" t="n">
        <v>0</v>
      </c>
      <c r="T485" s="51" t="n">
        <v>1</v>
      </c>
      <c r="U485" s="56" t="n">
        <f aca="false">I485*O485</f>
        <v>0</v>
      </c>
      <c r="V485" s="56" t="n">
        <f aca="false">J485*O485</f>
        <v>0</v>
      </c>
      <c r="W485" s="56" t="n">
        <f aca="false">((I485+J485)/2)*O485</f>
        <v>0</v>
      </c>
      <c r="X485" s="56" t="n">
        <f aca="false">H485*O485</f>
        <v>0</v>
      </c>
    </row>
    <row r="486" customFormat="false" ht="22.35" hidden="false" customHeight="false" outlineLevel="0" collapsed="false">
      <c r="A486" s="76" t="s">
        <v>2063</v>
      </c>
      <c r="B486" s="7" t="s">
        <v>2889</v>
      </c>
      <c r="C486" s="7" t="s">
        <v>2890</v>
      </c>
      <c r="D486" s="7" t="s">
        <v>2570</v>
      </c>
      <c r="E486" s="77" t="s">
        <v>2571</v>
      </c>
      <c r="F486" s="7" t="s">
        <v>2097</v>
      </c>
      <c r="G486" s="7" t="s">
        <v>2097</v>
      </c>
      <c r="H486" s="9" t="n">
        <v>72</v>
      </c>
      <c r="I486" s="9" t="n">
        <v>0</v>
      </c>
      <c r="J486" s="9" t="n">
        <v>0</v>
      </c>
      <c r="K486" s="52" t="n">
        <v>0</v>
      </c>
      <c r="L486" s="58" t="n">
        <v>26.1</v>
      </c>
      <c r="M486" s="59"/>
      <c r="N486" s="9" t="n">
        <v>0.775342</v>
      </c>
      <c r="O486" s="8" t="n">
        <v>0</v>
      </c>
      <c r="P486" s="9" t="n">
        <v>72</v>
      </c>
      <c r="Q486" s="7" t="s">
        <v>2098</v>
      </c>
      <c r="R486" s="7" t="s">
        <v>2572</v>
      </c>
      <c r="S486" s="58" t="n">
        <v>0</v>
      </c>
      <c r="T486" s="9" t="n">
        <v>1</v>
      </c>
      <c r="U486" s="56" t="n">
        <f aca="false">I486*O486</f>
        <v>0</v>
      </c>
      <c r="V486" s="56" t="n">
        <f aca="false">J486*O486</f>
        <v>0</v>
      </c>
      <c r="W486" s="56" t="n">
        <f aca="false">((I486+J486)/2)*O486</f>
        <v>0</v>
      </c>
      <c r="X486" s="56" t="n">
        <f aca="false">H486*O486</f>
        <v>0</v>
      </c>
    </row>
    <row r="487" customFormat="false" ht="22.35" hidden="false" customHeight="false" outlineLevel="0" collapsed="false">
      <c r="A487" s="76" t="s">
        <v>2063</v>
      </c>
      <c r="B487" s="49" t="s">
        <v>2891</v>
      </c>
      <c r="C487" s="49" t="s">
        <v>2890</v>
      </c>
      <c r="D487" s="49" t="s">
        <v>2570</v>
      </c>
      <c r="E487" s="77" t="s">
        <v>2571</v>
      </c>
      <c r="F487" s="49" t="s">
        <v>2097</v>
      </c>
      <c r="G487" s="49" t="s">
        <v>2097</v>
      </c>
      <c r="H487" s="51" t="n">
        <v>72</v>
      </c>
      <c r="I487" s="51" t="n">
        <v>0</v>
      </c>
      <c r="J487" s="51" t="n">
        <v>0</v>
      </c>
      <c r="K487" s="52" t="n">
        <v>0</v>
      </c>
      <c r="L487" s="53" t="n">
        <v>26.1</v>
      </c>
      <c r="M487" s="54"/>
      <c r="N487" s="51" t="n">
        <v>0.890411</v>
      </c>
      <c r="O487" s="55" t="n">
        <v>0</v>
      </c>
      <c r="P487" s="51" t="n">
        <v>72</v>
      </c>
      <c r="Q487" s="49" t="s">
        <v>2098</v>
      </c>
      <c r="R487" s="49" t="s">
        <v>2572</v>
      </c>
      <c r="S487" s="53" t="n">
        <v>0</v>
      </c>
      <c r="T487" s="51" t="n">
        <v>1</v>
      </c>
      <c r="U487" s="56" t="n">
        <f aca="false">I487*O487</f>
        <v>0</v>
      </c>
      <c r="V487" s="56" t="n">
        <f aca="false">J487*O487</f>
        <v>0</v>
      </c>
      <c r="W487" s="56" t="n">
        <f aca="false">((I487+J487)/2)*O487</f>
        <v>0</v>
      </c>
      <c r="X487" s="56" t="n">
        <f aca="false">H487*O487</f>
        <v>0</v>
      </c>
    </row>
    <row r="488" customFormat="false" ht="22.35" hidden="false" customHeight="false" outlineLevel="0" collapsed="false">
      <c r="A488" s="76" t="s">
        <v>2063</v>
      </c>
      <c r="B488" s="7" t="s">
        <v>2892</v>
      </c>
      <c r="C488" s="7" t="s">
        <v>2893</v>
      </c>
      <c r="D488" s="7" t="s">
        <v>2570</v>
      </c>
      <c r="E488" s="77" t="s">
        <v>2571</v>
      </c>
      <c r="F488" s="7" t="s">
        <v>2097</v>
      </c>
      <c r="G488" s="7" t="s">
        <v>2097</v>
      </c>
      <c r="H488" s="9" t="n">
        <v>288</v>
      </c>
      <c r="I488" s="9" t="n">
        <v>0</v>
      </c>
      <c r="J488" s="9" t="n">
        <v>0</v>
      </c>
      <c r="K488" s="52" t="n">
        <v>0</v>
      </c>
      <c r="L488" s="58" t="n">
        <v>26.1</v>
      </c>
      <c r="M488" s="59"/>
      <c r="N488" s="9" t="n">
        <v>2.871233</v>
      </c>
      <c r="O488" s="8" t="n">
        <v>0</v>
      </c>
      <c r="P488" s="9" t="n">
        <v>288</v>
      </c>
      <c r="Q488" s="7" t="s">
        <v>2098</v>
      </c>
      <c r="R488" s="7" t="s">
        <v>2572</v>
      </c>
      <c r="S488" s="58" t="n">
        <v>0</v>
      </c>
      <c r="T488" s="9" t="n">
        <v>1</v>
      </c>
      <c r="U488" s="56" t="n">
        <f aca="false">I488*O488</f>
        <v>0</v>
      </c>
      <c r="V488" s="56" t="n">
        <f aca="false">J488*O488</f>
        <v>0</v>
      </c>
      <c r="W488" s="56" t="n">
        <f aca="false">((I488+J488)/2)*O488</f>
        <v>0</v>
      </c>
      <c r="X488" s="56" t="n">
        <f aca="false">H488*O488</f>
        <v>0</v>
      </c>
    </row>
    <row r="489" customFormat="false" ht="22.35" hidden="false" customHeight="false" outlineLevel="0" collapsed="false">
      <c r="A489" s="76" t="s">
        <v>2063</v>
      </c>
      <c r="B489" s="49" t="s">
        <v>2894</v>
      </c>
      <c r="C489" s="49" t="s">
        <v>2893</v>
      </c>
      <c r="D489" s="49" t="s">
        <v>2570</v>
      </c>
      <c r="E489" s="77" t="s">
        <v>2571</v>
      </c>
      <c r="F489" s="49" t="s">
        <v>2097</v>
      </c>
      <c r="G489" s="49" t="s">
        <v>2097</v>
      </c>
      <c r="H489" s="51" t="n">
        <v>216</v>
      </c>
      <c r="I489" s="51" t="n">
        <v>0</v>
      </c>
      <c r="J489" s="51" t="n">
        <v>0</v>
      </c>
      <c r="K489" s="52" t="n">
        <v>0</v>
      </c>
      <c r="L489" s="53" t="n">
        <v>26.1</v>
      </c>
      <c r="M489" s="54"/>
      <c r="N489" s="51" t="n">
        <v>3.471233</v>
      </c>
      <c r="O489" s="55" t="n">
        <v>0</v>
      </c>
      <c r="P489" s="51" t="n">
        <v>216</v>
      </c>
      <c r="Q489" s="49" t="s">
        <v>2098</v>
      </c>
      <c r="R489" s="49" t="s">
        <v>2572</v>
      </c>
      <c r="S489" s="53" t="n">
        <v>0</v>
      </c>
      <c r="T489" s="51" t="n">
        <v>1</v>
      </c>
      <c r="U489" s="56" t="n">
        <f aca="false">I489*O489</f>
        <v>0</v>
      </c>
      <c r="V489" s="56" t="n">
        <f aca="false">J489*O489</f>
        <v>0</v>
      </c>
      <c r="W489" s="56" t="n">
        <f aca="false">((I489+J489)/2)*O489</f>
        <v>0</v>
      </c>
      <c r="X489" s="56" t="n">
        <f aca="false">H489*O489</f>
        <v>0</v>
      </c>
    </row>
    <row r="490" customFormat="false" ht="22.35" hidden="false" customHeight="false" outlineLevel="0" collapsed="false">
      <c r="A490" s="76" t="s">
        <v>2063</v>
      </c>
      <c r="B490" s="7" t="s">
        <v>2895</v>
      </c>
      <c r="C490" s="7" t="s">
        <v>2896</v>
      </c>
      <c r="D490" s="7" t="s">
        <v>2570</v>
      </c>
      <c r="E490" s="77" t="s">
        <v>2571</v>
      </c>
      <c r="F490" s="7" t="s">
        <v>2097</v>
      </c>
      <c r="G490" s="7" t="s">
        <v>2097</v>
      </c>
      <c r="H490" s="9" t="n">
        <v>24</v>
      </c>
      <c r="I490" s="9" t="n">
        <v>0</v>
      </c>
      <c r="J490" s="9" t="n">
        <v>0</v>
      </c>
      <c r="K490" s="52" t="n">
        <v>0</v>
      </c>
      <c r="L490" s="58" t="n">
        <v>26.1</v>
      </c>
      <c r="M490" s="59"/>
      <c r="N490" s="9" t="n">
        <v>0.375342</v>
      </c>
      <c r="O490" s="8" t="n">
        <v>0</v>
      </c>
      <c r="P490" s="9" t="n">
        <v>24</v>
      </c>
      <c r="Q490" s="7" t="s">
        <v>2098</v>
      </c>
      <c r="R490" s="7" t="s">
        <v>2572</v>
      </c>
      <c r="S490" s="58" t="n">
        <v>0</v>
      </c>
      <c r="T490" s="9" t="n">
        <v>1</v>
      </c>
      <c r="U490" s="56" t="n">
        <f aca="false">I490*O490</f>
        <v>0</v>
      </c>
      <c r="V490" s="56" t="n">
        <f aca="false">J490*O490</f>
        <v>0</v>
      </c>
      <c r="W490" s="56" t="n">
        <f aca="false">((I490+J490)/2)*O490</f>
        <v>0</v>
      </c>
      <c r="X490" s="56" t="n">
        <f aca="false">H490*O490</f>
        <v>0</v>
      </c>
    </row>
    <row r="491" customFormat="false" ht="22.35" hidden="false" customHeight="false" outlineLevel="0" collapsed="false">
      <c r="A491" s="76" t="s">
        <v>2063</v>
      </c>
      <c r="B491" s="49" t="s">
        <v>2897</v>
      </c>
      <c r="C491" s="49" t="s">
        <v>2896</v>
      </c>
      <c r="D491" s="49" t="s">
        <v>2570</v>
      </c>
      <c r="E491" s="77" t="s">
        <v>2571</v>
      </c>
      <c r="F491" s="49" t="s">
        <v>2097</v>
      </c>
      <c r="G491" s="49" t="s">
        <v>2097</v>
      </c>
      <c r="H491" s="51" t="n">
        <v>8</v>
      </c>
      <c r="I491" s="51" t="n">
        <v>0</v>
      </c>
      <c r="J491" s="51" t="n">
        <v>0</v>
      </c>
      <c r="K491" s="52" t="n">
        <v>0</v>
      </c>
      <c r="L491" s="53" t="n">
        <v>26.1</v>
      </c>
      <c r="M491" s="54"/>
      <c r="N491" s="51" t="n">
        <v>0.126027</v>
      </c>
      <c r="O491" s="55" t="n">
        <v>0</v>
      </c>
      <c r="P491" s="51" t="n">
        <v>8</v>
      </c>
      <c r="Q491" s="49" t="s">
        <v>2098</v>
      </c>
      <c r="R491" s="49" t="s">
        <v>2572</v>
      </c>
      <c r="S491" s="53" t="n">
        <v>0</v>
      </c>
      <c r="T491" s="51" t="n">
        <v>1</v>
      </c>
      <c r="U491" s="56" t="n">
        <f aca="false">I491*O491</f>
        <v>0</v>
      </c>
      <c r="V491" s="56" t="n">
        <f aca="false">J491*O491</f>
        <v>0</v>
      </c>
      <c r="W491" s="56" t="n">
        <f aca="false">((I491+J491)/2)*O491</f>
        <v>0</v>
      </c>
      <c r="X491" s="56" t="n">
        <f aca="false">H491*O491</f>
        <v>0</v>
      </c>
    </row>
    <row r="492" customFormat="false" ht="22.35" hidden="false" customHeight="false" outlineLevel="0" collapsed="false">
      <c r="A492" s="76" t="s">
        <v>2063</v>
      </c>
      <c r="B492" s="7" t="s">
        <v>2898</v>
      </c>
      <c r="C492" s="7" t="s">
        <v>2899</v>
      </c>
      <c r="D492" s="7" t="s">
        <v>2570</v>
      </c>
      <c r="E492" s="77" t="s">
        <v>2571</v>
      </c>
      <c r="F492" s="7" t="s">
        <v>2097</v>
      </c>
      <c r="G492" s="7" t="s">
        <v>2097</v>
      </c>
      <c r="H492" s="9" t="n">
        <v>224</v>
      </c>
      <c r="I492" s="9" t="n">
        <v>0</v>
      </c>
      <c r="J492" s="9" t="n">
        <v>0</v>
      </c>
      <c r="K492" s="52" t="n">
        <v>0</v>
      </c>
      <c r="L492" s="58" t="n">
        <v>26.1</v>
      </c>
      <c r="M492" s="59"/>
      <c r="N492" s="9" t="n">
        <v>12.69589</v>
      </c>
      <c r="O492" s="8" t="n">
        <v>0</v>
      </c>
      <c r="P492" s="9" t="n">
        <v>224</v>
      </c>
      <c r="Q492" s="7" t="s">
        <v>2098</v>
      </c>
      <c r="R492" s="7" t="s">
        <v>2572</v>
      </c>
      <c r="S492" s="58" t="n">
        <v>0</v>
      </c>
      <c r="T492" s="9" t="n">
        <v>1</v>
      </c>
      <c r="U492" s="56" t="n">
        <f aca="false">I492*O492</f>
        <v>0</v>
      </c>
      <c r="V492" s="56" t="n">
        <f aca="false">J492*O492</f>
        <v>0</v>
      </c>
      <c r="W492" s="56" t="n">
        <f aca="false">((I492+J492)/2)*O492</f>
        <v>0</v>
      </c>
      <c r="X492" s="56" t="n">
        <f aca="false">H492*O492</f>
        <v>0</v>
      </c>
    </row>
    <row r="493" customFormat="false" ht="22.35" hidden="false" customHeight="false" outlineLevel="0" collapsed="false">
      <c r="A493" s="76" t="s">
        <v>2063</v>
      </c>
      <c r="B493" s="49" t="s">
        <v>2900</v>
      </c>
      <c r="C493" s="49" t="s">
        <v>2901</v>
      </c>
      <c r="D493" s="49" t="s">
        <v>2570</v>
      </c>
      <c r="E493" s="77" t="s">
        <v>2571</v>
      </c>
      <c r="F493" s="49" t="s">
        <v>2097</v>
      </c>
      <c r="G493" s="49" t="s">
        <v>2097</v>
      </c>
      <c r="H493" s="51" t="n">
        <v>224</v>
      </c>
      <c r="I493" s="51" t="n">
        <v>0</v>
      </c>
      <c r="J493" s="51" t="n">
        <v>0</v>
      </c>
      <c r="K493" s="52" t="n">
        <v>0</v>
      </c>
      <c r="L493" s="53" t="n">
        <v>26.1</v>
      </c>
      <c r="M493" s="54"/>
      <c r="N493" s="51" t="n">
        <v>11.142466</v>
      </c>
      <c r="O493" s="55" t="n">
        <v>0</v>
      </c>
      <c r="P493" s="51" t="n">
        <v>224</v>
      </c>
      <c r="Q493" s="49" t="s">
        <v>2098</v>
      </c>
      <c r="R493" s="49" t="s">
        <v>2572</v>
      </c>
      <c r="S493" s="53" t="n">
        <v>0</v>
      </c>
      <c r="T493" s="51" t="n">
        <v>1</v>
      </c>
      <c r="U493" s="56" t="n">
        <f aca="false">I493*O493</f>
        <v>0</v>
      </c>
      <c r="V493" s="56" t="n">
        <f aca="false">J493*O493</f>
        <v>0</v>
      </c>
      <c r="W493" s="56" t="n">
        <f aca="false">((I493+J493)/2)*O493</f>
        <v>0</v>
      </c>
      <c r="X493" s="56" t="n">
        <f aca="false">H493*O493</f>
        <v>0</v>
      </c>
    </row>
    <row r="494" customFormat="false" ht="22.35" hidden="false" customHeight="false" outlineLevel="0" collapsed="false">
      <c r="A494" s="76" t="s">
        <v>2063</v>
      </c>
      <c r="B494" s="7" t="s">
        <v>2902</v>
      </c>
      <c r="C494" s="7" t="s">
        <v>2903</v>
      </c>
      <c r="D494" s="7" t="s">
        <v>2570</v>
      </c>
      <c r="E494" s="77" t="s">
        <v>2571</v>
      </c>
      <c r="F494" s="7" t="s">
        <v>2097</v>
      </c>
      <c r="G494" s="7" t="s">
        <v>2097</v>
      </c>
      <c r="H494" s="9" t="n">
        <v>72</v>
      </c>
      <c r="I494" s="9" t="n">
        <v>0</v>
      </c>
      <c r="J494" s="9" t="n">
        <v>0</v>
      </c>
      <c r="K494" s="52" t="n">
        <v>0</v>
      </c>
      <c r="L494" s="58" t="n">
        <v>26.1</v>
      </c>
      <c r="M494" s="59"/>
      <c r="N494" s="9" t="n">
        <v>1.387671</v>
      </c>
      <c r="O494" s="8" t="n">
        <v>0</v>
      </c>
      <c r="P494" s="9" t="n">
        <v>72</v>
      </c>
      <c r="Q494" s="7" t="s">
        <v>2098</v>
      </c>
      <c r="R494" s="7" t="s">
        <v>2572</v>
      </c>
      <c r="S494" s="58" t="n">
        <v>0</v>
      </c>
      <c r="T494" s="9" t="n">
        <v>1</v>
      </c>
      <c r="U494" s="56" t="n">
        <f aca="false">I494*O494</f>
        <v>0</v>
      </c>
      <c r="V494" s="56" t="n">
        <f aca="false">J494*O494</f>
        <v>0</v>
      </c>
      <c r="W494" s="56" t="n">
        <f aca="false">((I494+J494)/2)*O494</f>
        <v>0</v>
      </c>
      <c r="X494" s="56" t="n">
        <f aca="false">H494*O494</f>
        <v>0</v>
      </c>
    </row>
    <row r="495" customFormat="false" ht="22.35" hidden="false" customHeight="false" outlineLevel="0" collapsed="false">
      <c r="A495" s="76" t="s">
        <v>2063</v>
      </c>
      <c r="B495" s="49" t="s">
        <v>2904</v>
      </c>
      <c r="C495" s="49" t="s">
        <v>2905</v>
      </c>
      <c r="D495" s="49" t="s">
        <v>2570</v>
      </c>
      <c r="E495" s="77" t="s">
        <v>2571</v>
      </c>
      <c r="F495" s="49" t="s">
        <v>2097</v>
      </c>
      <c r="G495" s="49" t="s">
        <v>2097</v>
      </c>
      <c r="H495" s="51" t="n">
        <v>36</v>
      </c>
      <c r="I495" s="51" t="n">
        <v>0</v>
      </c>
      <c r="J495" s="51" t="n">
        <v>0</v>
      </c>
      <c r="K495" s="52" t="n">
        <v>0</v>
      </c>
      <c r="L495" s="53" t="n">
        <v>26.1</v>
      </c>
      <c r="M495" s="54"/>
      <c r="N495" s="51" t="n">
        <v>0.710959</v>
      </c>
      <c r="O495" s="55" t="n">
        <v>0</v>
      </c>
      <c r="P495" s="51" t="n">
        <v>36</v>
      </c>
      <c r="Q495" s="49" t="s">
        <v>2098</v>
      </c>
      <c r="R495" s="49" t="s">
        <v>2572</v>
      </c>
      <c r="S495" s="53" t="n">
        <v>0</v>
      </c>
      <c r="T495" s="51" t="n">
        <v>1</v>
      </c>
      <c r="U495" s="56" t="n">
        <f aca="false">I495*O495</f>
        <v>0</v>
      </c>
      <c r="V495" s="56" t="n">
        <f aca="false">J495*O495</f>
        <v>0</v>
      </c>
      <c r="W495" s="56" t="n">
        <f aca="false">((I495+J495)/2)*O495</f>
        <v>0</v>
      </c>
      <c r="X495" s="56" t="n">
        <f aca="false">H495*O495</f>
        <v>0</v>
      </c>
    </row>
    <row r="496" customFormat="false" ht="22.35" hidden="false" customHeight="false" outlineLevel="0" collapsed="false">
      <c r="A496" s="76" t="s">
        <v>2063</v>
      </c>
      <c r="B496" s="7" t="s">
        <v>2906</v>
      </c>
      <c r="C496" s="7" t="s">
        <v>2907</v>
      </c>
      <c r="D496" s="7" t="s">
        <v>2570</v>
      </c>
      <c r="E496" s="77" t="s">
        <v>2571</v>
      </c>
      <c r="F496" s="7" t="s">
        <v>2097</v>
      </c>
      <c r="G496" s="7" t="s">
        <v>2097</v>
      </c>
      <c r="H496" s="9" t="n">
        <v>36</v>
      </c>
      <c r="I496" s="9" t="n">
        <v>0</v>
      </c>
      <c r="J496" s="9" t="n">
        <v>0</v>
      </c>
      <c r="K496" s="52" t="n">
        <v>0</v>
      </c>
      <c r="L496" s="58" t="n">
        <v>26.1</v>
      </c>
      <c r="M496" s="59"/>
      <c r="N496" s="9" t="n">
        <v>0.686301</v>
      </c>
      <c r="O496" s="8" t="n">
        <v>0</v>
      </c>
      <c r="P496" s="9" t="n">
        <v>36</v>
      </c>
      <c r="Q496" s="7" t="s">
        <v>2098</v>
      </c>
      <c r="R496" s="7" t="s">
        <v>2572</v>
      </c>
      <c r="S496" s="58" t="n">
        <v>0</v>
      </c>
      <c r="T496" s="9" t="n">
        <v>1</v>
      </c>
      <c r="U496" s="56" t="n">
        <f aca="false">I496*O496</f>
        <v>0</v>
      </c>
      <c r="V496" s="56" t="n">
        <f aca="false">J496*O496</f>
        <v>0</v>
      </c>
      <c r="W496" s="56" t="n">
        <f aca="false">((I496+J496)/2)*O496</f>
        <v>0</v>
      </c>
      <c r="X496" s="56" t="n">
        <f aca="false">H496*O496</f>
        <v>0</v>
      </c>
    </row>
    <row r="497" customFormat="false" ht="22.35" hidden="false" customHeight="false" outlineLevel="0" collapsed="false">
      <c r="A497" s="76" t="s">
        <v>2063</v>
      </c>
      <c r="B497" s="49" t="s">
        <v>2908</v>
      </c>
      <c r="C497" s="49" t="s">
        <v>2909</v>
      </c>
      <c r="D497" s="49" t="s">
        <v>2570</v>
      </c>
      <c r="E497" s="77" t="s">
        <v>2571</v>
      </c>
      <c r="F497" s="49" t="s">
        <v>2097</v>
      </c>
      <c r="G497" s="49" t="s">
        <v>2097</v>
      </c>
      <c r="H497" s="51" t="n">
        <v>64</v>
      </c>
      <c r="I497" s="51" t="n">
        <v>0</v>
      </c>
      <c r="J497" s="51" t="n">
        <v>0</v>
      </c>
      <c r="K497" s="52" t="n">
        <v>0</v>
      </c>
      <c r="L497" s="53" t="n">
        <v>26.1</v>
      </c>
      <c r="M497" s="54"/>
      <c r="N497" s="51" t="n">
        <v>0.924658</v>
      </c>
      <c r="O497" s="55" t="n">
        <v>0</v>
      </c>
      <c r="P497" s="51" t="n">
        <v>64</v>
      </c>
      <c r="Q497" s="49" t="s">
        <v>2098</v>
      </c>
      <c r="R497" s="49" t="s">
        <v>2572</v>
      </c>
      <c r="S497" s="53" t="n">
        <v>0</v>
      </c>
      <c r="T497" s="51" t="n">
        <v>1</v>
      </c>
      <c r="U497" s="56" t="n">
        <f aca="false">I497*O497</f>
        <v>0</v>
      </c>
      <c r="V497" s="56" t="n">
        <f aca="false">J497*O497</f>
        <v>0</v>
      </c>
      <c r="W497" s="56" t="n">
        <f aca="false">((I497+J497)/2)*O497</f>
        <v>0</v>
      </c>
      <c r="X497" s="56" t="n">
        <f aca="false">H497*O497</f>
        <v>0</v>
      </c>
    </row>
    <row r="498" customFormat="false" ht="22.35" hidden="false" customHeight="false" outlineLevel="0" collapsed="false">
      <c r="A498" s="76" t="s">
        <v>2063</v>
      </c>
      <c r="B498" s="7" t="s">
        <v>2910</v>
      </c>
      <c r="C498" s="7" t="s">
        <v>2909</v>
      </c>
      <c r="D498" s="7" t="s">
        <v>2570</v>
      </c>
      <c r="E498" s="77" t="s">
        <v>2571</v>
      </c>
      <c r="F498" s="7" t="s">
        <v>2097</v>
      </c>
      <c r="G498" s="7" t="s">
        <v>2097</v>
      </c>
      <c r="H498" s="9" t="n">
        <v>120</v>
      </c>
      <c r="I498" s="9" t="n">
        <v>0</v>
      </c>
      <c r="J498" s="9" t="n">
        <v>0</v>
      </c>
      <c r="K498" s="52" t="n">
        <v>0</v>
      </c>
      <c r="L498" s="58" t="n">
        <v>26.1</v>
      </c>
      <c r="M498" s="59"/>
      <c r="N498" s="9" t="n">
        <v>1.287671</v>
      </c>
      <c r="O498" s="8" t="n">
        <v>0</v>
      </c>
      <c r="P498" s="9" t="n">
        <v>120</v>
      </c>
      <c r="Q498" s="7" t="s">
        <v>2098</v>
      </c>
      <c r="R498" s="7" t="s">
        <v>2572</v>
      </c>
      <c r="S498" s="58" t="n">
        <v>0</v>
      </c>
      <c r="T498" s="9" t="n">
        <v>1</v>
      </c>
      <c r="U498" s="56" t="n">
        <f aca="false">I498*O498</f>
        <v>0</v>
      </c>
      <c r="V498" s="56" t="n">
        <f aca="false">J498*O498</f>
        <v>0</v>
      </c>
      <c r="W498" s="56" t="n">
        <f aca="false">((I498+J498)/2)*O498</f>
        <v>0</v>
      </c>
      <c r="X498" s="56" t="n">
        <f aca="false">H498*O498</f>
        <v>0</v>
      </c>
    </row>
    <row r="499" customFormat="false" ht="22.35" hidden="false" customHeight="false" outlineLevel="0" collapsed="false">
      <c r="A499" s="76" t="s">
        <v>2063</v>
      </c>
      <c r="B499" s="49" t="s">
        <v>2911</v>
      </c>
      <c r="C499" s="49" t="s">
        <v>2912</v>
      </c>
      <c r="D499" s="49" t="s">
        <v>2570</v>
      </c>
      <c r="E499" s="77" t="s">
        <v>2571</v>
      </c>
      <c r="F499" s="49" t="s">
        <v>2097</v>
      </c>
      <c r="G499" s="49" t="s">
        <v>2097</v>
      </c>
      <c r="H499" s="51" t="n">
        <v>54</v>
      </c>
      <c r="I499" s="51" t="n">
        <v>0</v>
      </c>
      <c r="J499" s="51" t="n">
        <v>0</v>
      </c>
      <c r="K499" s="52" t="n">
        <v>0</v>
      </c>
      <c r="L499" s="53" t="n">
        <v>26.1</v>
      </c>
      <c r="M499" s="54"/>
      <c r="N499" s="51" t="n">
        <v>0.809589</v>
      </c>
      <c r="O499" s="55" t="n">
        <v>0</v>
      </c>
      <c r="P499" s="51" t="n">
        <v>54</v>
      </c>
      <c r="Q499" s="49" t="s">
        <v>2098</v>
      </c>
      <c r="R499" s="49" t="s">
        <v>2572</v>
      </c>
      <c r="S499" s="53" t="n">
        <v>0</v>
      </c>
      <c r="T499" s="51" t="n">
        <v>1</v>
      </c>
      <c r="U499" s="56" t="n">
        <f aca="false">I499*O499</f>
        <v>0</v>
      </c>
      <c r="V499" s="56" t="n">
        <f aca="false">J499*O499</f>
        <v>0</v>
      </c>
      <c r="W499" s="56" t="n">
        <f aca="false">((I499+J499)/2)*O499</f>
        <v>0</v>
      </c>
      <c r="X499" s="56" t="n">
        <f aca="false">H499*O499</f>
        <v>0</v>
      </c>
    </row>
    <row r="500" customFormat="false" ht="22.35" hidden="false" customHeight="false" outlineLevel="0" collapsed="false">
      <c r="A500" s="76" t="s">
        <v>2063</v>
      </c>
      <c r="B500" s="7" t="s">
        <v>2913</v>
      </c>
      <c r="C500" s="7" t="s">
        <v>2912</v>
      </c>
      <c r="D500" s="7" t="s">
        <v>2570</v>
      </c>
      <c r="E500" s="77" t="s">
        <v>2571</v>
      </c>
      <c r="F500" s="7" t="s">
        <v>2097</v>
      </c>
      <c r="G500" s="7" t="s">
        <v>2097</v>
      </c>
      <c r="H500" s="9" t="n">
        <v>376</v>
      </c>
      <c r="I500" s="9" t="n">
        <v>0</v>
      </c>
      <c r="J500" s="9" t="n">
        <v>0</v>
      </c>
      <c r="K500" s="52" t="n">
        <v>0</v>
      </c>
      <c r="L500" s="58" t="n">
        <v>26.1</v>
      </c>
      <c r="M500" s="59"/>
      <c r="N500" s="9" t="n">
        <v>2.606849</v>
      </c>
      <c r="O500" s="8" t="n">
        <v>0</v>
      </c>
      <c r="P500" s="9" t="n">
        <v>376</v>
      </c>
      <c r="Q500" s="7" t="s">
        <v>2098</v>
      </c>
      <c r="R500" s="7" t="s">
        <v>2572</v>
      </c>
      <c r="S500" s="58" t="n">
        <v>0</v>
      </c>
      <c r="T500" s="9" t="n">
        <v>1</v>
      </c>
      <c r="U500" s="56" t="n">
        <f aca="false">I500*O500</f>
        <v>0</v>
      </c>
      <c r="V500" s="56" t="n">
        <f aca="false">J500*O500</f>
        <v>0</v>
      </c>
      <c r="W500" s="56" t="n">
        <f aca="false">((I500+J500)/2)*O500</f>
        <v>0</v>
      </c>
      <c r="X500" s="56" t="n">
        <f aca="false">H500*O500</f>
        <v>0</v>
      </c>
    </row>
    <row r="501" customFormat="false" ht="22.35" hidden="false" customHeight="false" outlineLevel="0" collapsed="false">
      <c r="A501" s="76" t="s">
        <v>2063</v>
      </c>
      <c r="B501" s="49" t="s">
        <v>2914</v>
      </c>
      <c r="C501" s="49" t="s">
        <v>2915</v>
      </c>
      <c r="D501" s="49" t="s">
        <v>2570</v>
      </c>
      <c r="E501" s="77" t="s">
        <v>2571</v>
      </c>
      <c r="F501" s="49" t="s">
        <v>2097</v>
      </c>
      <c r="G501" s="49" t="s">
        <v>2097</v>
      </c>
      <c r="H501" s="51" t="n">
        <v>16</v>
      </c>
      <c r="I501" s="51" t="n">
        <v>0</v>
      </c>
      <c r="J501" s="51" t="n">
        <v>0</v>
      </c>
      <c r="K501" s="52" t="n">
        <v>0</v>
      </c>
      <c r="L501" s="53" t="n">
        <v>26.1</v>
      </c>
      <c r="M501" s="54"/>
      <c r="N501" s="51" t="n">
        <v>0.272603</v>
      </c>
      <c r="O501" s="55" t="n">
        <v>0</v>
      </c>
      <c r="P501" s="51" t="n">
        <v>16</v>
      </c>
      <c r="Q501" s="49" t="s">
        <v>2098</v>
      </c>
      <c r="R501" s="49" t="s">
        <v>2572</v>
      </c>
      <c r="S501" s="53" t="n">
        <v>0</v>
      </c>
      <c r="T501" s="51" t="n">
        <v>1</v>
      </c>
      <c r="U501" s="56" t="n">
        <f aca="false">I501*O501</f>
        <v>0</v>
      </c>
      <c r="V501" s="56" t="n">
        <f aca="false">J501*O501</f>
        <v>0</v>
      </c>
      <c r="W501" s="56" t="n">
        <f aca="false">((I501+J501)/2)*O501</f>
        <v>0</v>
      </c>
      <c r="X501" s="56" t="n">
        <f aca="false">H501*O501</f>
        <v>0</v>
      </c>
    </row>
    <row r="502" customFormat="false" ht="22.35" hidden="false" customHeight="false" outlineLevel="0" collapsed="false">
      <c r="A502" s="76" t="s">
        <v>2063</v>
      </c>
      <c r="B502" s="7" t="s">
        <v>2916</v>
      </c>
      <c r="C502" s="7" t="s">
        <v>2915</v>
      </c>
      <c r="D502" s="7" t="s">
        <v>2570</v>
      </c>
      <c r="E502" s="77" t="s">
        <v>2571</v>
      </c>
      <c r="F502" s="7" t="s">
        <v>2097</v>
      </c>
      <c r="G502" s="7" t="s">
        <v>2097</v>
      </c>
      <c r="H502" s="9" t="n">
        <v>216</v>
      </c>
      <c r="I502" s="9" t="n">
        <v>0</v>
      </c>
      <c r="J502" s="9" t="n">
        <v>0</v>
      </c>
      <c r="K502" s="52" t="n">
        <v>0</v>
      </c>
      <c r="L502" s="58" t="n">
        <v>26.1</v>
      </c>
      <c r="M502" s="59"/>
      <c r="N502" s="9" t="n">
        <v>1.738356</v>
      </c>
      <c r="O502" s="8" t="n">
        <v>0</v>
      </c>
      <c r="P502" s="9" t="n">
        <v>216</v>
      </c>
      <c r="Q502" s="7" t="s">
        <v>2098</v>
      </c>
      <c r="R502" s="7" t="s">
        <v>2572</v>
      </c>
      <c r="S502" s="58" t="n">
        <v>0</v>
      </c>
      <c r="T502" s="9" t="n">
        <v>1</v>
      </c>
      <c r="U502" s="56" t="n">
        <f aca="false">I502*O502</f>
        <v>0</v>
      </c>
      <c r="V502" s="56" t="n">
        <f aca="false">J502*O502</f>
        <v>0</v>
      </c>
      <c r="W502" s="56" t="n">
        <f aca="false">((I502+J502)/2)*O502</f>
        <v>0</v>
      </c>
      <c r="X502" s="56" t="n">
        <f aca="false">H502*O502</f>
        <v>0</v>
      </c>
    </row>
    <row r="503" customFormat="false" ht="22.35" hidden="false" customHeight="false" outlineLevel="0" collapsed="false">
      <c r="A503" s="76" t="s">
        <v>2063</v>
      </c>
      <c r="B503" s="49" t="s">
        <v>2917</v>
      </c>
      <c r="C503" s="49" t="s">
        <v>2918</v>
      </c>
      <c r="D503" s="49" t="s">
        <v>2570</v>
      </c>
      <c r="E503" s="77" t="s">
        <v>2571</v>
      </c>
      <c r="F503" s="49" t="s">
        <v>2097</v>
      </c>
      <c r="G503" s="49" t="s">
        <v>2097</v>
      </c>
      <c r="H503" s="51" t="n">
        <v>2</v>
      </c>
      <c r="I503" s="51" t="n">
        <v>0</v>
      </c>
      <c r="J503" s="51" t="n">
        <v>0</v>
      </c>
      <c r="K503" s="52" t="n">
        <v>0</v>
      </c>
      <c r="L503" s="53" t="n">
        <v>26.1</v>
      </c>
      <c r="M503" s="54"/>
      <c r="N503" s="51" t="n">
        <v>0.023288</v>
      </c>
      <c r="O503" s="55" t="n">
        <v>0</v>
      </c>
      <c r="P503" s="51" t="n">
        <v>2</v>
      </c>
      <c r="Q503" s="49" t="s">
        <v>2098</v>
      </c>
      <c r="R503" s="49" t="s">
        <v>2572</v>
      </c>
      <c r="S503" s="53" t="n">
        <v>0</v>
      </c>
      <c r="T503" s="51" t="n">
        <v>1</v>
      </c>
      <c r="U503" s="56" t="n">
        <f aca="false">I503*O503</f>
        <v>0</v>
      </c>
      <c r="V503" s="56" t="n">
        <f aca="false">J503*O503</f>
        <v>0</v>
      </c>
      <c r="W503" s="56" t="n">
        <f aca="false">((I503+J503)/2)*O503</f>
        <v>0</v>
      </c>
      <c r="X503" s="56" t="n">
        <f aca="false">H503*O503</f>
        <v>0</v>
      </c>
    </row>
    <row r="504" customFormat="false" ht="22.35" hidden="false" customHeight="false" outlineLevel="0" collapsed="false">
      <c r="A504" s="76" t="s">
        <v>2063</v>
      </c>
      <c r="B504" s="7" t="s">
        <v>2919</v>
      </c>
      <c r="C504" s="7" t="s">
        <v>2918</v>
      </c>
      <c r="D504" s="7" t="s">
        <v>2570</v>
      </c>
      <c r="E504" s="77" t="s">
        <v>2571</v>
      </c>
      <c r="F504" s="7" t="s">
        <v>2097</v>
      </c>
      <c r="G504" s="7" t="s">
        <v>2097</v>
      </c>
      <c r="H504" s="9" t="n">
        <v>4</v>
      </c>
      <c r="I504" s="9" t="n">
        <v>0</v>
      </c>
      <c r="J504" s="9" t="n">
        <v>0</v>
      </c>
      <c r="K504" s="52" t="n">
        <v>0</v>
      </c>
      <c r="L504" s="58" t="n">
        <v>26.1</v>
      </c>
      <c r="M504" s="59"/>
      <c r="N504" s="9" t="n">
        <v>0.080822</v>
      </c>
      <c r="O504" s="8" t="n">
        <v>0</v>
      </c>
      <c r="P504" s="9" t="n">
        <v>4</v>
      </c>
      <c r="Q504" s="7" t="s">
        <v>2098</v>
      </c>
      <c r="R504" s="7" t="s">
        <v>2572</v>
      </c>
      <c r="S504" s="58" t="n">
        <v>0</v>
      </c>
      <c r="T504" s="9" t="n">
        <v>1</v>
      </c>
      <c r="U504" s="56" t="n">
        <f aca="false">I504*O504</f>
        <v>0</v>
      </c>
      <c r="V504" s="56" t="n">
        <f aca="false">J504*O504</f>
        <v>0</v>
      </c>
      <c r="W504" s="56" t="n">
        <f aca="false">((I504+J504)/2)*O504</f>
        <v>0</v>
      </c>
      <c r="X504" s="56" t="n">
        <f aca="false">H504*O504</f>
        <v>0</v>
      </c>
    </row>
    <row r="505" customFormat="false" ht="22.35" hidden="false" customHeight="false" outlineLevel="0" collapsed="false">
      <c r="A505" s="76" t="s">
        <v>2063</v>
      </c>
      <c r="B505" s="49" t="s">
        <v>2920</v>
      </c>
      <c r="C505" s="49" t="s">
        <v>2921</v>
      </c>
      <c r="D505" s="49" t="s">
        <v>2570</v>
      </c>
      <c r="E505" s="77" t="s">
        <v>2571</v>
      </c>
      <c r="F505" s="49" t="s">
        <v>2097</v>
      </c>
      <c r="G505" s="49" t="s">
        <v>2097</v>
      </c>
      <c r="H505" s="51" t="n">
        <v>16</v>
      </c>
      <c r="I505" s="51" t="n">
        <v>0</v>
      </c>
      <c r="J505" s="51" t="n">
        <v>0</v>
      </c>
      <c r="K505" s="52" t="n">
        <v>0</v>
      </c>
      <c r="L505" s="53" t="n">
        <v>26.1</v>
      </c>
      <c r="M505" s="54"/>
      <c r="N505" s="51" t="n">
        <v>0.252055</v>
      </c>
      <c r="O505" s="55" t="n">
        <v>0</v>
      </c>
      <c r="P505" s="51" t="n">
        <v>16</v>
      </c>
      <c r="Q505" s="49" t="s">
        <v>2098</v>
      </c>
      <c r="R505" s="49" t="s">
        <v>2572</v>
      </c>
      <c r="S505" s="53" t="n">
        <v>0</v>
      </c>
      <c r="T505" s="51" t="n">
        <v>1</v>
      </c>
      <c r="U505" s="56" t="n">
        <f aca="false">I505*O505</f>
        <v>0</v>
      </c>
      <c r="V505" s="56" t="n">
        <f aca="false">J505*O505</f>
        <v>0</v>
      </c>
      <c r="W505" s="56" t="n">
        <f aca="false">((I505+J505)/2)*O505</f>
        <v>0</v>
      </c>
      <c r="X505" s="56" t="n">
        <f aca="false">H505*O505</f>
        <v>0</v>
      </c>
    </row>
    <row r="506" customFormat="false" ht="22.35" hidden="false" customHeight="false" outlineLevel="0" collapsed="false">
      <c r="A506" s="76" t="s">
        <v>2063</v>
      </c>
      <c r="B506" s="7" t="s">
        <v>2922</v>
      </c>
      <c r="C506" s="7" t="s">
        <v>2921</v>
      </c>
      <c r="D506" s="7" t="s">
        <v>2570</v>
      </c>
      <c r="E506" s="77" t="s">
        <v>2571</v>
      </c>
      <c r="F506" s="7" t="s">
        <v>2097</v>
      </c>
      <c r="G506" s="7" t="s">
        <v>2097</v>
      </c>
      <c r="H506" s="9" t="n">
        <v>12</v>
      </c>
      <c r="I506" s="9" t="n">
        <v>0</v>
      </c>
      <c r="J506" s="9" t="n">
        <v>0</v>
      </c>
      <c r="K506" s="52" t="n">
        <v>0</v>
      </c>
      <c r="L506" s="58" t="n">
        <v>26.1</v>
      </c>
      <c r="M506" s="59"/>
      <c r="N506" s="9" t="n">
        <v>0.120548</v>
      </c>
      <c r="O506" s="8" t="n">
        <v>0</v>
      </c>
      <c r="P506" s="9" t="n">
        <v>12</v>
      </c>
      <c r="Q506" s="7" t="s">
        <v>2098</v>
      </c>
      <c r="R506" s="7" t="s">
        <v>2572</v>
      </c>
      <c r="S506" s="58" t="n">
        <v>0</v>
      </c>
      <c r="T506" s="9" t="n">
        <v>1</v>
      </c>
      <c r="U506" s="56" t="n">
        <f aca="false">I506*O506</f>
        <v>0</v>
      </c>
      <c r="V506" s="56" t="n">
        <f aca="false">J506*O506</f>
        <v>0</v>
      </c>
      <c r="W506" s="56" t="n">
        <f aca="false">((I506+J506)/2)*O506</f>
        <v>0</v>
      </c>
      <c r="X506" s="56" t="n">
        <f aca="false">H506*O506</f>
        <v>0</v>
      </c>
    </row>
    <row r="507" customFormat="false" ht="22.35" hidden="false" customHeight="false" outlineLevel="0" collapsed="false">
      <c r="A507" s="76" t="s">
        <v>2063</v>
      </c>
      <c r="B507" s="49" t="s">
        <v>2923</v>
      </c>
      <c r="C507" s="49" t="s">
        <v>2924</v>
      </c>
      <c r="D507" s="49" t="s">
        <v>2570</v>
      </c>
      <c r="E507" s="77" t="s">
        <v>2571</v>
      </c>
      <c r="F507" s="49" t="s">
        <v>2097</v>
      </c>
      <c r="G507" s="49" t="s">
        <v>2097</v>
      </c>
      <c r="H507" s="51" t="n">
        <v>24</v>
      </c>
      <c r="I507" s="51" t="n">
        <v>0</v>
      </c>
      <c r="J507" s="51" t="n">
        <v>0</v>
      </c>
      <c r="K507" s="52" t="n">
        <v>0</v>
      </c>
      <c r="L507" s="53" t="n">
        <v>26.1</v>
      </c>
      <c r="M507" s="54"/>
      <c r="N507" s="51" t="n">
        <v>0.2</v>
      </c>
      <c r="O507" s="55" t="n">
        <v>0</v>
      </c>
      <c r="P507" s="51" t="n">
        <v>24</v>
      </c>
      <c r="Q507" s="49" t="s">
        <v>2098</v>
      </c>
      <c r="R507" s="49" t="s">
        <v>2572</v>
      </c>
      <c r="S507" s="53" t="n">
        <v>0</v>
      </c>
      <c r="T507" s="51" t="n">
        <v>1</v>
      </c>
      <c r="U507" s="56" t="n">
        <f aca="false">I507*O507</f>
        <v>0</v>
      </c>
      <c r="V507" s="56" t="n">
        <f aca="false">J507*O507</f>
        <v>0</v>
      </c>
      <c r="W507" s="56" t="n">
        <f aca="false">((I507+J507)/2)*O507</f>
        <v>0</v>
      </c>
      <c r="X507" s="56" t="n">
        <f aca="false">H507*O507</f>
        <v>0</v>
      </c>
    </row>
    <row r="508" customFormat="false" ht="22.35" hidden="false" customHeight="false" outlineLevel="0" collapsed="false">
      <c r="A508" s="76" t="s">
        <v>2063</v>
      </c>
      <c r="B508" s="7" t="s">
        <v>2925</v>
      </c>
      <c r="C508" s="7" t="s">
        <v>2924</v>
      </c>
      <c r="D508" s="7" t="s">
        <v>2570</v>
      </c>
      <c r="E508" s="77" t="s">
        <v>2571</v>
      </c>
      <c r="F508" s="7" t="s">
        <v>2097</v>
      </c>
      <c r="G508" s="7" t="s">
        <v>2097</v>
      </c>
      <c r="H508" s="9" t="n">
        <v>24</v>
      </c>
      <c r="I508" s="9" t="n">
        <v>0</v>
      </c>
      <c r="J508" s="9" t="n">
        <v>0</v>
      </c>
      <c r="K508" s="52" t="n">
        <v>0</v>
      </c>
      <c r="L508" s="58" t="n">
        <v>26.1</v>
      </c>
      <c r="M508" s="59"/>
      <c r="N508" s="9" t="n">
        <v>0.293151</v>
      </c>
      <c r="O508" s="8" t="n">
        <v>0</v>
      </c>
      <c r="P508" s="9" t="n">
        <v>24</v>
      </c>
      <c r="Q508" s="7" t="s">
        <v>2098</v>
      </c>
      <c r="R508" s="7" t="s">
        <v>2572</v>
      </c>
      <c r="S508" s="58" t="n">
        <v>0</v>
      </c>
      <c r="T508" s="9" t="n">
        <v>1</v>
      </c>
      <c r="U508" s="56" t="n">
        <f aca="false">I508*O508</f>
        <v>0</v>
      </c>
      <c r="V508" s="56" t="n">
        <f aca="false">J508*O508</f>
        <v>0</v>
      </c>
      <c r="W508" s="56" t="n">
        <f aca="false">((I508+J508)/2)*O508</f>
        <v>0</v>
      </c>
      <c r="X508" s="56" t="n">
        <f aca="false">H508*O508</f>
        <v>0</v>
      </c>
    </row>
    <row r="509" customFormat="false" ht="22.35" hidden="false" customHeight="false" outlineLevel="0" collapsed="false">
      <c r="A509" s="76" t="s">
        <v>2063</v>
      </c>
      <c r="B509" s="49" t="s">
        <v>2926</v>
      </c>
      <c r="C509" s="49" t="s">
        <v>2927</v>
      </c>
      <c r="D509" s="49" t="s">
        <v>2570</v>
      </c>
      <c r="E509" s="77" t="s">
        <v>2571</v>
      </c>
      <c r="F509" s="49" t="s">
        <v>2097</v>
      </c>
      <c r="G509" s="49" t="s">
        <v>2097</v>
      </c>
      <c r="H509" s="51" t="n">
        <v>36</v>
      </c>
      <c r="I509" s="51" t="n">
        <v>0</v>
      </c>
      <c r="J509" s="51" t="n">
        <v>0</v>
      </c>
      <c r="K509" s="52" t="n">
        <v>0</v>
      </c>
      <c r="L509" s="53" t="n">
        <v>26.1</v>
      </c>
      <c r="M509" s="54"/>
      <c r="N509" s="51" t="n">
        <v>0.469863</v>
      </c>
      <c r="O509" s="55" t="n">
        <v>0</v>
      </c>
      <c r="P509" s="51" t="n">
        <v>36</v>
      </c>
      <c r="Q509" s="49" t="s">
        <v>2098</v>
      </c>
      <c r="R509" s="49" t="s">
        <v>2572</v>
      </c>
      <c r="S509" s="53" t="n">
        <v>0</v>
      </c>
      <c r="T509" s="51" t="n">
        <v>1</v>
      </c>
      <c r="U509" s="56" t="n">
        <f aca="false">I509*O509</f>
        <v>0</v>
      </c>
      <c r="V509" s="56" t="n">
        <f aca="false">J509*O509</f>
        <v>0</v>
      </c>
      <c r="W509" s="56" t="n">
        <f aca="false">((I509+J509)/2)*O509</f>
        <v>0</v>
      </c>
      <c r="X509" s="56" t="n">
        <f aca="false">H509*O509</f>
        <v>0</v>
      </c>
    </row>
    <row r="510" customFormat="false" ht="22.35" hidden="false" customHeight="false" outlineLevel="0" collapsed="false">
      <c r="A510" s="76" t="s">
        <v>2063</v>
      </c>
      <c r="B510" s="7" t="s">
        <v>2928</v>
      </c>
      <c r="C510" s="7" t="s">
        <v>2929</v>
      </c>
      <c r="D510" s="7" t="s">
        <v>2570</v>
      </c>
      <c r="E510" s="77" t="s">
        <v>2571</v>
      </c>
      <c r="F510" s="7" t="s">
        <v>2097</v>
      </c>
      <c r="G510" s="7" t="s">
        <v>2097</v>
      </c>
      <c r="H510" s="9" t="n">
        <v>48</v>
      </c>
      <c r="I510" s="9" t="n">
        <v>0</v>
      </c>
      <c r="J510" s="9" t="n">
        <v>0</v>
      </c>
      <c r="K510" s="52" t="n">
        <v>0</v>
      </c>
      <c r="L510" s="58" t="n">
        <v>26.1</v>
      </c>
      <c r="M510" s="59"/>
      <c r="N510" s="9" t="n">
        <v>0.579452</v>
      </c>
      <c r="O510" s="8" t="n">
        <v>0</v>
      </c>
      <c r="P510" s="9" t="n">
        <v>48</v>
      </c>
      <c r="Q510" s="7" t="s">
        <v>2098</v>
      </c>
      <c r="R510" s="7" t="s">
        <v>2572</v>
      </c>
      <c r="S510" s="58" t="n">
        <v>0</v>
      </c>
      <c r="T510" s="9" t="n">
        <v>1</v>
      </c>
      <c r="U510" s="56" t="n">
        <f aca="false">I510*O510</f>
        <v>0</v>
      </c>
      <c r="V510" s="56" t="n">
        <f aca="false">J510*O510</f>
        <v>0</v>
      </c>
      <c r="W510" s="56" t="n">
        <f aca="false">((I510+J510)/2)*O510</f>
        <v>0</v>
      </c>
      <c r="X510" s="56" t="n">
        <f aca="false">H510*O510</f>
        <v>0</v>
      </c>
    </row>
    <row r="511" customFormat="false" ht="22.35" hidden="false" customHeight="false" outlineLevel="0" collapsed="false">
      <c r="A511" s="76" t="s">
        <v>2063</v>
      </c>
      <c r="B511" s="49" t="s">
        <v>2930</v>
      </c>
      <c r="C511" s="49" t="s">
        <v>2929</v>
      </c>
      <c r="D511" s="49" t="s">
        <v>2570</v>
      </c>
      <c r="E511" s="77" t="s">
        <v>2571</v>
      </c>
      <c r="F511" s="49" t="s">
        <v>2097</v>
      </c>
      <c r="G511" s="49" t="s">
        <v>2097</v>
      </c>
      <c r="H511" s="51" t="n">
        <v>6</v>
      </c>
      <c r="I511" s="51" t="n">
        <v>0</v>
      </c>
      <c r="J511" s="51" t="n">
        <v>0</v>
      </c>
      <c r="K511" s="52" t="n">
        <v>0</v>
      </c>
      <c r="L511" s="53" t="n">
        <v>26.1</v>
      </c>
      <c r="M511" s="54"/>
      <c r="N511" s="51" t="n">
        <v>0.058904</v>
      </c>
      <c r="O511" s="55" t="n">
        <v>0</v>
      </c>
      <c r="P511" s="51" t="n">
        <v>6</v>
      </c>
      <c r="Q511" s="49" t="s">
        <v>2098</v>
      </c>
      <c r="R511" s="49" t="s">
        <v>2572</v>
      </c>
      <c r="S511" s="53" t="n">
        <v>0</v>
      </c>
      <c r="T511" s="51" t="n">
        <v>1</v>
      </c>
      <c r="U511" s="56" t="n">
        <f aca="false">I511*O511</f>
        <v>0</v>
      </c>
      <c r="V511" s="56" t="n">
        <f aca="false">J511*O511</f>
        <v>0</v>
      </c>
      <c r="W511" s="56" t="n">
        <f aca="false">((I511+J511)/2)*O511</f>
        <v>0</v>
      </c>
      <c r="X511" s="56" t="n">
        <f aca="false">H511*O511</f>
        <v>0</v>
      </c>
    </row>
    <row r="512" customFormat="false" ht="22.35" hidden="false" customHeight="false" outlineLevel="0" collapsed="false">
      <c r="A512" s="76" t="s">
        <v>2063</v>
      </c>
      <c r="B512" s="7" t="s">
        <v>2931</v>
      </c>
      <c r="C512" s="7" t="s">
        <v>2932</v>
      </c>
      <c r="D512" s="7" t="s">
        <v>2570</v>
      </c>
      <c r="E512" s="77" t="s">
        <v>2571</v>
      </c>
      <c r="F512" s="7" t="s">
        <v>2097</v>
      </c>
      <c r="G512" s="7" t="s">
        <v>2097</v>
      </c>
      <c r="H512" s="9" t="n">
        <v>96</v>
      </c>
      <c r="I512" s="9" t="n">
        <v>0</v>
      </c>
      <c r="J512" s="9" t="n">
        <v>0</v>
      </c>
      <c r="K512" s="52" t="n">
        <v>0</v>
      </c>
      <c r="L512" s="58" t="n">
        <v>17.1</v>
      </c>
      <c r="M512" s="59" t="n">
        <v>91.7</v>
      </c>
      <c r="N512" s="9" t="n">
        <v>1.157534</v>
      </c>
      <c r="O512" s="8" t="n">
        <v>0</v>
      </c>
      <c r="P512" s="9" t="n">
        <v>96</v>
      </c>
      <c r="Q512" s="7" t="s">
        <v>2098</v>
      </c>
      <c r="R512" s="7" t="s">
        <v>2572</v>
      </c>
      <c r="S512" s="58" t="n">
        <v>0</v>
      </c>
      <c r="T512" s="9" t="n">
        <v>1</v>
      </c>
      <c r="U512" s="56" t="n">
        <f aca="false">I512*O512</f>
        <v>0</v>
      </c>
      <c r="V512" s="56" t="n">
        <f aca="false">J512*O512</f>
        <v>0</v>
      </c>
      <c r="W512" s="56" t="n">
        <f aca="false">((I512+J512)/2)*O512</f>
        <v>0</v>
      </c>
      <c r="X512" s="56" t="n">
        <f aca="false">H512*O512</f>
        <v>0</v>
      </c>
    </row>
    <row r="513" customFormat="false" ht="22.35" hidden="false" customHeight="false" outlineLevel="0" collapsed="false">
      <c r="A513" s="76" t="s">
        <v>2063</v>
      </c>
      <c r="B513" s="49" t="s">
        <v>2933</v>
      </c>
      <c r="C513" s="49" t="s">
        <v>2934</v>
      </c>
      <c r="D513" s="49" t="s">
        <v>2570</v>
      </c>
      <c r="E513" s="77" t="s">
        <v>2571</v>
      </c>
      <c r="F513" s="49" t="s">
        <v>2097</v>
      </c>
      <c r="G513" s="49" t="s">
        <v>2097</v>
      </c>
      <c r="H513" s="51" t="n">
        <v>32</v>
      </c>
      <c r="I513" s="51" t="n">
        <v>0</v>
      </c>
      <c r="J513" s="51" t="n">
        <v>0</v>
      </c>
      <c r="K513" s="52" t="n">
        <v>0</v>
      </c>
      <c r="L513" s="53" t="n">
        <v>26.1</v>
      </c>
      <c r="M513" s="54"/>
      <c r="N513" s="51" t="n">
        <v>0.394521</v>
      </c>
      <c r="O513" s="55" t="n">
        <v>0</v>
      </c>
      <c r="P513" s="51" t="n">
        <v>32</v>
      </c>
      <c r="Q513" s="49" t="s">
        <v>2098</v>
      </c>
      <c r="R513" s="49" t="s">
        <v>2572</v>
      </c>
      <c r="S513" s="53" t="n">
        <v>0</v>
      </c>
      <c r="T513" s="51" t="n">
        <v>1</v>
      </c>
      <c r="U513" s="56" t="n">
        <f aca="false">I513*O513</f>
        <v>0</v>
      </c>
      <c r="V513" s="56" t="n">
        <f aca="false">J513*O513</f>
        <v>0</v>
      </c>
      <c r="W513" s="56" t="n">
        <f aca="false">((I513+J513)/2)*O513</f>
        <v>0</v>
      </c>
      <c r="X513" s="56" t="n">
        <f aca="false">H513*O513</f>
        <v>0</v>
      </c>
    </row>
    <row r="514" customFormat="false" ht="22.35" hidden="false" customHeight="false" outlineLevel="0" collapsed="false">
      <c r="A514" s="76" t="s">
        <v>2063</v>
      </c>
      <c r="B514" s="7" t="s">
        <v>2935</v>
      </c>
      <c r="C514" s="7" t="s">
        <v>2934</v>
      </c>
      <c r="D514" s="7" t="s">
        <v>2570</v>
      </c>
      <c r="E514" s="77" t="s">
        <v>2571</v>
      </c>
      <c r="F514" s="7" t="s">
        <v>2097</v>
      </c>
      <c r="G514" s="7" t="s">
        <v>2097</v>
      </c>
      <c r="H514" s="9" t="n">
        <v>32</v>
      </c>
      <c r="I514" s="9" t="n">
        <v>0</v>
      </c>
      <c r="J514" s="9" t="n">
        <v>0</v>
      </c>
      <c r="K514" s="52" t="n">
        <v>0</v>
      </c>
      <c r="L514" s="58" t="n">
        <v>26.1</v>
      </c>
      <c r="M514" s="59"/>
      <c r="N514" s="9" t="n">
        <v>0.587671</v>
      </c>
      <c r="O514" s="8" t="n">
        <v>0</v>
      </c>
      <c r="P514" s="9" t="n">
        <v>32</v>
      </c>
      <c r="Q514" s="7" t="s">
        <v>2098</v>
      </c>
      <c r="R514" s="7" t="s">
        <v>2572</v>
      </c>
      <c r="S514" s="58" t="n">
        <v>0</v>
      </c>
      <c r="T514" s="9" t="n">
        <v>1</v>
      </c>
      <c r="U514" s="56" t="n">
        <f aca="false">I514*O514</f>
        <v>0</v>
      </c>
      <c r="V514" s="56" t="n">
        <f aca="false">J514*O514</f>
        <v>0</v>
      </c>
      <c r="W514" s="56" t="n">
        <f aca="false">((I514+J514)/2)*O514</f>
        <v>0</v>
      </c>
      <c r="X514" s="56" t="n">
        <f aca="false">H514*O514</f>
        <v>0</v>
      </c>
    </row>
    <row r="515" customFormat="false" ht="22.35" hidden="false" customHeight="false" outlineLevel="0" collapsed="false">
      <c r="A515" s="76" t="s">
        <v>2063</v>
      </c>
      <c r="B515" s="49" t="s">
        <v>2936</v>
      </c>
      <c r="C515" s="49" t="s">
        <v>2937</v>
      </c>
      <c r="D515" s="49" t="s">
        <v>2570</v>
      </c>
      <c r="E515" s="77" t="s">
        <v>2571</v>
      </c>
      <c r="F515" s="49" t="s">
        <v>2097</v>
      </c>
      <c r="G515" s="49" t="s">
        <v>2097</v>
      </c>
      <c r="H515" s="51" t="n">
        <v>32</v>
      </c>
      <c r="I515" s="51" t="n">
        <v>0</v>
      </c>
      <c r="J515" s="51" t="n">
        <v>0</v>
      </c>
      <c r="K515" s="52" t="n">
        <v>0</v>
      </c>
      <c r="L515" s="53" t="n">
        <v>26.1</v>
      </c>
      <c r="M515" s="54"/>
      <c r="N515" s="51" t="n">
        <v>0.427397</v>
      </c>
      <c r="O515" s="55" t="n">
        <v>0</v>
      </c>
      <c r="P515" s="51" t="n">
        <v>32</v>
      </c>
      <c r="Q515" s="49" t="s">
        <v>2098</v>
      </c>
      <c r="R515" s="49" t="s">
        <v>2572</v>
      </c>
      <c r="S515" s="53" t="n">
        <v>0</v>
      </c>
      <c r="T515" s="51" t="n">
        <v>1</v>
      </c>
      <c r="U515" s="56" t="n">
        <f aca="false">I515*O515</f>
        <v>0</v>
      </c>
      <c r="V515" s="56" t="n">
        <f aca="false">J515*O515</f>
        <v>0</v>
      </c>
      <c r="W515" s="56" t="n">
        <f aca="false">((I515+J515)/2)*O515</f>
        <v>0</v>
      </c>
      <c r="X515" s="56" t="n">
        <f aca="false">H515*O515</f>
        <v>0</v>
      </c>
    </row>
    <row r="516" customFormat="false" ht="22.35" hidden="false" customHeight="false" outlineLevel="0" collapsed="false">
      <c r="A516" s="76" t="s">
        <v>2063</v>
      </c>
      <c r="B516" s="7" t="s">
        <v>2938</v>
      </c>
      <c r="C516" s="7" t="s">
        <v>2937</v>
      </c>
      <c r="D516" s="7" t="s">
        <v>2570</v>
      </c>
      <c r="E516" s="77" t="s">
        <v>2571</v>
      </c>
      <c r="F516" s="7" t="s">
        <v>2097</v>
      </c>
      <c r="G516" s="7" t="s">
        <v>2097</v>
      </c>
      <c r="H516" s="9" t="n">
        <v>40</v>
      </c>
      <c r="I516" s="9" t="n">
        <v>0</v>
      </c>
      <c r="J516" s="9" t="n">
        <v>0</v>
      </c>
      <c r="K516" s="52" t="n">
        <v>0</v>
      </c>
      <c r="L516" s="58" t="n">
        <v>26.1</v>
      </c>
      <c r="M516" s="59"/>
      <c r="N516" s="9" t="n">
        <v>0.538356</v>
      </c>
      <c r="O516" s="8" t="n">
        <v>0</v>
      </c>
      <c r="P516" s="9" t="n">
        <v>40</v>
      </c>
      <c r="Q516" s="7" t="s">
        <v>2098</v>
      </c>
      <c r="R516" s="7" t="s">
        <v>2572</v>
      </c>
      <c r="S516" s="58" t="n">
        <v>0</v>
      </c>
      <c r="T516" s="9" t="n">
        <v>1</v>
      </c>
      <c r="U516" s="56" t="n">
        <f aca="false">I516*O516</f>
        <v>0</v>
      </c>
      <c r="V516" s="56" t="n">
        <f aca="false">J516*O516</f>
        <v>0</v>
      </c>
      <c r="W516" s="56" t="n">
        <f aca="false">((I516+J516)/2)*O516</f>
        <v>0</v>
      </c>
      <c r="X516" s="56" t="n">
        <f aca="false">H516*O516</f>
        <v>0</v>
      </c>
    </row>
    <row r="517" customFormat="false" ht="22.35" hidden="false" customHeight="false" outlineLevel="0" collapsed="false">
      <c r="A517" s="76" t="s">
        <v>2063</v>
      </c>
      <c r="B517" s="49" t="s">
        <v>2939</v>
      </c>
      <c r="C517" s="49" t="s">
        <v>2940</v>
      </c>
      <c r="D517" s="49" t="s">
        <v>2570</v>
      </c>
      <c r="E517" s="77" t="s">
        <v>2571</v>
      </c>
      <c r="F517" s="49" t="s">
        <v>2097</v>
      </c>
      <c r="G517" s="49" t="s">
        <v>2097</v>
      </c>
      <c r="H517" s="51" t="n">
        <v>96</v>
      </c>
      <c r="I517" s="51" t="n">
        <v>0</v>
      </c>
      <c r="J517" s="51" t="n">
        <v>0</v>
      </c>
      <c r="K517" s="52" t="n">
        <v>0</v>
      </c>
      <c r="L517" s="53" t="n">
        <v>26.1</v>
      </c>
      <c r="M517" s="54"/>
      <c r="N517" s="51" t="n">
        <v>0.712329</v>
      </c>
      <c r="O517" s="55" t="n">
        <v>0</v>
      </c>
      <c r="P517" s="51" t="n">
        <v>96</v>
      </c>
      <c r="Q517" s="49" t="s">
        <v>2098</v>
      </c>
      <c r="R517" s="49" t="s">
        <v>2572</v>
      </c>
      <c r="S517" s="53" t="n">
        <v>0</v>
      </c>
      <c r="T517" s="51" t="n">
        <v>1</v>
      </c>
      <c r="U517" s="56" t="n">
        <f aca="false">I517*O517</f>
        <v>0</v>
      </c>
      <c r="V517" s="56" t="n">
        <f aca="false">J517*O517</f>
        <v>0</v>
      </c>
      <c r="W517" s="56" t="n">
        <f aca="false">((I517+J517)/2)*O517</f>
        <v>0</v>
      </c>
      <c r="X517" s="56" t="n">
        <f aca="false">H517*O517</f>
        <v>0</v>
      </c>
    </row>
    <row r="518" customFormat="false" ht="22.35" hidden="false" customHeight="false" outlineLevel="0" collapsed="false">
      <c r="A518" s="76" t="s">
        <v>2063</v>
      </c>
      <c r="B518" s="7" t="s">
        <v>2941</v>
      </c>
      <c r="C518" s="7" t="s">
        <v>2940</v>
      </c>
      <c r="D518" s="7" t="s">
        <v>2570</v>
      </c>
      <c r="E518" s="77" t="s">
        <v>2571</v>
      </c>
      <c r="F518" s="7" t="s">
        <v>2097</v>
      </c>
      <c r="G518" s="7" t="s">
        <v>2097</v>
      </c>
      <c r="H518" s="9" t="n">
        <v>112</v>
      </c>
      <c r="I518" s="9" t="n">
        <v>0</v>
      </c>
      <c r="J518" s="9" t="n">
        <v>0</v>
      </c>
      <c r="K518" s="52" t="n">
        <v>0</v>
      </c>
      <c r="L518" s="58" t="n">
        <v>26.1</v>
      </c>
      <c r="M518" s="59"/>
      <c r="N518" s="9" t="n">
        <v>1.290411</v>
      </c>
      <c r="O518" s="8" t="n">
        <v>0</v>
      </c>
      <c r="P518" s="9" t="n">
        <v>112</v>
      </c>
      <c r="Q518" s="7" t="s">
        <v>2098</v>
      </c>
      <c r="R518" s="7" t="s">
        <v>2572</v>
      </c>
      <c r="S518" s="58" t="n">
        <v>0</v>
      </c>
      <c r="T518" s="9" t="n">
        <v>1</v>
      </c>
      <c r="U518" s="56" t="n">
        <f aca="false">I518*O518</f>
        <v>0</v>
      </c>
      <c r="V518" s="56" t="n">
        <f aca="false">J518*O518</f>
        <v>0</v>
      </c>
      <c r="W518" s="56" t="n">
        <f aca="false">((I518+J518)/2)*O518</f>
        <v>0</v>
      </c>
      <c r="X518" s="56" t="n">
        <f aca="false">H518*O518</f>
        <v>0</v>
      </c>
    </row>
    <row r="519" customFormat="false" ht="22.35" hidden="false" customHeight="false" outlineLevel="0" collapsed="false">
      <c r="A519" s="76" t="s">
        <v>2063</v>
      </c>
      <c r="B519" s="49" t="s">
        <v>2942</v>
      </c>
      <c r="C519" s="49" t="s">
        <v>2943</v>
      </c>
      <c r="D519" s="49" t="s">
        <v>2570</v>
      </c>
      <c r="E519" s="77" t="s">
        <v>2571</v>
      </c>
      <c r="F519" s="49" t="s">
        <v>2097</v>
      </c>
      <c r="G519" s="49" t="s">
        <v>2097</v>
      </c>
      <c r="H519" s="51" t="n">
        <v>72</v>
      </c>
      <c r="I519" s="51" t="n">
        <v>0</v>
      </c>
      <c r="J519" s="51" t="n">
        <v>0</v>
      </c>
      <c r="K519" s="52" t="n">
        <v>0</v>
      </c>
      <c r="L519" s="53" t="n">
        <v>26.1</v>
      </c>
      <c r="M519" s="54"/>
      <c r="N519" s="51" t="n">
        <v>0.721918</v>
      </c>
      <c r="O519" s="55" t="n">
        <v>0</v>
      </c>
      <c r="P519" s="51" t="n">
        <v>72</v>
      </c>
      <c r="Q519" s="49" t="s">
        <v>2098</v>
      </c>
      <c r="R519" s="49" t="s">
        <v>2572</v>
      </c>
      <c r="S519" s="53" t="n">
        <v>0</v>
      </c>
      <c r="T519" s="51" t="n">
        <v>1</v>
      </c>
      <c r="U519" s="56" t="n">
        <f aca="false">I519*O519</f>
        <v>0</v>
      </c>
      <c r="V519" s="56" t="n">
        <f aca="false">J519*O519</f>
        <v>0</v>
      </c>
      <c r="W519" s="56" t="n">
        <f aca="false">((I519+J519)/2)*O519</f>
        <v>0</v>
      </c>
      <c r="X519" s="56" t="n">
        <f aca="false">H519*O519</f>
        <v>0</v>
      </c>
    </row>
    <row r="520" customFormat="false" ht="22.35" hidden="false" customHeight="false" outlineLevel="0" collapsed="false">
      <c r="A520" s="76" t="s">
        <v>2063</v>
      </c>
      <c r="B520" s="7" t="s">
        <v>2944</v>
      </c>
      <c r="C520" s="7" t="s">
        <v>2943</v>
      </c>
      <c r="D520" s="7" t="s">
        <v>2570</v>
      </c>
      <c r="E520" s="77" t="s">
        <v>2571</v>
      </c>
      <c r="F520" s="7" t="s">
        <v>2097</v>
      </c>
      <c r="G520" s="7" t="s">
        <v>2097</v>
      </c>
      <c r="H520" s="9" t="n">
        <v>36</v>
      </c>
      <c r="I520" s="9" t="n">
        <v>0</v>
      </c>
      <c r="J520" s="9" t="n">
        <v>0</v>
      </c>
      <c r="K520" s="52" t="n">
        <v>0</v>
      </c>
      <c r="L520" s="58" t="n">
        <v>26.1</v>
      </c>
      <c r="M520" s="59"/>
      <c r="N520" s="9" t="n">
        <v>0.460274</v>
      </c>
      <c r="O520" s="8" t="n">
        <v>0</v>
      </c>
      <c r="P520" s="9" t="n">
        <v>36</v>
      </c>
      <c r="Q520" s="7" t="s">
        <v>2098</v>
      </c>
      <c r="R520" s="7" t="s">
        <v>2572</v>
      </c>
      <c r="S520" s="58" t="n">
        <v>0</v>
      </c>
      <c r="T520" s="9" t="n">
        <v>1</v>
      </c>
      <c r="U520" s="56" t="n">
        <f aca="false">I520*O520</f>
        <v>0</v>
      </c>
      <c r="V520" s="56" t="n">
        <f aca="false">J520*O520</f>
        <v>0</v>
      </c>
      <c r="W520" s="56" t="n">
        <f aca="false">((I520+J520)/2)*O520</f>
        <v>0</v>
      </c>
      <c r="X520" s="56" t="n">
        <f aca="false">H520*O520</f>
        <v>0</v>
      </c>
    </row>
    <row r="521" customFormat="false" ht="22.35" hidden="false" customHeight="false" outlineLevel="0" collapsed="false">
      <c r="A521" s="76" t="s">
        <v>2063</v>
      </c>
      <c r="B521" s="49" t="s">
        <v>2945</v>
      </c>
      <c r="C521" s="49" t="s">
        <v>2946</v>
      </c>
      <c r="D521" s="49" t="s">
        <v>2570</v>
      </c>
      <c r="E521" s="77" t="s">
        <v>2571</v>
      </c>
      <c r="F521" s="49" t="s">
        <v>2097</v>
      </c>
      <c r="G521" s="49" t="s">
        <v>2097</v>
      </c>
      <c r="H521" s="51" t="n">
        <v>54</v>
      </c>
      <c r="I521" s="51" t="n">
        <v>0</v>
      </c>
      <c r="J521" s="51" t="n">
        <v>0</v>
      </c>
      <c r="K521" s="52" t="n">
        <v>0</v>
      </c>
      <c r="L521" s="53" t="n">
        <v>26.1</v>
      </c>
      <c r="M521" s="54"/>
      <c r="N521" s="51" t="n">
        <v>0.790411</v>
      </c>
      <c r="O521" s="55" t="n">
        <v>0</v>
      </c>
      <c r="P521" s="51" t="n">
        <v>54</v>
      </c>
      <c r="Q521" s="49" t="s">
        <v>2098</v>
      </c>
      <c r="R521" s="49" t="s">
        <v>2572</v>
      </c>
      <c r="S521" s="53" t="n">
        <v>0</v>
      </c>
      <c r="T521" s="51" t="n">
        <v>1</v>
      </c>
      <c r="U521" s="56" t="n">
        <f aca="false">I521*O521</f>
        <v>0</v>
      </c>
      <c r="V521" s="56" t="n">
        <f aca="false">J521*O521</f>
        <v>0</v>
      </c>
      <c r="W521" s="56" t="n">
        <f aca="false">((I521+J521)/2)*O521</f>
        <v>0</v>
      </c>
      <c r="X521" s="56" t="n">
        <f aca="false">H521*O521</f>
        <v>0</v>
      </c>
    </row>
    <row r="522" customFormat="false" ht="22.35" hidden="false" customHeight="false" outlineLevel="0" collapsed="false">
      <c r="A522" s="76" t="s">
        <v>2063</v>
      </c>
      <c r="B522" s="7" t="s">
        <v>2947</v>
      </c>
      <c r="C522" s="7" t="s">
        <v>2946</v>
      </c>
      <c r="D522" s="7" t="s">
        <v>2570</v>
      </c>
      <c r="E522" s="77" t="s">
        <v>2571</v>
      </c>
      <c r="F522" s="7" t="s">
        <v>2097</v>
      </c>
      <c r="G522" s="7" t="s">
        <v>2097</v>
      </c>
      <c r="H522" s="9" t="n">
        <v>16</v>
      </c>
      <c r="I522" s="9" t="n">
        <v>0</v>
      </c>
      <c r="J522" s="9" t="n">
        <v>0</v>
      </c>
      <c r="K522" s="52" t="n">
        <v>0</v>
      </c>
      <c r="L522" s="58" t="n">
        <v>26.1</v>
      </c>
      <c r="M522" s="59"/>
      <c r="N522" s="9" t="n">
        <v>0.238356</v>
      </c>
      <c r="O522" s="8" t="n">
        <v>0</v>
      </c>
      <c r="P522" s="9" t="n">
        <v>16</v>
      </c>
      <c r="Q522" s="7" t="s">
        <v>2098</v>
      </c>
      <c r="R522" s="7" t="s">
        <v>2572</v>
      </c>
      <c r="S522" s="58" t="n">
        <v>0</v>
      </c>
      <c r="T522" s="9" t="n">
        <v>1</v>
      </c>
      <c r="U522" s="56" t="n">
        <f aca="false">I522*O522</f>
        <v>0</v>
      </c>
      <c r="V522" s="56" t="n">
        <f aca="false">J522*O522</f>
        <v>0</v>
      </c>
      <c r="W522" s="56" t="n">
        <f aca="false">((I522+J522)/2)*O522</f>
        <v>0</v>
      </c>
      <c r="X522" s="56" t="n">
        <f aca="false">H522*O522</f>
        <v>0</v>
      </c>
    </row>
    <row r="523" customFormat="false" ht="22.35" hidden="false" customHeight="false" outlineLevel="0" collapsed="false">
      <c r="A523" s="76" t="s">
        <v>2063</v>
      </c>
      <c r="B523" s="49" t="s">
        <v>2948</v>
      </c>
      <c r="C523" s="49" t="s">
        <v>2949</v>
      </c>
      <c r="D523" s="49" t="s">
        <v>2570</v>
      </c>
      <c r="E523" s="77" t="s">
        <v>2571</v>
      </c>
      <c r="F523" s="49" t="s">
        <v>2097</v>
      </c>
      <c r="G523" s="49" t="s">
        <v>2097</v>
      </c>
      <c r="H523" s="51" t="n">
        <v>72</v>
      </c>
      <c r="I523" s="51" t="n">
        <v>0</v>
      </c>
      <c r="J523" s="51" t="n">
        <v>0</v>
      </c>
      <c r="K523" s="52" t="n">
        <v>0</v>
      </c>
      <c r="L523" s="53" t="n">
        <v>26.1</v>
      </c>
      <c r="M523" s="54"/>
      <c r="N523" s="51" t="n">
        <v>0.857534</v>
      </c>
      <c r="O523" s="55" t="n">
        <v>0</v>
      </c>
      <c r="P523" s="51" t="n">
        <v>72</v>
      </c>
      <c r="Q523" s="49" t="s">
        <v>2098</v>
      </c>
      <c r="R523" s="49" t="s">
        <v>2572</v>
      </c>
      <c r="S523" s="53" t="n">
        <v>0</v>
      </c>
      <c r="T523" s="51" t="n">
        <v>1</v>
      </c>
      <c r="U523" s="56" t="n">
        <f aca="false">I523*O523</f>
        <v>0</v>
      </c>
      <c r="V523" s="56" t="n">
        <f aca="false">J523*O523</f>
        <v>0</v>
      </c>
      <c r="W523" s="56" t="n">
        <f aca="false">((I523+J523)/2)*O523</f>
        <v>0</v>
      </c>
      <c r="X523" s="56" t="n">
        <f aca="false">H523*O523</f>
        <v>0</v>
      </c>
    </row>
    <row r="524" customFormat="false" ht="22.35" hidden="false" customHeight="false" outlineLevel="0" collapsed="false">
      <c r="A524" s="76" t="s">
        <v>2063</v>
      </c>
      <c r="B524" s="7" t="s">
        <v>2950</v>
      </c>
      <c r="C524" s="7" t="s">
        <v>2949</v>
      </c>
      <c r="D524" s="7" t="s">
        <v>2570</v>
      </c>
      <c r="E524" s="77" t="s">
        <v>2571</v>
      </c>
      <c r="F524" s="7" t="s">
        <v>2097</v>
      </c>
      <c r="G524" s="7" t="s">
        <v>2097</v>
      </c>
      <c r="H524" s="9" t="n">
        <v>32</v>
      </c>
      <c r="I524" s="9" t="n">
        <v>0</v>
      </c>
      <c r="J524" s="9" t="n">
        <v>0</v>
      </c>
      <c r="K524" s="52" t="n">
        <v>0</v>
      </c>
      <c r="L524" s="58" t="n">
        <v>26.1</v>
      </c>
      <c r="M524" s="59"/>
      <c r="N524" s="9" t="n">
        <v>0.489041</v>
      </c>
      <c r="O524" s="8" t="n">
        <v>0</v>
      </c>
      <c r="P524" s="9" t="n">
        <v>32</v>
      </c>
      <c r="Q524" s="7" t="s">
        <v>2098</v>
      </c>
      <c r="R524" s="7" t="s">
        <v>2572</v>
      </c>
      <c r="S524" s="58" t="n">
        <v>0</v>
      </c>
      <c r="T524" s="9" t="n">
        <v>1</v>
      </c>
      <c r="U524" s="56" t="n">
        <f aca="false">I524*O524</f>
        <v>0</v>
      </c>
      <c r="V524" s="56" t="n">
        <f aca="false">J524*O524</f>
        <v>0</v>
      </c>
      <c r="W524" s="56" t="n">
        <f aca="false">((I524+J524)/2)*O524</f>
        <v>0</v>
      </c>
      <c r="X524" s="56" t="n">
        <f aca="false">H524*O524</f>
        <v>0</v>
      </c>
    </row>
    <row r="525" customFormat="false" ht="22.35" hidden="false" customHeight="false" outlineLevel="0" collapsed="false">
      <c r="A525" s="76" t="s">
        <v>2063</v>
      </c>
      <c r="B525" s="49" t="s">
        <v>2951</v>
      </c>
      <c r="C525" s="49" t="s">
        <v>2952</v>
      </c>
      <c r="D525" s="49" t="s">
        <v>2570</v>
      </c>
      <c r="E525" s="77" t="s">
        <v>2571</v>
      </c>
      <c r="F525" s="49" t="s">
        <v>2097</v>
      </c>
      <c r="G525" s="49" t="s">
        <v>2097</v>
      </c>
      <c r="H525" s="51" t="n">
        <v>96</v>
      </c>
      <c r="I525" s="51" t="n">
        <v>0</v>
      </c>
      <c r="J525" s="51" t="n">
        <v>0</v>
      </c>
      <c r="K525" s="52" t="n">
        <v>0</v>
      </c>
      <c r="L525" s="53" t="n">
        <v>26.1</v>
      </c>
      <c r="M525" s="54"/>
      <c r="N525" s="51" t="n">
        <v>1.534247</v>
      </c>
      <c r="O525" s="55" t="n">
        <v>0</v>
      </c>
      <c r="P525" s="51" t="n">
        <v>96</v>
      </c>
      <c r="Q525" s="49" t="s">
        <v>2098</v>
      </c>
      <c r="R525" s="49" t="s">
        <v>2572</v>
      </c>
      <c r="S525" s="53" t="n">
        <v>0</v>
      </c>
      <c r="T525" s="51" t="n">
        <v>1</v>
      </c>
      <c r="U525" s="56" t="n">
        <f aca="false">I525*O525</f>
        <v>0</v>
      </c>
      <c r="V525" s="56" t="n">
        <f aca="false">J525*O525</f>
        <v>0</v>
      </c>
      <c r="W525" s="56" t="n">
        <f aca="false">((I525+J525)/2)*O525</f>
        <v>0</v>
      </c>
      <c r="X525" s="56" t="n">
        <f aca="false">H525*O525</f>
        <v>0</v>
      </c>
    </row>
    <row r="526" customFormat="false" ht="22.35" hidden="false" customHeight="false" outlineLevel="0" collapsed="false">
      <c r="A526" s="76" t="s">
        <v>2063</v>
      </c>
      <c r="B526" s="7" t="s">
        <v>2953</v>
      </c>
      <c r="C526" s="7" t="s">
        <v>2952</v>
      </c>
      <c r="D526" s="7" t="s">
        <v>2570</v>
      </c>
      <c r="E526" s="77" t="s">
        <v>2571</v>
      </c>
      <c r="F526" s="7" t="s">
        <v>2097</v>
      </c>
      <c r="G526" s="7" t="s">
        <v>2097</v>
      </c>
      <c r="H526" s="9" t="n">
        <v>48</v>
      </c>
      <c r="I526" s="9" t="n">
        <v>0</v>
      </c>
      <c r="J526" s="9" t="n">
        <v>0</v>
      </c>
      <c r="K526" s="52" t="n">
        <v>0</v>
      </c>
      <c r="L526" s="58" t="n">
        <v>26.1</v>
      </c>
      <c r="M526" s="59"/>
      <c r="N526" s="9" t="n">
        <v>0.708219</v>
      </c>
      <c r="O526" s="8" t="n">
        <v>0</v>
      </c>
      <c r="P526" s="9" t="n">
        <v>48</v>
      </c>
      <c r="Q526" s="7" t="s">
        <v>2098</v>
      </c>
      <c r="R526" s="7" t="s">
        <v>2572</v>
      </c>
      <c r="S526" s="58" t="n">
        <v>0</v>
      </c>
      <c r="T526" s="9" t="n">
        <v>1</v>
      </c>
      <c r="U526" s="56" t="n">
        <f aca="false">I526*O526</f>
        <v>0</v>
      </c>
      <c r="V526" s="56" t="n">
        <f aca="false">J526*O526</f>
        <v>0</v>
      </c>
      <c r="W526" s="56" t="n">
        <f aca="false">((I526+J526)/2)*O526</f>
        <v>0</v>
      </c>
      <c r="X526" s="56" t="n">
        <f aca="false">H526*O526</f>
        <v>0</v>
      </c>
    </row>
    <row r="527" customFormat="false" ht="22.35" hidden="false" customHeight="false" outlineLevel="0" collapsed="false">
      <c r="A527" s="76" t="s">
        <v>2063</v>
      </c>
      <c r="B527" s="49" t="s">
        <v>2954</v>
      </c>
      <c r="C527" s="49" t="s">
        <v>2955</v>
      </c>
      <c r="D527" s="49" t="s">
        <v>2570</v>
      </c>
      <c r="E527" s="77" t="s">
        <v>2571</v>
      </c>
      <c r="F527" s="49" t="s">
        <v>2097</v>
      </c>
      <c r="G527" s="49" t="s">
        <v>2097</v>
      </c>
      <c r="H527" s="51" t="n">
        <v>288</v>
      </c>
      <c r="I527" s="51" t="n">
        <v>0</v>
      </c>
      <c r="J527" s="51" t="n">
        <v>0</v>
      </c>
      <c r="K527" s="52" t="n">
        <v>0</v>
      </c>
      <c r="L527" s="53" t="n">
        <v>26.1</v>
      </c>
      <c r="M527" s="54"/>
      <c r="N527" s="51" t="n">
        <v>4.284932</v>
      </c>
      <c r="O527" s="55" t="n">
        <v>0</v>
      </c>
      <c r="P527" s="51" t="n">
        <v>288</v>
      </c>
      <c r="Q527" s="49" t="s">
        <v>2098</v>
      </c>
      <c r="R527" s="49" t="s">
        <v>2572</v>
      </c>
      <c r="S527" s="53" t="n">
        <v>0</v>
      </c>
      <c r="T527" s="51" t="n">
        <v>1</v>
      </c>
      <c r="U527" s="56" t="n">
        <f aca="false">I527*O527</f>
        <v>0</v>
      </c>
      <c r="V527" s="56" t="n">
        <f aca="false">J527*O527</f>
        <v>0</v>
      </c>
      <c r="W527" s="56" t="n">
        <f aca="false">((I527+J527)/2)*O527</f>
        <v>0</v>
      </c>
      <c r="X527" s="56" t="n">
        <f aca="false">H527*O527</f>
        <v>0</v>
      </c>
    </row>
    <row r="528" customFormat="false" ht="22.35" hidden="false" customHeight="false" outlineLevel="0" collapsed="false">
      <c r="A528" s="76" t="s">
        <v>2063</v>
      </c>
      <c r="B528" s="7" t="s">
        <v>2956</v>
      </c>
      <c r="C528" s="7" t="s">
        <v>2955</v>
      </c>
      <c r="D528" s="7" t="s">
        <v>2570</v>
      </c>
      <c r="E528" s="77" t="s">
        <v>2571</v>
      </c>
      <c r="F528" s="7" t="s">
        <v>2097</v>
      </c>
      <c r="G528" s="7" t="s">
        <v>2097</v>
      </c>
      <c r="H528" s="9" t="n">
        <v>144</v>
      </c>
      <c r="I528" s="9" t="n">
        <v>0</v>
      </c>
      <c r="J528" s="9" t="n">
        <v>0</v>
      </c>
      <c r="K528" s="52" t="n">
        <v>0</v>
      </c>
      <c r="L528" s="58" t="n">
        <v>26.1</v>
      </c>
      <c r="M528" s="59"/>
      <c r="N528" s="9" t="n">
        <v>1.678082</v>
      </c>
      <c r="O528" s="8" t="n">
        <v>0</v>
      </c>
      <c r="P528" s="9" t="n">
        <v>144</v>
      </c>
      <c r="Q528" s="7" t="s">
        <v>2098</v>
      </c>
      <c r="R528" s="7" t="s">
        <v>2572</v>
      </c>
      <c r="S528" s="58" t="n">
        <v>0</v>
      </c>
      <c r="T528" s="9" t="n">
        <v>1</v>
      </c>
      <c r="U528" s="56" t="n">
        <f aca="false">I528*O528</f>
        <v>0</v>
      </c>
      <c r="V528" s="56" t="n">
        <f aca="false">J528*O528</f>
        <v>0</v>
      </c>
      <c r="W528" s="56" t="n">
        <f aca="false">((I528+J528)/2)*O528</f>
        <v>0</v>
      </c>
      <c r="X528" s="56" t="n">
        <f aca="false">H528*O528</f>
        <v>0</v>
      </c>
    </row>
    <row r="529" customFormat="false" ht="22.35" hidden="false" customHeight="false" outlineLevel="0" collapsed="false">
      <c r="A529" s="76" t="s">
        <v>2063</v>
      </c>
      <c r="B529" s="49" t="s">
        <v>2957</v>
      </c>
      <c r="C529" s="49" t="s">
        <v>2958</v>
      </c>
      <c r="D529" s="49" t="s">
        <v>2570</v>
      </c>
      <c r="E529" s="77" t="s">
        <v>2571</v>
      </c>
      <c r="F529" s="49" t="s">
        <v>2097</v>
      </c>
      <c r="G529" s="49" t="s">
        <v>2097</v>
      </c>
      <c r="H529" s="51" t="n">
        <v>336</v>
      </c>
      <c r="I529" s="51" t="n">
        <v>0</v>
      </c>
      <c r="J529" s="51" t="n">
        <v>0</v>
      </c>
      <c r="K529" s="52" t="n">
        <v>0</v>
      </c>
      <c r="L529" s="53" t="n">
        <v>26.1</v>
      </c>
      <c r="M529" s="54"/>
      <c r="N529" s="51" t="n">
        <v>6.045205</v>
      </c>
      <c r="O529" s="55" t="n">
        <v>0</v>
      </c>
      <c r="P529" s="51" t="n">
        <v>336</v>
      </c>
      <c r="Q529" s="49" t="s">
        <v>2098</v>
      </c>
      <c r="R529" s="49" t="s">
        <v>2572</v>
      </c>
      <c r="S529" s="53" t="n">
        <v>0</v>
      </c>
      <c r="T529" s="51" t="n">
        <v>1</v>
      </c>
      <c r="U529" s="56" t="n">
        <f aca="false">I529*O529</f>
        <v>0</v>
      </c>
      <c r="V529" s="56" t="n">
        <f aca="false">J529*O529</f>
        <v>0</v>
      </c>
      <c r="W529" s="56" t="n">
        <f aca="false">((I529+J529)/2)*O529</f>
        <v>0</v>
      </c>
      <c r="X529" s="56" t="n">
        <f aca="false">H529*O529</f>
        <v>0</v>
      </c>
    </row>
    <row r="530" customFormat="false" ht="22.35" hidden="false" customHeight="false" outlineLevel="0" collapsed="false">
      <c r="A530" s="76" t="s">
        <v>2063</v>
      </c>
      <c r="B530" s="7" t="s">
        <v>2959</v>
      </c>
      <c r="C530" s="7" t="s">
        <v>2958</v>
      </c>
      <c r="D530" s="7" t="s">
        <v>2570</v>
      </c>
      <c r="E530" s="77" t="s">
        <v>2571</v>
      </c>
      <c r="F530" s="7" t="s">
        <v>2097</v>
      </c>
      <c r="G530" s="7" t="s">
        <v>2097</v>
      </c>
      <c r="H530" s="9" t="n">
        <v>192</v>
      </c>
      <c r="I530" s="9" t="n">
        <v>0</v>
      </c>
      <c r="J530" s="9" t="n">
        <v>0</v>
      </c>
      <c r="K530" s="52" t="n">
        <v>0</v>
      </c>
      <c r="L530" s="58" t="n">
        <v>26.1</v>
      </c>
      <c r="M530" s="59"/>
      <c r="N530" s="9" t="n">
        <v>2.432877</v>
      </c>
      <c r="O530" s="8" t="n">
        <v>0</v>
      </c>
      <c r="P530" s="9" t="n">
        <v>192</v>
      </c>
      <c r="Q530" s="7" t="s">
        <v>2098</v>
      </c>
      <c r="R530" s="7" t="s">
        <v>2572</v>
      </c>
      <c r="S530" s="58" t="n">
        <v>0</v>
      </c>
      <c r="T530" s="9" t="n">
        <v>1</v>
      </c>
      <c r="U530" s="56" t="n">
        <f aca="false">I530*O530</f>
        <v>0</v>
      </c>
      <c r="V530" s="56" t="n">
        <f aca="false">J530*O530</f>
        <v>0</v>
      </c>
      <c r="W530" s="56" t="n">
        <f aca="false">((I530+J530)/2)*O530</f>
        <v>0</v>
      </c>
      <c r="X530" s="56" t="n">
        <f aca="false">H530*O530</f>
        <v>0</v>
      </c>
    </row>
    <row r="531" customFormat="false" ht="22.35" hidden="false" customHeight="false" outlineLevel="0" collapsed="false">
      <c r="A531" s="76" t="s">
        <v>2063</v>
      </c>
      <c r="B531" s="49" t="s">
        <v>2960</v>
      </c>
      <c r="C531" s="49" t="s">
        <v>2961</v>
      </c>
      <c r="D531" s="49" t="s">
        <v>2570</v>
      </c>
      <c r="E531" s="77" t="s">
        <v>2571</v>
      </c>
      <c r="F531" s="49" t="s">
        <v>2097</v>
      </c>
      <c r="G531" s="49" t="s">
        <v>2097</v>
      </c>
      <c r="H531" s="51" t="n">
        <v>192</v>
      </c>
      <c r="I531" s="51" t="n">
        <v>0</v>
      </c>
      <c r="J531" s="51" t="n">
        <v>0</v>
      </c>
      <c r="K531" s="52" t="n">
        <v>0</v>
      </c>
      <c r="L531" s="53" t="n">
        <v>26.1</v>
      </c>
      <c r="M531" s="54"/>
      <c r="N531" s="51" t="n">
        <v>2.276712</v>
      </c>
      <c r="O531" s="55" t="n">
        <v>0</v>
      </c>
      <c r="P531" s="51" t="n">
        <v>192</v>
      </c>
      <c r="Q531" s="49" t="s">
        <v>2098</v>
      </c>
      <c r="R531" s="49" t="s">
        <v>2572</v>
      </c>
      <c r="S531" s="53" t="n">
        <v>0</v>
      </c>
      <c r="T531" s="51" t="n">
        <v>1</v>
      </c>
      <c r="U531" s="56" t="n">
        <f aca="false">I531*O531</f>
        <v>0</v>
      </c>
      <c r="V531" s="56" t="n">
        <f aca="false">J531*O531</f>
        <v>0</v>
      </c>
      <c r="W531" s="56" t="n">
        <f aca="false">((I531+J531)/2)*O531</f>
        <v>0</v>
      </c>
      <c r="X531" s="56" t="n">
        <f aca="false">H531*O531</f>
        <v>0</v>
      </c>
    </row>
    <row r="532" customFormat="false" ht="22.35" hidden="false" customHeight="false" outlineLevel="0" collapsed="false">
      <c r="A532" s="76" t="s">
        <v>2063</v>
      </c>
      <c r="B532" s="7" t="s">
        <v>2962</v>
      </c>
      <c r="C532" s="7" t="s">
        <v>2961</v>
      </c>
      <c r="D532" s="7" t="s">
        <v>2570</v>
      </c>
      <c r="E532" s="77" t="s">
        <v>2571</v>
      </c>
      <c r="F532" s="7" t="s">
        <v>2097</v>
      </c>
      <c r="G532" s="7" t="s">
        <v>2097</v>
      </c>
      <c r="H532" s="9" t="n">
        <v>288</v>
      </c>
      <c r="I532" s="9" t="n">
        <v>0</v>
      </c>
      <c r="J532" s="9" t="n">
        <v>0</v>
      </c>
      <c r="K532" s="52" t="n">
        <v>0</v>
      </c>
      <c r="L532" s="58" t="n">
        <v>26.1</v>
      </c>
      <c r="M532" s="59"/>
      <c r="N532" s="9" t="n">
        <v>3.683562</v>
      </c>
      <c r="O532" s="8" t="n">
        <v>0</v>
      </c>
      <c r="P532" s="9" t="n">
        <v>288</v>
      </c>
      <c r="Q532" s="7" t="s">
        <v>2098</v>
      </c>
      <c r="R532" s="7" t="s">
        <v>2572</v>
      </c>
      <c r="S532" s="58" t="n">
        <v>0</v>
      </c>
      <c r="T532" s="9" t="n">
        <v>1</v>
      </c>
      <c r="U532" s="56" t="n">
        <f aca="false">I532*O532</f>
        <v>0</v>
      </c>
      <c r="V532" s="56" t="n">
        <f aca="false">J532*O532</f>
        <v>0</v>
      </c>
      <c r="W532" s="56" t="n">
        <f aca="false">((I532+J532)/2)*O532</f>
        <v>0</v>
      </c>
      <c r="X532" s="56" t="n">
        <f aca="false">H532*O532</f>
        <v>0</v>
      </c>
    </row>
    <row r="533" customFormat="false" ht="22.35" hidden="false" customHeight="false" outlineLevel="0" collapsed="false">
      <c r="A533" s="76" t="s">
        <v>2063</v>
      </c>
      <c r="B533" s="49" t="s">
        <v>2963</v>
      </c>
      <c r="C533" s="49" t="s">
        <v>2964</v>
      </c>
      <c r="D533" s="49" t="s">
        <v>2570</v>
      </c>
      <c r="E533" s="77" t="s">
        <v>2571</v>
      </c>
      <c r="F533" s="49" t="s">
        <v>2097</v>
      </c>
      <c r="G533" s="49" t="s">
        <v>2097</v>
      </c>
      <c r="H533" s="51" t="n">
        <v>20</v>
      </c>
      <c r="I533" s="51" t="n">
        <v>0</v>
      </c>
      <c r="J533" s="51" t="n">
        <v>0</v>
      </c>
      <c r="K533" s="52" t="n">
        <v>0</v>
      </c>
      <c r="L533" s="53" t="n">
        <v>26.1</v>
      </c>
      <c r="M533" s="54"/>
      <c r="N533" s="51" t="n">
        <v>0.213699</v>
      </c>
      <c r="O533" s="55" t="n">
        <v>0</v>
      </c>
      <c r="P533" s="51" t="n">
        <v>20</v>
      </c>
      <c r="Q533" s="49" t="s">
        <v>2098</v>
      </c>
      <c r="R533" s="49" t="s">
        <v>2572</v>
      </c>
      <c r="S533" s="53" t="n">
        <v>0</v>
      </c>
      <c r="T533" s="51" t="n">
        <v>1</v>
      </c>
      <c r="U533" s="56" t="n">
        <f aca="false">I533*O533</f>
        <v>0</v>
      </c>
      <c r="V533" s="56" t="n">
        <f aca="false">J533*O533</f>
        <v>0</v>
      </c>
      <c r="W533" s="56" t="n">
        <f aca="false">((I533+J533)/2)*O533</f>
        <v>0</v>
      </c>
      <c r="X533" s="56" t="n">
        <f aca="false">H533*O533</f>
        <v>0</v>
      </c>
    </row>
    <row r="534" customFormat="false" ht="22.35" hidden="false" customHeight="false" outlineLevel="0" collapsed="false">
      <c r="A534" s="76" t="s">
        <v>2063</v>
      </c>
      <c r="B534" s="7" t="s">
        <v>2965</v>
      </c>
      <c r="C534" s="7" t="s">
        <v>2966</v>
      </c>
      <c r="D534" s="7" t="s">
        <v>2570</v>
      </c>
      <c r="E534" s="77" t="s">
        <v>2571</v>
      </c>
      <c r="F534" s="7" t="s">
        <v>2097</v>
      </c>
      <c r="G534" s="7" t="s">
        <v>2097</v>
      </c>
      <c r="H534" s="9" t="n">
        <v>32</v>
      </c>
      <c r="I534" s="9" t="n">
        <v>0</v>
      </c>
      <c r="J534" s="9" t="n">
        <v>0</v>
      </c>
      <c r="K534" s="52" t="n">
        <v>0</v>
      </c>
      <c r="L534" s="58" t="n">
        <v>26.1</v>
      </c>
      <c r="M534" s="59"/>
      <c r="N534" s="9" t="n">
        <v>0.410959</v>
      </c>
      <c r="O534" s="8" t="n">
        <v>0</v>
      </c>
      <c r="P534" s="9" t="n">
        <v>32</v>
      </c>
      <c r="Q534" s="7" t="s">
        <v>2098</v>
      </c>
      <c r="R534" s="7" t="s">
        <v>2572</v>
      </c>
      <c r="S534" s="58" t="n">
        <v>0</v>
      </c>
      <c r="T534" s="9" t="n">
        <v>1</v>
      </c>
      <c r="U534" s="56" t="n">
        <f aca="false">I534*O534</f>
        <v>0</v>
      </c>
      <c r="V534" s="56" t="n">
        <f aca="false">J534*O534</f>
        <v>0</v>
      </c>
      <c r="W534" s="56" t="n">
        <f aca="false">((I534+J534)/2)*O534</f>
        <v>0</v>
      </c>
      <c r="X534" s="56" t="n">
        <f aca="false">H534*O534</f>
        <v>0</v>
      </c>
    </row>
    <row r="535" customFormat="false" ht="22.35" hidden="false" customHeight="false" outlineLevel="0" collapsed="false">
      <c r="A535" s="76" t="s">
        <v>2063</v>
      </c>
      <c r="B535" s="49" t="s">
        <v>2967</v>
      </c>
      <c r="C535" s="49" t="s">
        <v>2966</v>
      </c>
      <c r="D535" s="49" t="s">
        <v>2570</v>
      </c>
      <c r="E535" s="77" t="s">
        <v>2571</v>
      </c>
      <c r="F535" s="49" t="s">
        <v>2097</v>
      </c>
      <c r="G535" s="49" t="s">
        <v>2097</v>
      </c>
      <c r="H535" s="51" t="n">
        <v>24</v>
      </c>
      <c r="I535" s="51" t="n">
        <v>0</v>
      </c>
      <c r="J535" s="51" t="n">
        <v>0</v>
      </c>
      <c r="K535" s="52" t="n">
        <v>0</v>
      </c>
      <c r="L535" s="53" t="n">
        <v>26.1</v>
      </c>
      <c r="M535" s="54"/>
      <c r="N535" s="51" t="n">
        <v>0.380822</v>
      </c>
      <c r="O535" s="55" t="n">
        <v>0</v>
      </c>
      <c r="P535" s="51" t="n">
        <v>24</v>
      </c>
      <c r="Q535" s="49" t="s">
        <v>2098</v>
      </c>
      <c r="R535" s="49" t="s">
        <v>2572</v>
      </c>
      <c r="S535" s="53" t="n">
        <v>0</v>
      </c>
      <c r="T535" s="51" t="n">
        <v>1</v>
      </c>
      <c r="U535" s="56" t="n">
        <f aca="false">I535*O535</f>
        <v>0</v>
      </c>
      <c r="V535" s="56" t="n">
        <f aca="false">J535*O535</f>
        <v>0</v>
      </c>
      <c r="W535" s="56" t="n">
        <f aca="false">((I535+J535)/2)*O535</f>
        <v>0</v>
      </c>
      <c r="X535" s="56" t="n">
        <f aca="false">H535*O535</f>
        <v>0</v>
      </c>
    </row>
    <row r="536" customFormat="false" ht="22.35" hidden="false" customHeight="false" outlineLevel="0" collapsed="false">
      <c r="A536" s="76" t="s">
        <v>2063</v>
      </c>
      <c r="B536" s="7" t="s">
        <v>2968</v>
      </c>
      <c r="C536" s="7" t="s">
        <v>2969</v>
      </c>
      <c r="D536" s="7" t="s">
        <v>2570</v>
      </c>
      <c r="E536" s="77" t="s">
        <v>2571</v>
      </c>
      <c r="F536" s="7" t="s">
        <v>2097</v>
      </c>
      <c r="G536" s="7" t="s">
        <v>2097</v>
      </c>
      <c r="H536" s="9" t="n">
        <v>6</v>
      </c>
      <c r="I536" s="9" t="n">
        <v>0</v>
      </c>
      <c r="J536" s="9" t="n">
        <v>0</v>
      </c>
      <c r="K536" s="52" t="n">
        <v>0</v>
      </c>
      <c r="L536" s="58" t="n">
        <v>26.1</v>
      </c>
      <c r="M536" s="59"/>
      <c r="N536" s="9" t="n">
        <v>0.072603</v>
      </c>
      <c r="O536" s="8" t="n">
        <v>0</v>
      </c>
      <c r="P536" s="9" t="n">
        <v>6</v>
      </c>
      <c r="Q536" s="7" t="s">
        <v>2098</v>
      </c>
      <c r="R536" s="7" t="s">
        <v>2572</v>
      </c>
      <c r="S536" s="58" t="n">
        <v>0</v>
      </c>
      <c r="T536" s="9" t="n">
        <v>3</v>
      </c>
      <c r="U536" s="56" t="n">
        <f aca="false">I536*O536</f>
        <v>0</v>
      </c>
      <c r="V536" s="56" t="n">
        <f aca="false">J536*O536</f>
        <v>0</v>
      </c>
      <c r="W536" s="56" t="n">
        <f aca="false">((I536+J536)/2)*O536</f>
        <v>0</v>
      </c>
      <c r="X536" s="56" t="n">
        <f aca="false">H536*O536</f>
        <v>0</v>
      </c>
    </row>
    <row r="537" customFormat="false" ht="22.35" hidden="false" customHeight="false" outlineLevel="0" collapsed="false">
      <c r="A537" s="76" t="s">
        <v>2063</v>
      </c>
      <c r="B537" s="49" t="s">
        <v>2970</v>
      </c>
      <c r="C537" s="49" t="s">
        <v>2969</v>
      </c>
      <c r="D537" s="49" t="s">
        <v>2570</v>
      </c>
      <c r="E537" s="77" t="s">
        <v>2571</v>
      </c>
      <c r="F537" s="49" t="s">
        <v>2097</v>
      </c>
      <c r="G537" s="49" t="s">
        <v>2097</v>
      </c>
      <c r="H537" s="51" t="n">
        <v>12</v>
      </c>
      <c r="I537" s="51" t="n">
        <v>0</v>
      </c>
      <c r="J537" s="51" t="n">
        <v>0</v>
      </c>
      <c r="K537" s="52" t="n">
        <v>0</v>
      </c>
      <c r="L537" s="53" t="n">
        <v>26.1</v>
      </c>
      <c r="M537" s="54"/>
      <c r="N537" s="51" t="n">
        <v>0.045205</v>
      </c>
      <c r="O537" s="55" t="n">
        <v>0</v>
      </c>
      <c r="P537" s="51" t="n">
        <v>12</v>
      </c>
      <c r="Q537" s="49" t="s">
        <v>2098</v>
      </c>
      <c r="R537" s="49" t="s">
        <v>2572</v>
      </c>
      <c r="S537" s="53" t="n">
        <v>0</v>
      </c>
      <c r="T537" s="51" t="n">
        <v>7</v>
      </c>
      <c r="U537" s="56" t="n">
        <f aca="false">I537*O537</f>
        <v>0</v>
      </c>
      <c r="V537" s="56" t="n">
        <f aca="false">J537*O537</f>
        <v>0</v>
      </c>
      <c r="W537" s="56" t="n">
        <f aca="false">((I537+J537)/2)*O537</f>
        <v>0</v>
      </c>
      <c r="X537" s="56" t="n">
        <f aca="false">H537*O537</f>
        <v>0</v>
      </c>
    </row>
    <row r="538" customFormat="false" ht="22.35" hidden="false" customHeight="false" outlineLevel="0" collapsed="false">
      <c r="A538" s="76" t="s">
        <v>2063</v>
      </c>
      <c r="B538" s="7" t="s">
        <v>2971</v>
      </c>
      <c r="C538" s="7" t="s">
        <v>2972</v>
      </c>
      <c r="D538" s="7" t="s">
        <v>2570</v>
      </c>
      <c r="E538" s="77" t="s">
        <v>2571</v>
      </c>
      <c r="F538" s="7" t="s">
        <v>2097</v>
      </c>
      <c r="G538" s="7" t="s">
        <v>2097</v>
      </c>
      <c r="H538" s="9" t="n">
        <v>96</v>
      </c>
      <c r="I538" s="9" t="n">
        <v>0</v>
      </c>
      <c r="J538" s="9" t="n">
        <v>0</v>
      </c>
      <c r="K538" s="52" t="n">
        <v>0</v>
      </c>
      <c r="L538" s="58" t="n">
        <v>26.1</v>
      </c>
      <c r="M538" s="59"/>
      <c r="N538" s="9" t="n">
        <v>1.343836</v>
      </c>
      <c r="O538" s="8" t="n">
        <v>0</v>
      </c>
      <c r="P538" s="9" t="n">
        <v>96</v>
      </c>
      <c r="Q538" s="7" t="s">
        <v>2098</v>
      </c>
      <c r="R538" s="7" t="s">
        <v>2572</v>
      </c>
      <c r="S538" s="58" t="n">
        <v>0</v>
      </c>
      <c r="T538" s="9" t="n">
        <v>1</v>
      </c>
      <c r="U538" s="56" t="n">
        <f aca="false">I538*O538</f>
        <v>0</v>
      </c>
      <c r="V538" s="56" t="n">
        <f aca="false">J538*O538</f>
        <v>0</v>
      </c>
      <c r="W538" s="56" t="n">
        <f aca="false">((I538+J538)/2)*O538</f>
        <v>0</v>
      </c>
      <c r="X538" s="56" t="n">
        <f aca="false">H538*O538</f>
        <v>0</v>
      </c>
    </row>
    <row r="539" customFormat="false" ht="22.35" hidden="false" customHeight="false" outlineLevel="0" collapsed="false">
      <c r="A539" s="76" t="s">
        <v>2063</v>
      </c>
      <c r="B539" s="49" t="s">
        <v>2973</v>
      </c>
      <c r="C539" s="49" t="s">
        <v>2972</v>
      </c>
      <c r="D539" s="49" t="s">
        <v>2570</v>
      </c>
      <c r="E539" s="77" t="s">
        <v>2571</v>
      </c>
      <c r="F539" s="49" t="s">
        <v>2097</v>
      </c>
      <c r="G539" s="49" t="s">
        <v>2097</v>
      </c>
      <c r="H539" s="51" t="n">
        <v>120</v>
      </c>
      <c r="I539" s="51" t="n">
        <v>0</v>
      </c>
      <c r="J539" s="51" t="n">
        <v>0</v>
      </c>
      <c r="K539" s="52" t="n">
        <v>0</v>
      </c>
      <c r="L539" s="53" t="n">
        <v>26.1</v>
      </c>
      <c r="M539" s="54"/>
      <c r="N539" s="51" t="n">
        <v>1.386301</v>
      </c>
      <c r="O539" s="55" t="n">
        <v>0</v>
      </c>
      <c r="P539" s="51" t="n">
        <v>120</v>
      </c>
      <c r="Q539" s="49" t="s">
        <v>2098</v>
      </c>
      <c r="R539" s="49" t="s">
        <v>2572</v>
      </c>
      <c r="S539" s="53" t="n">
        <v>0</v>
      </c>
      <c r="T539" s="51" t="n">
        <v>1</v>
      </c>
      <c r="U539" s="56" t="n">
        <f aca="false">I539*O539</f>
        <v>0</v>
      </c>
      <c r="V539" s="56" t="n">
        <f aca="false">J539*O539</f>
        <v>0</v>
      </c>
      <c r="W539" s="56" t="n">
        <f aca="false">((I539+J539)/2)*O539</f>
        <v>0</v>
      </c>
      <c r="X539" s="56" t="n">
        <f aca="false">H539*O539</f>
        <v>0</v>
      </c>
    </row>
    <row r="540" customFormat="false" ht="22.35" hidden="false" customHeight="false" outlineLevel="0" collapsed="false">
      <c r="A540" s="76" t="s">
        <v>2063</v>
      </c>
      <c r="B540" s="7" t="s">
        <v>2974</v>
      </c>
      <c r="C540" s="7" t="s">
        <v>2975</v>
      </c>
      <c r="D540" s="7" t="s">
        <v>2570</v>
      </c>
      <c r="E540" s="77" t="s">
        <v>2571</v>
      </c>
      <c r="F540" s="7" t="s">
        <v>2097</v>
      </c>
      <c r="G540" s="7" t="s">
        <v>2097</v>
      </c>
      <c r="H540" s="9" t="n">
        <v>16</v>
      </c>
      <c r="I540" s="9" t="n">
        <v>0</v>
      </c>
      <c r="J540" s="9" t="n">
        <v>0</v>
      </c>
      <c r="K540" s="52" t="n">
        <v>0</v>
      </c>
      <c r="L540" s="58" t="n">
        <v>26.1</v>
      </c>
      <c r="M540" s="59"/>
      <c r="N540" s="9" t="n">
        <v>0.172603</v>
      </c>
      <c r="O540" s="8" t="n">
        <v>0</v>
      </c>
      <c r="P540" s="9" t="n">
        <v>16</v>
      </c>
      <c r="Q540" s="7" t="s">
        <v>2098</v>
      </c>
      <c r="R540" s="7" t="s">
        <v>2572</v>
      </c>
      <c r="S540" s="58" t="n">
        <v>0</v>
      </c>
      <c r="T540" s="9" t="n">
        <v>1</v>
      </c>
      <c r="U540" s="56" t="n">
        <f aca="false">I540*O540</f>
        <v>0</v>
      </c>
      <c r="V540" s="56" t="n">
        <f aca="false">J540*O540</f>
        <v>0</v>
      </c>
      <c r="W540" s="56" t="n">
        <f aca="false">((I540+J540)/2)*O540</f>
        <v>0</v>
      </c>
      <c r="X540" s="56" t="n">
        <f aca="false">H540*O540</f>
        <v>0</v>
      </c>
    </row>
    <row r="541" customFormat="false" ht="22.35" hidden="false" customHeight="false" outlineLevel="0" collapsed="false">
      <c r="A541" s="76" t="s">
        <v>2063</v>
      </c>
      <c r="B541" s="49" t="s">
        <v>2976</v>
      </c>
      <c r="C541" s="49" t="s">
        <v>2975</v>
      </c>
      <c r="D541" s="49" t="s">
        <v>2570</v>
      </c>
      <c r="E541" s="77" t="s">
        <v>2571</v>
      </c>
      <c r="F541" s="49" t="s">
        <v>2097</v>
      </c>
      <c r="G541" s="49" t="s">
        <v>2097</v>
      </c>
      <c r="H541" s="51" t="n">
        <v>8</v>
      </c>
      <c r="I541" s="51" t="n">
        <v>0</v>
      </c>
      <c r="J541" s="51" t="n">
        <v>0</v>
      </c>
      <c r="K541" s="52" t="n">
        <v>0</v>
      </c>
      <c r="L541" s="53" t="n">
        <v>26.1</v>
      </c>
      <c r="M541" s="54"/>
      <c r="N541" s="51" t="n">
        <v>0.09863</v>
      </c>
      <c r="O541" s="55" t="n">
        <v>0</v>
      </c>
      <c r="P541" s="51" t="n">
        <v>8</v>
      </c>
      <c r="Q541" s="49" t="s">
        <v>2098</v>
      </c>
      <c r="R541" s="49" t="s">
        <v>2572</v>
      </c>
      <c r="S541" s="53" t="n">
        <v>0</v>
      </c>
      <c r="T541" s="51" t="n">
        <v>3</v>
      </c>
      <c r="U541" s="56" t="n">
        <f aca="false">I541*O541</f>
        <v>0</v>
      </c>
      <c r="V541" s="56" t="n">
        <f aca="false">J541*O541</f>
        <v>0</v>
      </c>
      <c r="W541" s="56" t="n">
        <f aca="false">((I541+J541)/2)*O541</f>
        <v>0</v>
      </c>
      <c r="X541" s="56" t="n">
        <f aca="false">H541*O541</f>
        <v>0</v>
      </c>
    </row>
    <row r="542" customFormat="false" ht="22.35" hidden="false" customHeight="false" outlineLevel="0" collapsed="false">
      <c r="A542" s="76" t="s">
        <v>2063</v>
      </c>
      <c r="B542" s="7" t="s">
        <v>2977</v>
      </c>
      <c r="C542" s="7" t="s">
        <v>2978</v>
      </c>
      <c r="D542" s="7" t="s">
        <v>2570</v>
      </c>
      <c r="E542" s="77" t="s">
        <v>2571</v>
      </c>
      <c r="F542" s="7" t="s">
        <v>2097</v>
      </c>
      <c r="G542" s="7" t="s">
        <v>2097</v>
      </c>
      <c r="H542" s="9" t="n">
        <v>16</v>
      </c>
      <c r="I542" s="9" t="n">
        <v>0</v>
      </c>
      <c r="J542" s="9" t="n">
        <v>0</v>
      </c>
      <c r="K542" s="52" t="n">
        <v>0</v>
      </c>
      <c r="L542" s="58" t="n">
        <v>26.1</v>
      </c>
      <c r="M542" s="59"/>
      <c r="N542" s="9" t="n">
        <v>0.191781</v>
      </c>
      <c r="O542" s="8" t="n">
        <v>0</v>
      </c>
      <c r="P542" s="9" t="n">
        <v>16</v>
      </c>
      <c r="Q542" s="7" t="s">
        <v>2098</v>
      </c>
      <c r="R542" s="7" t="s">
        <v>2572</v>
      </c>
      <c r="S542" s="58" t="n">
        <v>0</v>
      </c>
      <c r="T542" s="9" t="n">
        <v>6</v>
      </c>
      <c r="U542" s="56" t="n">
        <f aca="false">I542*O542</f>
        <v>0</v>
      </c>
      <c r="V542" s="56" t="n">
        <f aca="false">J542*O542</f>
        <v>0</v>
      </c>
      <c r="W542" s="56" t="n">
        <f aca="false">((I542+J542)/2)*O542</f>
        <v>0</v>
      </c>
      <c r="X542" s="56" t="n">
        <f aca="false">H542*O542</f>
        <v>0</v>
      </c>
    </row>
    <row r="543" customFormat="false" ht="22.35" hidden="false" customHeight="false" outlineLevel="0" collapsed="false">
      <c r="A543" s="76" t="s">
        <v>2063</v>
      </c>
      <c r="B543" s="49" t="s">
        <v>2979</v>
      </c>
      <c r="C543" s="49" t="s">
        <v>2978</v>
      </c>
      <c r="D543" s="49" t="s">
        <v>2570</v>
      </c>
      <c r="E543" s="77" t="s">
        <v>2571</v>
      </c>
      <c r="F543" s="49" t="s">
        <v>2097</v>
      </c>
      <c r="G543" s="49" t="s">
        <v>2097</v>
      </c>
      <c r="H543" s="51" t="n">
        <v>10</v>
      </c>
      <c r="I543" s="51" t="n">
        <v>0</v>
      </c>
      <c r="J543" s="51" t="n">
        <v>0</v>
      </c>
      <c r="K543" s="52" t="n">
        <v>0</v>
      </c>
      <c r="L543" s="53" t="n">
        <v>26.1</v>
      </c>
      <c r="M543" s="54"/>
      <c r="N543" s="51" t="n">
        <v>0.073973</v>
      </c>
      <c r="O543" s="55" t="n">
        <v>0</v>
      </c>
      <c r="P543" s="51" t="n">
        <v>10</v>
      </c>
      <c r="Q543" s="49" t="s">
        <v>2098</v>
      </c>
      <c r="R543" s="49" t="s">
        <v>2572</v>
      </c>
      <c r="S543" s="53" t="n">
        <v>0</v>
      </c>
      <c r="T543" s="51" t="n">
        <v>5</v>
      </c>
      <c r="U543" s="56" t="n">
        <f aca="false">I543*O543</f>
        <v>0</v>
      </c>
      <c r="V543" s="56" t="n">
        <f aca="false">J543*O543</f>
        <v>0</v>
      </c>
      <c r="W543" s="56" t="n">
        <f aca="false">((I543+J543)/2)*O543</f>
        <v>0</v>
      </c>
      <c r="X543" s="56" t="n">
        <f aca="false">H543*O543</f>
        <v>0</v>
      </c>
    </row>
    <row r="544" customFormat="false" ht="22.35" hidden="false" customHeight="false" outlineLevel="0" collapsed="false">
      <c r="A544" s="76" t="s">
        <v>2063</v>
      </c>
      <c r="B544" s="7" t="s">
        <v>2980</v>
      </c>
      <c r="C544" s="7" t="s">
        <v>2981</v>
      </c>
      <c r="D544" s="7" t="s">
        <v>2570</v>
      </c>
      <c r="E544" s="77" t="s">
        <v>2571</v>
      </c>
      <c r="F544" s="7" t="s">
        <v>2097</v>
      </c>
      <c r="G544" s="7" t="s">
        <v>2097</v>
      </c>
      <c r="H544" s="9" t="n">
        <v>16</v>
      </c>
      <c r="I544" s="9" t="n">
        <v>0</v>
      </c>
      <c r="J544" s="9" t="n">
        <v>0</v>
      </c>
      <c r="K544" s="52" t="n">
        <v>0</v>
      </c>
      <c r="L544" s="58" t="n">
        <v>26.1</v>
      </c>
      <c r="M544" s="59"/>
      <c r="N544" s="9" t="n">
        <v>0.178082</v>
      </c>
      <c r="O544" s="8" t="n">
        <v>0</v>
      </c>
      <c r="P544" s="9" t="n">
        <v>16</v>
      </c>
      <c r="Q544" s="7" t="s">
        <v>2098</v>
      </c>
      <c r="R544" s="7" t="s">
        <v>2572</v>
      </c>
      <c r="S544" s="58" t="n">
        <v>0</v>
      </c>
      <c r="T544" s="9" t="n">
        <v>6</v>
      </c>
      <c r="U544" s="56" t="n">
        <f aca="false">I544*O544</f>
        <v>0</v>
      </c>
      <c r="V544" s="56" t="n">
        <f aca="false">J544*O544</f>
        <v>0</v>
      </c>
      <c r="W544" s="56" t="n">
        <f aca="false">((I544+J544)/2)*O544</f>
        <v>0</v>
      </c>
      <c r="X544" s="56" t="n">
        <f aca="false">H544*O544</f>
        <v>0</v>
      </c>
    </row>
    <row r="545" customFormat="false" ht="22.35" hidden="false" customHeight="false" outlineLevel="0" collapsed="false">
      <c r="A545" s="76" t="s">
        <v>2063</v>
      </c>
      <c r="B545" s="49" t="s">
        <v>2982</v>
      </c>
      <c r="C545" s="49" t="s">
        <v>2981</v>
      </c>
      <c r="D545" s="49" t="s">
        <v>2570</v>
      </c>
      <c r="E545" s="77" t="s">
        <v>2571</v>
      </c>
      <c r="F545" s="49" t="s">
        <v>2097</v>
      </c>
      <c r="G545" s="49" t="s">
        <v>2097</v>
      </c>
      <c r="H545" s="51" t="n">
        <v>16</v>
      </c>
      <c r="I545" s="51" t="n">
        <v>0</v>
      </c>
      <c r="J545" s="51" t="n">
        <v>0</v>
      </c>
      <c r="K545" s="52" t="n">
        <v>0</v>
      </c>
      <c r="L545" s="53" t="n">
        <v>26.1</v>
      </c>
      <c r="M545" s="54"/>
      <c r="N545" s="51" t="n">
        <v>0.132877</v>
      </c>
      <c r="O545" s="55" t="n">
        <v>0</v>
      </c>
      <c r="P545" s="51" t="n">
        <v>16</v>
      </c>
      <c r="Q545" s="49" t="s">
        <v>2098</v>
      </c>
      <c r="R545" s="49" t="s">
        <v>2572</v>
      </c>
      <c r="S545" s="53" t="n">
        <v>0</v>
      </c>
      <c r="T545" s="51" t="n">
        <v>6</v>
      </c>
      <c r="U545" s="56" t="n">
        <f aca="false">I545*O545</f>
        <v>0</v>
      </c>
      <c r="V545" s="56" t="n">
        <f aca="false">J545*O545</f>
        <v>0</v>
      </c>
      <c r="W545" s="56" t="n">
        <f aca="false">((I545+J545)/2)*O545</f>
        <v>0</v>
      </c>
      <c r="X545" s="56" t="n">
        <f aca="false">H545*O545</f>
        <v>0</v>
      </c>
    </row>
    <row r="546" customFormat="false" ht="22.35" hidden="false" customHeight="false" outlineLevel="0" collapsed="false">
      <c r="A546" s="76" t="s">
        <v>2063</v>
      </c>
      <c r="B546" s="7" t="s">
        <v>2983</v>
      </c>
      <c r="C546" s="7" t="s">
        <v>2984</v>
      </c>
      <c r="D546" s="7" t="s">
        <v>2570</v>
      </c>
      <c r="E546" s="77" t="s">
        <v>2571</v>
      </c>
      <c r="F546" s="7" t="s">
        <v>2097</v>
      </c>
      <c r="G546" s="7" t="s">
        <v>2097</v>
      </c>
      <c r="H546" s="9" t="n">
        <v>6</v>
      </c>
      <c r="I546" s="9" t="n">
        <v>0</v>
      </c>
      <c r="J546" s="9" t="n">
        <v>0</v>
      </c>
      <c r="K546" s="52" t="n">
        <v>0</v>
      </c>
      <c r="L546" s="58" t="n">
        <v>26.1</v>
      </c>
      <c r="M546" s="59"/>
      <c r="N546" s="9" t="n">
        <v>0.072603</v>
      </c>
      <c r="O546" s="8" t="n">
        <v>0</v>
      </c>
      <c r="P546" s="9" t="n">
        <v>6</v>
      </c>
      <c r="Q546" s="7" t="s">
        <v>2098</v>
      </c>
      <c r="R546" s="7" t="s">
        <v>2572</v>
      </c>
      <c r="S546" s="58" t="n">
        <v>0</v>
      </c>
      <c r="T546" s="9" t="n">
        <v>1</v>
      </c>
      <c r="U546" s="56" t="n">
        <f aca="false">I546*O546</f>
        <v>0</v>
      </c>
      <c r="V546" s="56" t="n">
        <f aca="false">J546*O546</f>
        <v>0</v>
      </c>
      <c r="W546" s="56" t="n">
        <f aca="false">((I546+J546)/2)*O546</f>
        <v>0</v>
      </c>
      <c r="X546" s="56" t="n">
        <f aca="false">H546*O546</f>
        <v>0</v>
      </c>
    </row>
    <row r="547" customFormat="false" ht="22.35" hidden="false" customHeight="false" outlineLevel="0" collapsed="false">
      <c r="A547" s="76" t="s">
        <v>2063</v>
      </c>
      <c r="B547" s="49" t="s">
        <v>2985</v>
      </c>
      <c r="C547" s="49" t="s">
        <v>2984</v>
      </c>
      <c r="D547" s="49" t="s">
        <v>2570</v>
      </c>
      <c r="E547" s="77" t="s">
        <v>2571</v>
      </c>
      <c r="F547" s="49" t="s">
        <v>2097</v>
      </c>
      <c r="G547" s="49" t="s">
        <v>2097</v>
      </c>
      <c r="H547" s="51" t="n">
        <v>6</v>
      </c>
      <c r="I547" s="51" t="n">
        <v>0</v>
      </c>
      <c r="J547" s="51" t="n">
        <v>0</v>
      </c>
      <c r="K547" s="52" t="n">
        <v>0</v>
      </c>
      <c r="L547" s="53" t="n">
        <v>26.1</v>
      </c>
      <c r="M547" s="54"/>
      <c r="N547" s="51" t="n">
        <v>0.058904</v>
      </c>
      <c r="O547" s="55" t="n">
        <v>0</v>
      </c>
      <c r="P547" s="51" t="n">
        <v>6</v>
      </c>
      <c r="Q547" s="49" t="s">
        <v>2098</v>
      </c>
      <c r="R547" s="49" t="s">
        <v>2572</v>
      </c>
      <c r="S547" s="53" t="n">
        <v>0</v>
      </c>
      <c r="T547" s="51" t="n">
        <v>1</v>
      </c>
      <c r="U547" s="56" t="n">
        <f aca="false">I547*O547</f>
        <v>0</v>
      </c>
      <c r="V547" s="56" t="n">
        <f aca="false">J547*O547</f>
        <v>0</v>
      </c>
      <c r="W547" s="56" t="n">
        <f aca="false">((I547+J547)/2)*O547</f>
        <v>0</v>
      </c>
      <c r="X547" s="56" t="n">
        <f aca="false">H547*O547</f>
        <v>0</v>
      </c>
    </row>
    <row r="548" customFormat="false" ht="22.35" hidden="false" customHeight="false" outlineLevel="0" collapsed="false">
      <c r="A548" s="76" t="s">
        <v>2063</v>
      </c>
      <c r="B548" s="7" t="s">
        <v>2986</v>
      </c>
      <c r="C548" s="7" t="s">
        <v>2987</v>
      </c>
      <c r="D548" s="7" t="s">
        <v>2570</v>
      </c>
      <c r="E548" s="77" t="s">
        <v>2571</v>
      </c>
      <c r="F548" s="7" t="s">
        <v>2097</v>
      </c>
      <c r="G548" s="7" t="s">
        <v>2097</v>
      </c>
      <c r="H548" s="9" t="n">
        <v>6</v>
      </c>
      <c r="I548" s="9" t="n">
        <v>0</v>
      </c>
      <c r="J548" s="9" t="n">
        <v>0</v>
      </c>
      <c r="K548" s="52" t="n">
        <v>0</v>
      </c>
      <c r="L548" s="58" t="n">
        <v>26.1</v>
      </c>
      <c r="M548" s="59"/>
      <c r="N548" s="9" t="n">
        <v>0.064384</v>
      </c>
      <c r="O548" s="8" t="n">
        <v>0</v>
      </c>
      <c r="P548" s="9" t="n">
        <v>6</v>
      </c>
      <c r="Q548" s="7" t="s">
        <v>2098</v>
      </c>
      <c r="R548" s="7" t="s">
        <v>2572</v>
      </c>
      <c r="S548" s="58" t="n">
        <v>0</v>
      </c>
      <c r="T548" s="9" t="n">
        <v>1</v>
      </c>
      <c r="U548" s="56" t="n">
        <f aca="false">I548*O548</f>
        <v>0</v>
      </c>
      <c r="V548" s="56" t="n">
        <f aca="false">J548*O548</f>
        <v>0</v>
      </c>
      <c r="W548" s="56" t="n">
        <f aca="false">((I548+J548)/2)*O548</f>
        <v>0</v>
      </c>
      <c r="X548" s="56" t="n">
        <f aca="false">H548*O548</f>
        <v>0</v>
      </c>
    </row>
    <row r="549" customFormat="false" ht="22.35" hidden="false" customHeight="false" outlineLevel="0" collapsed="false">
      <c r="A549" s="76" t="s">
        <v>2063</v>
      </c>
      <c r="B549" s="49" t="s">
        <v>2988</v>
      </c>
      <c r="C549" s="49" t="s">
        <v>2987</v>
      </c>
      <c r="D549" s="49" t="s">
        <v>2570</v>
      </c>
      <c r="E549" s="77" t="s">
        <v>2571</v>
      </c>
      <c r="F549" s="49" t="s">
        <v>2097</v>
      </c>
      <c r="G549" s="49" t="s">
        <v>2097</v>
      </c>
      <c r="H549" s="51" t="n">
        <v>6</v>
      </c>
      <c r="I549" s="51" t="n">
        <v>0</v>
      </c>
      <c r="J549" s="51" t="n">
        <v>0</v>
      </c>
      <c r="K549" s="52" t="n">
        <v>0</v>
      </c>
      <c r="L549" s="53" t="n">
        <v>26.1</v>
      </c>
      <c r="M549" s="54"/>
      <c r="N549" s="51" t="n">
        <v>0.080822</v>
      </c>
      <c r="O549" s="55" t="n">
        <v>0</v>
      </c>
      <c r="P549" s="51" t="n">
        <v>6</v>
      </c>
      <c r="Q549" s="49" t="s">
        <v>2098</v>
      </c>
      <c r="R549" s="49" t="s">
        <v>2572</v>
      </c>
      <c r="S549" s="53" t="n">
        <v>0</v>
      </c>
      <c r="T549" s="51" t="n">
        <v>1</v>
      </c>
      <c r="U549" s="56" t="n">
        <f aca="false">I549*O549</f>
        <v>0</v>
      </c>
      <c r="V549" s="56" t="n">
        <f aca="false">J549*O549</f>
        <v>0</v>
      </c>
      <c r="W549" s="56" t="n">
        <f aca="false">((I549+J549)/2)*O549</f>
        <v>0</v>
      </c>
      <c r="X549" s="56" t="n">
        <f aca="false">H549*O549</f>
        <v>0</v>
      </c>
    </row>
    <row r="550" customFormat="false" ht="22.35" hidden="false" customHeight="false" outlineLevel="0" collapsed="false">
      <c r="A550" s="76" t="s">
        <v>2063</v>
      </c>
      <c r="B550" s="7" t="s">
        <v>2989</v>
      </c>
      <c r="C550" s="7" t="s">
        <v>2990</v>
      </c>
      <c r="D550" s="7" t="s">
        <v>2570</v>
      </c>
      <c r="E550" s="77" t="s">
        <v>2571</v>
      </c>
      <c r="F550" s="7" t="s">
        <v>2097</v>
      </c>
      <c r="G550" s="7" t="s">
        <v>2097</v>
      </c>
      <c r="H550" s="9" t="n">
        <v>16</v>
      </c>
      <c r="I550" s="9" t="n">
        <v>0</v>
      </c>
      <c r="J550" s="9" t="n">
        <v>0</v>
      </c>
      <c r="K550" s="52" t="n">
        <v>0</v>
      </c>
      <c r="L550" s="58" t="n">
        <v>26.1</v>
      </c>
      <c r="M550" s="59"/>
      <c r="N550" s="9" t="n">
        <v>0.112329</v>
      </c>
      <c r="O550" s="8" t="n">
        <v>0</v>
      </c>
      <c r="P550" s="9" t="n">
        <v>16</v>
      </c>
      <c r="Q550" s="7" t="s">
        <v>2098</v>
      </c>
      <c r="R550" s="7" t="s">
        <v>2572</v>
      </c>
      <c r="S550" s="58" t="n">
        <v>0</v>
      </c>
      <c r="T550" s="9" t="n">
        <v>1</v>
      </c>
      <c r="U550" s="56" t="n">
        <f aca="false">I550*O550</f>
        <v>0</v>
      </c>
      <c r="V550" s="56" t="n">
        <f aca="false">J550*O550</f>
        <v>0</v>
      </c>
      <c r="W550" s="56" t="n">
        <f aca="false">((I550+J550)/2)*O550</f>
        <v>0</v>
      </c>
      <c r="X550" s="56" t="n">
        <f aca="false">H550*O550</f>
        <v>0</v>
      </c>
    </row>
    <row r="551" customFormat="false" ht="22.35" hidden="false" customHeight="false" outlineLevel="0" collapsed="false">
      <c r="A551" s="76" t="s">
        <v>2063</v>
      </c>
      <c r="B551" s="49" t="s">
        <v>2991</v>
      </c>
      <c r="C551" s="49" t="s">
        <v>2990</v>
      </c>
      <c r="D551" s="49" t="s">
        <v>2570</v>
      </c>
      <c r="E551" s="77" t="s">
        <v>2571</v>
      </c>
      <c r="F551" s="49" t="s">
        <v>2097</v>
      </c>
      <c r="G551" s="49" t="s">
        <v>2097</v>
      </c>
      <c r="H551" s="51" t="n">
        <v>96</v>
      </c>
      <c r="I551" s="51" t="n">
        <v>0</v>
      </c>
      <c r="J551" s="51" t="n">
        <v>0</v>
      </c>
      <c r="K551" s="52" t="n">
        <v>0</v>
      </c>
      <c r="L551" s="53" t="n">
        <v>26.1</v>
      </c>
      <c r="M551" s="54"/>
      <c r="N551" s="51" t="n">
        <v>0.547945</v>
      </c>
      <c r="O551" s="55" t="n">
        <v>0</v>
      </c>
      <c r="P551" s="51" t="n">
        <v>96</v>
      </c>
      <c r="Q551" s="49" t="s">
        <v>2098</v>
      </c>
      <c r="R551" s="49" t="s">
        <v>2572</v>
      </c>
      <c r="S551" s="53" t="n">
        <v>0</v>
      </c>
      <c r="T551" s="51" t="n">
        <v>1</v>
      </c>
      <c r="U551" s="56" t="n">
        <f aca="false">I551*O551</f>
        <v>0</v>
      </c>
      <c r="V551" s="56" t="n">
        <f aca="false">J551*O551</f>
        <v>0</v>
      </c>
      <c r="W551" s="56" t="n">
        <f aca="false">((I551+J551)/2)*O551</f>
        <v>0</v>
      </c>
      <c r="X551" s="56" t="n">
        <f aca="false">H551*O551</f>
        <v>0</v>
      </c>
    </row>
    <row r="552" customFormat="false" ht="22.35" hidden="false" customHeight="false" outlineLevel="0" collapsed="false">
      <c r="A552" s="76" t="s">
        <v>2063</v>
      </c>
      <c r="B552" s="7" t="s">
        <v>2992</v>
      </c>
      <c r="C552" s="7" t="s">
        <v>2993</v>
      </c>
      <c r="D552" s="7" t="s">
        <v>2570</v>
      </c>
      <c r="E552" s="77" t="s">
        <v>2571</v>
      </c>
      <c r="F552" s="7" t="s">
        <v>2097</v>
      </c>
      <c r="G552" s="7" t="s">
        <v>2097</v>
      </c>
      <c r="H552" s="9" t="n">
        <v>8</v>
      </c>
      <c r="I552" s="9" t="n">
        <v>0</v>
      </c>
      <c r="J552" s="9" t="n">
        <v>0</v>
      </c>
      <c r="K552" s="52" t="n">
        <v>0</v>
      </c>
      <c r="L552" s="58" t="n">
        <v>26.1</v>
      </c>
      <c r="M552" s="59"/>
      <c r="N552" s="9" t="n">
        <v>0.132877</v>
      </c>
      <c r="O552" s="8" t="n">
        <v>0</v>
      </c>
      <c r="P552" s="9" t="n">
        <v>8</v>
      </c>
      <c r="Q552" s="7" t="s">
        <v>2098</v>
      </c>
      <c r="R552" s="7" t="s">
        <v>2572</v>
      </c>
      <c r="S552" s="58" t="n">
        <v>0</v>
      </c>
      <c r="T552" s="9" t="n">
        <v>1</v>
      </c>
      <c r="U552" s="56" t="n">
        <f aca="false">I552*O552</f>
        <v>0</v>
      </c>
      <c r="V552" s="56" t="n">
        <f aca="false">J552*O552</f>
        <v>0</v>
      </c>
      <c r="W552" s="56" t="n">
        <f aca="false">((I552+J552)/2)*O552</f>
        <v>0</v>
      </c>
      <c r="X552" s="56" t="n">
        <f aca="false">H552*O552</f>
        <v>0</v>
      </c>
    </row>
    <row r="553" customFormat="false" ht="22.35" hidden="false" customHeight="false" outlineLevel="0" collapsed="false">
      <c r="A553" s="76" t="s">
        <v>2063</v>
      </c>
      <c r="B553" s="49" t="s">
        <v>2994</v>
      </c>
      <c r="C553" s="49" t="s">
        <v>2993</v>
      </c>
      <c r="D553" s="49" t="s">
        <v>2570</v>
      </c>
      <c r="E553" s="77" t="s">
        <v>2571</v>
      </c>
      <c r="F553" s="49" t="s">
        <v>2097</v>
      </c>
      <c r="G553" s="49" t="s">
        <v>2097</v>
      </c>
      <c r="H553" s="51" t="n">
        <v>24</v>
      </c>
      <c r="I553" s="51" t="n">
        <v>0</v>
      </c>
      <c r="J553" s="51" t="n">
        <v>0</v>
      </c>
      <c r="K553" s="52" t="n">
        <v>0</v>
      </c>
      <c r="L553" s="53" t="n">
        <v>26.1</v>
      </c>
      <c r="M553" s="54"/>
      <c r="N553" s="51" t="n">
        <v>0.163014</v>
      </c>
      <c r="O553" s="55" t="n">
        <v>0</v>
      </c>
      <c r="P553" s="51" t="n">
        <v>24</v>
      </c>
      <c r="Q553" s="49" t="s">
        <v>2098</v>
      </c>
      <c r="R553" s="49" t="s">
        <v>2572</v>
      </c>
      <c r="S553" s="53" t="n">
        <v>0</v>
      </c>
      <c r="T553" s="51" t="n">
        <v>1</v>
      </c>
      <c r="U553" s="56" t="n">
        <f aca="false">I553*O553</f>
        <v>0</v>
      </c>
      <c r="V553" s="56" t="n">
        <f aca="false">J553*O553</f>
        <v>0</v>
      </c>
      <c r="W553" s="56" t="n">
        <f aca="false">((I553+J553)/2)*O553</f>
        <v>0</v>
      </c>
      <c r="X553" s="56" t="n">
        <f aca="false">H553*O553</f>
        <v>0</v>
      </c>
    </row>
    <row r="554" customFormat="false" ht="22.35" hidden="false" customHeight="false" outlineLevel="0" collapsed="false">
      <c r="A554" s="76" t="s">
        <v>2063</v>
      </c>
      <c r="B554" s="7" t="s">
        <v>2995</v>
      </c>
      <c r="C554" s="7" t="s">
        <v>2996</v>
      </c>
      <c r="D554" s="7" t="s">
        <v>2570</v>
      </c>
      <c r="E554" s="77" t="s">
        <v>2571</v>
      </c>
      <c r="F554" s="7" t="s">
        <v>2097</v>
      </c>
      <c r="G554" s="7" t="s">
        <v>2097</v>
      </c>
      <c r="H554" s="9" t="n">
        <v>24</v>
      </c>
      <c r="I554" s="9" t="n">
        <v>0</v>
      </c>
      <c r="J554" s="9" t="n">
        <v>0</v>
      </c>
      <c r="K554" s="52" t="n">
        <v>0</v>
      </c>
      <c r="L554" s="58" t="n">
        <v>26.1</v>
      </c>
      <c r="M554" s="59"/>
      <c r="N554" s="9" t="n">
        <v>0.149315</v>
      </c>
      <c r="O554" s="8" t="n">
        <v>0</v>
      </c>
      <c r="P554" s="9" t="n">
        <v>24</v>
      </c>
      <c r="Q554" s="7" t="s">
        <v>2098</v>
      </c>
      <c r="R554" s="7" t="s">
        <v>2572</v>
      </c>
      <c r="S554" s="58" t="n">
        <v>0</v>
      </c>
      <c r="T554" s="9" t="n">
        <v>1</v>
      </c>
      <c r="U554" s="56" t="n">
        <f aca="false">I554*O554</f>
        <v>0</v>
      </c>
      <c r="V554" s="56" t="n">
        <f aca="false">J554*O554</f>
        <v>0</v>
      </c>
      <c r="W554" s="56" t="n">
        <f aca="false">((I554+J554)/2)*O554</f>
        <v>0</v>
      </c>
      <c r="X554" s="56" t="n">
        <f aca="false">H554*O554</f>
        <v>0</v>
      </c>
    </row>
    <row r="555" customFormat="false" ht="22.35" hidden="false" customHeight="false" outlineLevel="0" collapsed="false">
      <c r="A555" s="76" t="s">
        <v>2063</v>
      </c>
      <c r="B555" s="49" t="s">
        <v>2997</v>
      </c>
      <c r="C555" s="49" t="s">
        <v>2996</v>
      </c>
      <c r="D555" s="49" t="s">
        <v>2570</v>
      </c>
      <c r="E555" s="77" t="s">
        <v>2571</v>
      </c>
      <c r="F555" s="49" t="s">
        <v>2097</v>
      </c>
      <c r="G555" s="49" t="s">
        <v>2097</v>
      </c>
      <c r="H555" s="51" t="n">
        <v>6</v>
      </c>
      <c r="I555" s="51" t="n">
        <v>0</v>
      </c>
      <c r="J555" s="51" t="n">
        <v>0</v>
      </c>
      <c r="K555" s="52" t="n">
        <v>0</v>
      </c>
      <c r="L555" s="53" t="n">
        <v>26.1</v>
      </c>
      <c r="M555" s="54"/>
      <c r="N555" s="51" t="n">
        <v>0.043836</v>
      </c>
      <c r="O555" s="55" t="n">
        <v>0</v>
      </c>
      <c r="P555" s="51" t="n">
        <v>6</v>
      </c>
      <c r="Q555" s="49" t="s">
        <v>2098</v>
      </c>
      <c r="R555" s="49" t="s">
        <v>2572</v>
      </c>
      <c r="S555" s="53" t="n">
        <v>0</v>
      </c>
      <c r="T555" s="51" t="n">
        <v>1</v>
      </c>
      <c r="U555" s="56" t="n">
        <f aca="false">I555*O555</f>
        <v>0</v>
      </c>
      <c r="V555" s="56" t="n">
        <f aca="false">J555*O555</f>
        <v>0</v>
      </c>
      <c r="W555" s="56" t="n">
        <f aca="false">((I555+J555)/2)*O555</f>
        <v>0</v>
      </c>
      <c r="X555" s="56" t="n">
        <f aca="false">H555*O555</f>
        <v>0</v>
      </c>
    </row>
    <row r="556" customFormat="false" ht="22.35" hidden="false" customHeight="false" outlineLevel="0" collapsed="false">
      <c r="A556" s="76" t="s">
        <v>2063</v>
      </c>
      <c r="B556" s="7" t="s">
        <v>2998</v>
      </c>
      <c r="C556" s="7" t="s">
        <v>2999</v>
      </c>
      <c r="D556" s="7" t="s">
        <v>2570</v>
      </c>
      <c r="E556" s="77" t="s">
        <v>2571</v>
      </c>
      <c r="F556" s="7" t="s">
        <v>2097</v>
      </c>
      <c r="G556" s="7" t="s">
        <v>2097</v>
      </c>
      <c r="H556" s="9" t="n">
        <v>376</v>
      </c>
      <c r="I556" s="9" t="n">
        <v>0</v>
      </c>
      <c r="J556" s="9" t="n">
        <v>0</v>
      </c>
      <c r="K556" s="52" t="n">
        <v>0</v>
      </c>
      <c r="L556" s="58" t="n">
        <v>26.1</v>
      </c>
      <c r="M556" s="59"/>
      <c r="N556" s="9" t="n">
        <v>5.312329</v>
      </c>
      <c r="O556" s="8" t="n">
        <v>0</v>
      </c>
      <c r="P556" s="9" t="n">
        <v>376</v>
      </c>
      <c r="Q556" s="7" t="s">
        <v>2098</v>
      </c>
      <c r="R556" s="7" t="s">
        <v>2572</v>
      </c>
      <c r="S556" s="58" t="n">
        <v>0</v>
      </c>
      <c r="T556" s="9" t="n">
        <v>1</v>
      </c>
      <c r="U556" s="56" t="n">
        <f aca="false">I556*O556</f>
        <v>0</v>
      </c>
      <c r="V556" s="56" t="n">
        <f aca="false">J556*O556</f>
        <v>0</v>
      </c>
      <c r="W556" s="56" t="n">
        <f aca="false">((I556+J556)/2)*O556</f>
        <v>0</v>
      </c>
      <c r="X556" s="56" t="n">
        <f aca="false">H556*O556</f>
        <v>0</v>
      </c>
    </row>
    <row r="557" customFormat="false" ht="22.35" hidden="false" customHeight="false" outlineLevel="0" collapsed="false">
      <c r="A557" s="76" t="s">
        <v>2063</v>
      </c>
      <c r="B557" s="49" t="s">
        <v>3000</v>
      </c>
      <c r="C557" s="49" t="s">
        <v>2999</v>
      </c>
      <c r="D557" s="49" t="s">
        <v>2570</v>
      </c>
      <c r="E557" s="77" t="s">
        <v>2571</v>
      </c>
      <c r="F557" s="49" t="s">
        <v>2097</v>
      </c>
      <c r="G557" s="49" t="s">
        <v>2097</v>
      </c>
      <c r="H557" s="51" t="n">
        <v>72</v>
      </c>
      <c r="I557" s="51" t="n">
        <v>0</v>
      </c>
      <c r="J557" s="51" t="n">
        <v>0</v>
      </c>
      <c r="K557" s="52" t="n">
        <v>0</v>
      </c>
      <c r="L557" s="53" t="n">
        <v>26.1</v>
      </c>
      <c r="M557" s="54"/>
      <c r="N557" s="51" t="n">
        <v>1.089041</v>
      </c>
      <c r="O557" s="55" t="n">
        <v>0</v>
      </c>
      <c r="P557" s="51" t="n">
        <v>72</v>
      </c>
      <c r="Q557" s="49" t="s">
        <v>2098</v>
      </c>
      <c r="R557" s="49" t="s">
        <v>2572</v>
      </c>
      <c r="S557" s="53" t="n">
        <v>0</v>
      </c>
      <c r="T557" s="51" t="n">
        <v>1</v>
      </c>
      <c r="U557" s="56" t="n">
        <f aca="false">I557*O557</f>
        <v>0</v>
      </c>
      <c r="V557" s="56" t="n">
        <f aca="false">J557*O557</f>
        <v>0</v>
      </c>
      <c r="W557" s="56" t="n">
        <f aca="false">((I557+J557)/2)*O557</f>
        <v>0</v>
      </c>
      <c r="X557" s="56" t="n">
        <f aca="false">H557*O557</f>
        <v>0</v>
      </c>
    </row>
    <row r="558" customFormat="false" ht="22.35" hidden="false" customHeight="false" outlineLevel="0" collapsed="false">
      <c r="A558" s="76" t="s">
        <v>2063</v>
      </c>
      <c r="B558" s="7" t="s">
        <v>3001</v>
      </c>
      <c r="C558" s="7" t="s">
        <v>3002</v>
      </c>
      <c r="D558" s="7" t="s">
        <v>2570</v>
      </c>
      <c r="E558" s="77" t="s">
        <v>2571</v>
      </c>
      <c r="F558" s="7" t="s">
        <v>2097</v>
      </c>
      <c r="G558" s="7" t="s">
        <v>2097</v>
      </c>
      <c r="H558" s="9" t="n">
        <v>36</v>
      </c>
      <c r="I558" s="9" t="n">
        <v>0</v>
      </c>
      <c r="J558" s="9" t="n">
        <v>0</v>
      </c>
      <c r="K558" s="52" t="n">
        <v>0</v>
      </c>
      <c r="L558" s="58" t="n">
        <v>26.1</v>
      </c>
      <c r="M558" s="59"/>
      <c r="N558" s="9" t="n">
        <v>0.364384</v>
      </c>
      <c r="O558" s="8" t="n">
        <v>0</v>
      </c>
      <c r="P558" s="9" t="n">
        <v>36</v>
      </c>
      <c r="Q558" s="7" t="s">
        <v>2098</v>
      </c>
      <c r="R558" s="7" t="s">
        <v>2572</v>
      </c>
      <c r="S558" s="58" t="n">
        <v>0</v>
      </c>
      <c r="T558" s="9" t="n">
        <v>1</v>
      </c>
      <c r="U558" s="56" t="n">
        <f aca="false">I558*O558</f>
        <v>0</v>
      </c>
      <c r="V558" s="56" t="n">
        <f aca="false">J558*O558</f>
        <v>0</v>
      </c>
      <c r="W558" s="56" t="n">
        <f aca="false">((I558+J558)/2)*O558</f>
        <v>0</v>
      </c>
      <c r="X558" s="56" t="n">
        <f aca="false">H558*O558</f>
        <v>0</v>
      </c>
    </row>
    <row r="559" customFormat="false" ht="22.35" hidden="false" customHeight="false" outlineLevel="0" collapsed="false">
      <c r="A559" s="76" t="s">
        <v>2063</v>
      </c>
      <c r="B559" s="49" t="s">
        <v>3003</v>
      </c>
      <c r="C559" s="49" t="s">
        <v>3002</v>
      </c>
      <c r="D559" s="49" t="s">
        <v>2570</v>
      </c>
      <c r="E559" s="77" t="s">
        <v>2571</v>
      </c>
      <c r="F559" s="49" t="s">
        <v>2097</v>
      </c>
      <c r="G559" s="49" t="s">
        <v>2097</v>
      </c>
      <c r="H559" s="51" t="n">
        <v>28</v>
      </c>
      <c r="I559" s="51" t="n">
        <v>0</v>
      </c>
      <c r="J559" s="51" t="n">
        <v>0</v>
      </c>
      <c r="K559" s="52" t="n">
        <v>0</v>
      </c>
      <c r="L559" s="53" t="n">
        <v>26.1</v>
      </c>
      <c r="M559" s="54"/>
      <c r="N559" s="51" t="n">
        <v>0.345205</v>
      </c>
      <c r="O559" s="55" t="n">
        <v>0</v>
      </c>
      <c r="P559" s="51" t="n">
        <v>28</v>
      </c>
      <c r="Q559" s="49" t="s">
        <v>2098</v>
      </c>
      <c r="R559" s="49" t="s">
        <v>2572</v>
      </c>
      <c r="S559" s="53" t="n">
        <v>0</v>
      </c>
      <c r="T559" s="51" t="n">
        <v>1</v>
      </c>
      <c r="U559" s="56" t="n">
        <f aca="false">I559*O559</f>
        <v>0</v>
      </c>
      <c r="V559" s="56" t="n">
        <f aca="false">J559*O559</f>
        <v>0</v>
      </c>
      <c r="W559" s="56" t="n">
        <f aca="false">((I559+J559)/2)*O559</f>
        <v>0</v>
      </c>
      <c r="X559" s="56" t="n">
        <f aca="false">H559*O559</f>
        <v>0</v>
      </c>
    </row>
    <row r="560" customFormat="false" ht="22.35" hidden="false" customHeight="false" outlineLevel="0" collapsed="false">
      <c r="A560" s="76" t="s">
        <v>2063</v>
      </c>
      <c r="B560" s="7" t="s">
        <v>3004</v>
      </c>
      <c r="C560" s="7" t="s">
        <v>3005</v>
      </c>
      <c r="D560" s="7" t="s">
        <v>2570</v>
      </c>
      <c r="E560" s="77" t="s">
        <v>2571</v>
      </c>
      <c r="F560" s="7" t="s">
        <v>2097</v>
      </c>
      <c r="G560" s="7" t="s">
        <v>2097</v>
      </c>
      <c r="H560" s="9" t="n">
        <v>48</v>
      </c>
      <c r="I560" s="9" t="n">
        <v>0</v>
      </c>
      <c r="J560" s="9" t="n">
        <v>0</v>
      </c>
      <c r="K560" s="52" t="n">
        <v>0</v>
      </c>
      <c r="L560" s="58" t="n">
        <v>26.1</v>
      </c>
      <c r="M560" s="59"/>
      <c r="N560" s="9" t="n">
        <v>0.676712</v>
      </c>
      <c r="O560" s="8" t="n">
        <v>0</v>
      </c>
      <c r="P560" s="9" t="n">
        <v>48</v>
      </c>
      <c r="Q560" s="7" t="s">
        <v>2098</v>
      </c>
      <c r="R560" s="7" t="s">
        <v>2572</v>
      </c>
      <c r="S560" s="58" t="n">
        <v>0</v>
      </c>
      <c r="T560" s="9" t="n">
        <v>1</v>
      </c>
      <c r="U560" s="56" t="n">
        <f aca="false">I560*O560</f>
        <v>0</v>
      </c>
      <c r="V560" s="56" t="n">
        <f aca="false">J560*O560</f>
        <v>0</v>
      </c>
      <c r="W560" s="56" t="n">
        <f aca="false">((I560+J560)/2)*O560</f>
        <v>0</v>
      </c>
      <c r="X560" s="56" t="n">
        <f aca="false">H560*O560</f>
        <v>0</v>
      </c>
    </row>
    <row r="561" customFormat="false" ht="22.35" hidden="false" customHeight="false" outlineLevel="0" collapsed="false">
      <c r="A561" s="76" t="s">
        <v>2063</v>
      </c>
      <c r="B561" s="49" t="s">
        <v>3006</v>
      </c>
      <c r="C561" s="49" t="s">
        <v>3005</v>
      </c>
      <c r="D561" s="49" t="s">
        <v>2570</v>
      </c>
      <c r="E561" s="77" t="s">
        <v>2571</v>
      </c>
      <c r="F561" s="49" t="s">
        <v>2097</v>
      </c>
      <c r="G561" s="49" t="s">
        <v>2097</v>
      </c>
      <c r="H561" s="51" t="n">
        <v>6</v>
      </c>
      <c r="I561" s="51" t="n">
        <v>0</v>
      </c>
      <c r="J561" s="51" t="n">
        <v>0</v>
      </c>
      <c r="K561" s="52" t="n">
        <v>0</v>
      </c>
      <c r="L561" s="53" t="n">
        <v>26.1</v>
      </c>
      <c r="M561" s="54"/>
      <c r="N561" s="51" t="n">
        <v>0.045205</v>
      </c>
      <c r="O561" s="55" t="n">
        <v>0</v>
      </c>
      <c r="P561" s="51" t="n">
        <v>6</v>
      </c>
      <c r="Q561" s="49" t="s">
        <v>2098</v>
      </c>
      <c r="R561" s="49" t="s">
        <v>2572</v>
      </c>
      <c r="S561" s="53" t="n">
        <v>0</v>
      </c>
      <c r="T561" s="51" t="n">
        <v>1</v>
      </c>
      <c r="U561" s="56" t="n">
        <f aca="false">I561*O561</f>
        <v>0</v>
      </c>
      <c r="V561" s="56" t="n">
        <f aca="false">J561*O561</f>
        <v>0</v>
      </c>
      <c r="W561" s="56" t="n">
        <f aca="false">((I561+J561)/2)*O561</f>
        <v>0</v>
      </c>
      <c r="X561" s="56" t="n">
        <f aca="false">H561*O561</f>
        <v>0</v>
      </c>
    </row>
    <row r="562" customFormat="false" ht="22.35" hidden="false" customHeight="false" outlineLevel="0" collapsed="false">
      <c r="A562" s="76" t="s">
        <v>2063</v>
      </c>
      <c r="B562" s="7" t="s">
        <v>3007</v>
      </c>
      <c r="C562" s="7" t="s">
        <v>3008</v>
      </c>
      <c r="D562" s="7" t="s">
        <v>2570</v>
      </c>
      <c r="E562" s="77" t="s">
        <v>2571</v>
      </c>
      <c r="F562" s="7" t="s">
        <v>2097</v>
      </c>
      <c r="G562" s="7" t="s">
        <v>2097</v>
      </c>
      <c r="H562" s="9" t="n">
        <v>8</v>
      </c>
      <c r="I562" s="9" t="n">
        <v>0</v>
      </c>
      <c r="J562" s="9" t="n">
        <v>0</v>
      </c>
      <c r="K562" s="52" t="n">
        <v>0</v>
      </c>
      <c r="L562" s="58" t="n">
        <v>26.1</v>
      </c>
      <c r="M562" s="59"/>
      <c r="N562" s="9" t="n">
        <v>0.154795</v>
      </c>
      <c r="O562" s="8" t="n">
        <v>0</v>
      </c>
      <c r="P562" s="9" t="n">
        <v>8</v>
      </c>
      <c r="Q562" s="7" t="s">
        <v>2098</v>
      </c>
      <c r="R562" s="7" t="s">
        <v>2572</v>
      </c>
      <c r="S562" s="58" t="n">
        <v>0</v>
      </c>
      <c r="T562" s="9" t="n">
        <v>1</v>
      </c>
      <c r="U562" s="56" t="n">
        <f aca="false">I562*O562</f>
        <v>0</v>
      </c>
      <c r="V562" s="56" t="n">
        <f aca="false">J562*O562</f>
        <v>0</v>
      </c>
      <c r="W562" s="56" t="n">
        <f aca="false">((I562+J562)/2)*O562</f>
        <v>0</v>
      </c>
      <c r="X562" s="56" t="n">
        <f aca="false">H562*O562</f>
        <v>0</v>
      </c>
    </row>
    <row r="563" customFormat="false" ht="22.35" hidden="false" customHeight="false" outlineLevel="0" collapsed="false">
      <c r="A563" s="76" t="s">
        <v>2063</v>
      </c>
      <c r="B563" s="49" t="s">
        <v>3009</v>
      </c>
      <c r="C563" s="49" t="s">
        <v>3010</v>
      </c>
      <c r="D563" s="49" t="s">
        <v>2570</v>
      </c>
      <c r="E563" s="77" t="s">
        <v>2571</v>
      </c>
      <c r="F563" s="49" t="s">
        <v>2097</v>
      </c>
      <c r="G563" s="49" t="s">
        <v>2097</v>
      </c>
      <c r="H563" s="51" t="n">
        <v>144</v>
      </c>
      <c r="I563" s="51" t="n">
        <v>0</v>
      </c>
      <c r="J563" s="51" t="n">
        <v>0</v>
      </c>
      <c r="K563" s="52" t="n">
        <v>0</v>
      </c>
      <c r="L563" s="53" t="n">
        <v>26.1</v>
      </c>
      <c r="M563" s="54"/>
      <c r="N563" s="51" t="n">
        <v>1.186301</v>
      </c>
      <c r="O563" s="55" t="n">
        <v>0</v>
      </c>
      <c r="P563" s="51" t="n">
        <v>144</v>
      </c>
      <c r="Q563" s="49" t="s">
        <v>2098</v>
      </c>
      <c r="R563" s="49" t="s">
        <v>2572</v>
      </c>
      <c r="S563" s="53" t="n">
        <v>0</v>
      </c>
      <c r="T563" s="51" t="n">
        <v>1</v>
      </c>
      <c r="U563" s="56" t="n">
        <f aca="false">I563*O563</f>
        <v>0</v>
      </c>
      <c r="V563" s="56" t="n">
        <f aca="false">J563*O563</f>
        <v>0</v>
      </c>
      <c r="W563" s="56" t="n">
        <f aca="false">((I563+J563)/2)*O563</f>
        <v>0</v>
      </c>
      <c r="X563" s="56" t="n">
        <f aca="false">H563*O563</f>
        <v>0</v>
      </c>
    </row>
    <row r="564" customFormat="false" ht="22.35" hidden="false" customHeight="false" outlineLevel="0" collapsed="false">
      <c r="A564" s="76" t="s">
        <v>2063</v>
      </c>
      <c r="B564" s="7" t="s">
        <v>3011</v>
      </c>
      <c r="C564" s="7" t="s">
        <v>3010</v>
      </c>
      <c r="D564" s="7" t="s">
        <v>2570</v>
      </c>
      <c r="E564" s="77" t="s">
        <v>2571</v>
      </c>
      <c r="F564" s="7" t="s">
        <v>2097</v>
      </c>
      <c r="G564" s="7" t="s">
        <v>2097</v>
      </c>
      <c r="H564" s="9" t="n">
        <v>8</v>
      </c>
      <c r="I564" s="9" t="n">
        <v>0</v>
      </c>
      <c r="J564" s="9" t="n">
        <v>0</v>
      </c>
      <c r="K564" s="52" t="n">
        <v>0</v>
      </c>
      <c r="L564" s="58" t="n">
        <v>26.1</v>
      </c>
      <c r="M564" s="59"/>
      <c r="N564" s="9" t="n">
        <v>0.117808</v>
      </c>
      <c r="O564" s="8" t="n">
        <v>0</v>
      </c>
      <c r="P564" s="9" t="n">
        <v>8</v>
      </c>
      <c r="Q564" s="7" t="s">
        <v>2098</v>
      </c>
      <c r="R564" s="7" t="s">
        <v>2572</v>
      </c>
      <c r="S564" s="58" t="n">
        <v>0</v>
      </c>
      <c r="T564" s="9" t="n">
        <v>1</v>
      </c>
      <c r="U564" s="56" t="n">
        <f aca="false">I564*O564</f>
        <v>0</v>
      </c>
      <c r="V564" s="56" t="n">
        <f aca="false">J564*O564</f>
        <v>0</v>
      </c>
      <c r="W564" s="56" t="n">
        <f aca="false">((I564+J564)/2)*O564</f>
        <v>0</v>
      </c>
      <c r="X564" s="56" t="n">
        <f aca="false">H564*O564</f>
        <v>0</v>
      </c>
    </row>
    <row r="565" customFormat="false" ht="22.35" hidden="false" customHeight="false" outlineLevel="0" collapsed="false">
      <c r="A565" s="76" t="s">
        <v>2063</v>
      </c>
      <c r="B565" s="49" t="s">
        <v>3012</v>
      </c>
      <c r="C565" s="49" t="s">
        <v>3013</v>
      </c>
      <c r="D565" s="49" t="s">
        <v>2570</v>
      </c>
      <c r="E565" s="77" t="s">
        <v>2571</v>
      </c>
      <c r="F565" s="49" t="s">
        <v>2097</v>
      </c>
      <c r="G565" s="49" t="s">
        <v>2097</v>
      </c>
      <c r="H565" s="51" t="n">
        <v>48</v>
      </c>
      <c r="I565" s="51" t="n">
        <v>0</v>
      </c>
      <c r="J565" s="51" t="n">
        <v>0</v>
      </c>
      <c r="K565" s="52" t="n">
        <v>0</v>
      </c>
      <c r="L565" s="53" t="n">
        <v>26.1</v>
      </c>
      <c r="M565" s="54"/>
      <c r="N565" s="51" t="n">
        <v>1.524658</v>
      </c>
      <c r="O565" s="55" t="n">
        <v>0</v>
      </c>
      <c r="P565" s="51" t="n">
        <v>48</v>
      </c>
      <c r="Q565" s="49" t="s">
        <v>2098</v>
      </c>
      <c r="R565" s="49" t="s">
        <v>2572</v>
      </c>
      <c r="S565" s="53" t="n">
        <v>0</v>
      </c>
      <c r="T565" s="51" t="n">
        <v>1</v>
      </c>
      <c r="U565" s="56" t="n">
        <f aca="false">I565*O565</f>
        <v>0</v>
      </c>
      <c r="V565" s="56" t="n">
        <f aca="false">J565*O565</f>
        <v>0</v>
      </c>
      <c r="W565" s="56" t="n">
        <f aca="false">((I565+J565)/2)*O565</f>
        <v>0</v>
      </c>
      <c r="X565" s="56" t="n">
        <f aca="false">H565*O565</f>
        <v>0</v>
      </c>
    </row>
    <row r="566" customFormat="false" ht="22.35" hidden="false" customHeight="false" outlineLevel="0" collapsed="false">
      <c r="A566" s="76" t="s">
        <v>2063</v>
      </c>
      <c r="B566" s="7" t="s">
        <v>3014</v>
      </c>
      <c r="C566" s="7" t="s">
        <v>3015</v>
      </c>
      <c r="D566" s="7" t="s">
        <v>2570</v>
      </c>
      <c r="E566" s="77" t="s">
        <v>2571</v>
      </c>
      <c r="F566" s="7" t="s">
        <v>2097</v>
      </c>
      <c r="G566" s="7" t="s">
        <v>2097</v>
      </c>
      <c r="H566" s="9" t="n">
        <v>576</v>
      </c>
      <c r="I566" s="9" t="n">
        <v>0</v>
      </c>
      <c r="J566" s="9" t="n">
        <v>0</v>
      </c>
      <c r="K566" s="52" t="n">
        <v>0</v>
      </c>
      <c r="L566" s="58" t="n">
        <v>26.1</v>
      </c>
      <c r="M566" s="59"/>
      <c r="N566" s="9" t="n">
        <v>7.182192</v>
      </c>
      <c r="O566" s="8" t="n">
        <v>0</v>
      </c>
      <c r="P566" s="9" t="n">
        <v>576</v>
      </c>
      <c r="Q566" s="7" t="s">
        <v>2098</v>
      </c>
      <c r="R566" s="7" t="s">
        <v>2572</v>
      </c>
      <c r="S566" s="58" t="n">
        <v>0</v>
      </c>
      <c r="T566" s="9" t="n">
        <v>1</v>
      </c>
      <c r="U566" s="56" t="n">
        <f aca="false">I566*O566</f>
        <v>0</v>
      </c>
      <c r="V566" s="56" t="n">
        <f aca="false">J566*O566</f>
        <v>0</v>
      </c>
      <c r="W566" s="56" t="n">
        <f aca="false">((I566+J566)/2)*O566</f>
        <v>0</v>
      </c>
      <c r="X566" s="56" t="n">
        <f aca="false">H566*O566</f>
        <v>0</v>
      </c>
    </row>
    <row r="567" customFormat="false" ht="22.35" hidden="false" customHeight="false" outlineLevel="0" collapsed="false">
      <c r="A567" s="76" t="s">
        <v>2063</v>
      </c>
      <c r="B567" s="49" t="s">
        <v>3016</v>
      </c>
      <c r="C567" s="49" t="s">
        <v>3015</v>
      </c>
      <c r="D567" s="49" t="s">
        <v>2570</v>
      </c>
      <c r="E567" s="77" t="s">
        <v>2571</v>
      </c>
      <c r="F567" s="49" t="s">
        <v>2097</v>
      </c>
      <c r="G567" s="49" t="s">
        <v>2097</v>
      </c>
      <c r="H567" s="51" t="n">
        <v>96</v>
      </c>
      <c r="I567" s="51" t="n">
        <v>0</v>
      </c>
      <c r="J567" s="51" t="n">
        <v>0</v>
      </c>
      <c r="K567" s="52" t="n">
        <v>0</v>
      </c>
      <c r="L567" s="53" t="n">
        <v>26.1</v>
      </c>
      <c r="M567" s="54"/>
      <c r="N567" s="51" t="n">
        <v>2.194521</v>
      </c>
      <c r="O567" s="55" t="n">
        <v>0</v>
      </c>
      <c r="P567" s="51" t="n">
        <v>96</v>
      </c>
      <c r="Q567" s="49" t="s">
        <v>2098</v>
      </c>
      <c r="R567" s="49" t="s">
        <v>2572</v>
      </c>
      <c r="S567" s="53" t="n">
        <v>0</v>
      </c>
      <c r="T567" s="51" t="n">
        <v>1</v>
      </c>
      <c r="U567" s="56" t="n">
        <f aca="false">I567*O567</f>
        <v>0</v>
      </c>
      <c r="V567" s="56" t="n">
        <f aca="false">J567*O567</f>
        <v>0</v>
      </c>
      <c r="W567" s="56" t="n">
        <f aca="false">((I567+J567)/2)*O567</f>
        <v>0</v>
      </c>
      <c r="X567" s="56" t="n">
        <f aca="false">H567*O567</f>
        <v>0</v>
      </c>
    </row>
    <row r="568" customFormat="false" ht="22.35" hidden="false" customHeight="false" outlineLevel="0" collapsed="false">
      <c r="A568" s="76" t="s">
        <v>2063</v>
      </c>
      <c r="B568" s="7" t="s">
        <v>3017</v>
      </c>
      <c r="C568" s="7" t="s">
        <v>3018</v>
      </c>
      <c r="D568" s="7" t="s">
        <v>2570</v>
      </c>
      <c r="E568" s="77" t="s">
        <v>2571</v>
      </c>
      <c r="F568" s="7" t="s">
        <v>2097</v>
      </c>
      <c r="G568" s="7" t="s">
        <v>2097</v>
      </c>
      <c r="H568" s="9" t="n">
        <v>192</v>
      </c>
      <c r="I568" s="9" t="n">
        <v>0</v>
      </c>
      <c r="J568" s="9" t="n">
        <v>0</v>
      </c>
      <c r="K568" s="52" t="n">
        <v>0</v>
      </c>
      <c r="L568" s="58" t="n">
        <v>26.1</v>
      </c>
      <c r="M568" s="59"/>
      <c r="N568" s="9" t="n">
        <v>1.080822</v>
      </c>
      <c r="O568" s="8" t="n">
        <v>0</v>
      </c>
      <c r="P568" s="9" t="n">
        <v>192</v>
      </c>
      <c r="Q568" s="7" t="s">
        <v>2098</v>
      </c>
      <c r="R568" s="7" t="s">
        <v>2572</v>
      </c>
      <c r="S568" s="58" t="n">
        <v>0</v>
      </c>
      <c r="T568" s="9" t="n">
        <v>1</v>
      </c>
      <c r="U568" s="56" t="n">
        <f aca="false">I568*O568</f>
        <v>0</v>
      </c>
      <c r="V568" s="56" t="n">
        <f aca="false">J568*O568</f>
        <v>0</v>
      </c>
      <c r="W568" s="56" t="n">
        <f aca="false">((I568+J568)/2)*O568</f>
        <v>0</v>
      </c>
      <c r="X568" s="56" t="n">
        <f aca="false">H568*O568</f>
        <v>0</v>
      </c>
    </row>
    <row r="569" customFormat="false" ht="22.35" hidden="false" customHeight="false" outlineLevel="0" collapsed="false">
      <c r="A569" s="76" t="s">
        <v>2063</v>
      </c>
      <c r="B569" s="49" t="s">
        <v>3019</v>
      </c>
      <c r="C569" s="49" t="s">
        <v>3018</v>
      </c>
      <c r="D569" s="49" t="s">
        <v>2570</v>
      </c>
      <c r="E569" s="77" t="s">
        <v>2571</v>
      </c>
      <c r="F569" s="49" t="s">
        <v>2097</v>
      </c>
      <c r="G569" s="49" t="s">
        <v>2097</v>
      </c>
      <c r="H569" s="51" t="n">
        <v>36</v>
      </c>
      <c r="I569" s="51" t="n">
        <v>0</v>
      </c>
      <c r="J569" s="51" t="n">
        <v>0</v>
      </c>
      <c r="K569" s="52" t="n">
        <v>0</v>
      </c>
      <c r="L569" s="53" t="n">
        <v>26.1</v>
      </c>
      <c r="M569" s="54"/>
      <c r="N569" s="51" t="n">
        <v>0.386301</v>
      </c>
      <c r="O569" s="55" t="n">
        <v>0</v>
      </c>
      <c r="P569" s="51" t="n">
        <v>36</v>
      </c>
      <c r="Q569" s="49" t="s">
        <v>2098</v>
      </c>
      <c r="R569" s="49" t="s">
        <v>2572</v>
      </c>
      <c r="S569" s="53" t="n">
        <v>0</v>
      </c>
      <c r="T569" s="51" t="n">
        <v>1</v>
      </c>
      <c r="U569" s="56" t="n">
        <f aca="false">I569*O569</f>
        <v>0</v>
      </c>
      <c r="V569" s="56" t="n">
        <f aca="false">J569*O569</f>
        <v>0</v>
      </c>
      <c r="W569" s="56" t="n">
        <f aca="false">((I569+J569)/2)*O569</f>
        <v>0</v>
      </c>
      <c r="X569" s="56" t="n">
        <f aca="false">H569*O569</f>
        <v>0</v>
      </c>
    </row>
    <row r="570" customFormat="false" ht="22.35" hidden="false" customHeight="false" outlineLevel="0" collapsed="false">
      <c r="A570" s="76" t="s">
        <v>2063</v>
      </c>
      <c r="B570" s="7" t="s">
        <v>3020</v>
      </c>
      <c r="C570" s="7" t="s">
        <v>3021</v>
      </c>
      <c r="D570" s="7" t="s">
        <v>2570</v>
      </c>
      <c r="E570" s="77" t="s">
        <v>2571</v>
      </c>
      <c r="F570" s="7" t="s">
        <v>2097</v>
      </c>
      <c r="G570" s="7" t="s">
        <v>2097</v>
      </c>
      <c r="H570" s="9" t="n">
        <v>24</v>
      </c>
      <c r="I570" s="9" t="n">
        <v>0</v>
      </c>
      <c r="J570" s="9" t="n">
        <v>0</v>
      </c>
      <c r="K570" s="52" t="n">
        <v>0</v>
      </c>
      <c r="L570" s="58" t="n">
        <v>26.1</v>
      </c>
      <c r="M570" s="59"/>
      <c r="N570" s="9" t="n">
        <v>0.446575</v>
      </c>
      <c r="O570" s="8" t="n">
        <v>0</v>
      </c>
      <c r="P570" s="9" t="n">
        <v>24</v>
      </c>
      <c r="Q570" s="7" t="s">
        <v>2098</v>
      </c>
      <c r="R570" s="7" t="s">
        <v>2572</v>
      </c>
      <c r="S570" s="58" t="n">
        <v>0</v>
      </c>
      <c r="T570" s="9" t="n">
        <v>1</v>
      </c>
      <c r="U570" s="56" t="n">
        <f aca="false">I570*O570</f>
        <v>0</v>
      </c>
      <c r="V570" s="56" t="n">
        <f aca="false">J570*O570</f>
        <v>0</v>
      </c>
      <c r="W570" s="56" t="n">
        <f aca="false">((I570+J570)/2)*O570</f>
        <v>0</v>
      </c>
      <c r="X570" s="56" t="n">
        <f aca="false">H570*O570</f>
        <v>0</v>
      </c>
    </row>
    <row r="571" customFormat="false" ht="22.35" hidden="false" customHeight="false" outlineLevel="0" collapsed="false">
      <c r="A571" s="76" t="s">
        <v>2063</v>
      </c>
      <c r="B571" s="49" t="s">
        <v>3022</v>
      </c>
      <c r="C571" s="49" t="s">
        <v>3023</v>
      </c>
      <c r="D571" s="49" t="s">
        <v>2570</v>
      </c>
      <c r="E571" s="77" t="s">
        <v>2571</v>
      </c>
      <c r="F571" s="49" t="s">
        <v>2097</v>
      </c>
      <c r="G571" s="49" t="s">
        <v>2097</v>
      </c>
      <c r="H571" s="51" t="n">
        <v>10</v>
      </c>
      <c r="I571" s="51" t="n">
        <v>0</v>
      </c>
      <c r="J571" s="51" t="n">
        <v>0</v>
      </c>
      <c r="K571" s="52" t="n">
        <v>0</v>
      </c>
      <c r="L571" s="53" t="n">
        <v>26.1</v>
      </c>
      <c r="M571" s="54"/>
      <c r="N571" s="51" t="n">
        <v>0.160274</v>
      </c>
      <c r="O571" s="55" t="n">
        <v>0</v>
      </c>
      <c r="P571" s="51" t="n">
        <v>10</v>
      </c>
      <c r="Q571" s="49" t="s">
        <v>2098</v>
      </c>
      <c r="R571" s="49" t="s">
        <v>2572</v>
      </c>
      <c r="S571" s="53" t="n">
        <v>0</v>
      </c>
      <c r="T571" s="51" t="n">
        <v>1</v>
      </c>
      <c r="U571" s="56" t="n">
        <f aca="false">I571*O571</f>
        <v>0</v>
      </c>
      <c r="V571" s="56" t="n">
        <f aca="false">J571*O571</f>
        <v>0</v>
      </c>
      <c r="W571" s="56" t="n">
        <f aca="false">((I571+J571)/2)*O571</f>
        <v>0</v>
      </c>
      <c r="X571" s="56" t="n">
        <f aca="false">H571*O571</f>
        <v>0</v>
      </c>
    </row>
    <row r="572" customFormat="false" ht="22.35" hidden="false" customHeight="false" outlineLevel="0" collapsed="false">
      <c r="A572" s="76" t="s">
        <v>2063</v>
      </c>
      <c r="B572" s="7" t="s">
        <v>3024</v>
      </c>
      <c r="C572" s="7" t="s">
        <v>3025</v>
      </c>
      <c r="D572" s="7" t="s">
        <v>2570</v>
      </c>
      <c r="E572" s="77" t="s">
        <v>2571</v>
      </c>
      <c r="F572" s="7" t="s">
        <v>2097</v>
      </c>
      <c r="G572" s="7" t="s">
        <v>2097</v>
      </c>
      <c r="H572" s="9" t="n">
        <v>72</v>
      </c>
      <c r="I572" s="9" t="n">
        <v>0</v>
      </c>
      <c r="J572" s="9" t="n">
        <v>0</v>
      </c>
      <c r="K572" s="52" t="n">
        <v>0</v>
      </c>
      <c r="L572" s="58" t="n">
        <v>26.1</v>
      </c>
      <c r="M572" s="59"/>
      <c r="N572" s="9" t="n">
        <v>1.080822</v>
      </c>
      <c r="O572" s="8" t="n">
        <v>0</v>
      </c>
      <c r="P572" s="9" t="n">
        <v>72</v>
      </c>
      <c r="Q572" s="7" t="s">
        <v>2098</v>
      </c>
      <c r="R572" s="7" t="s">
        <v>2572</v>
      </c>
      <c r="S572" s="58" t="n">
        <v>0</v>
      </c>
      <c r="T572" s="9" t="n">
        <v>1</v>
      </c>
      <c r="U572" s="56" t="n">
        <f aca="false">I572*O572</f>
        <v>0</v>
      </c>
      <c r="V572" s="56" t="n">
        <f aca="false">J572*O572</f>
        <v>0</v>
      </c>
      <c r="W572" s="56" t="n">
        <f aca="false">((I572+J572)/2)*O572</f>
        <v>0</v>
      </c>
      <c r="X572" s="56" t="n">
        <f aca="false">H572*O572</f>
        <v>0</v>
      </c>
    </row>
    <row r="573" customFormat="false" ht="22.35" hidden="false" customHeight="false" outlineLevel="0" collapsed="false">
      <c r="A573" s="76" t="s">
        <v>2063</v>
      </c>
      <c r="B573" s="49" t="s">
        <v>3026</v>
      </c>
      <c r="C573" s="49" t="s">
        <v>3027</v>
      </c>
      <c r="D573" s="49" t="s">
        <v>2570</v>
      </c>
      <c r="E573" s="77" t="s">
        <v>2571</v>
      </c>
      <c r="F573" s="49" t="s">
        <v>2097</v>
      </c>
      <c r="G573" s="49" t="s">
        <v>2097</v>
      </c>
      <c r="H573" s="51" t="n">
        <v>40</v>
      </c>
      <c r="I573" s="51" t="n">
        <v>0</v>
      </c>
      <c r="J573" s="51" t="n">
        <v>0</v>
      </c>
      <c r="K573" s="52" t="n">
        <v>0</v>
      </c>
      <c r="L573" s="53" t="n">
        <v>26.1</v>
      </c>
      <c r="M573" s="54"/>
      <c r="N573" s="51" t="n">
        <v>0.410959</v>
      </c>
      <c r="O573" s="55" t="n">
        <v>0</v>
      </c>
      <c r="P573" s="51" t="n">
        <v>40</v>
      </c>
      <c r="Q573" s="49" t="s">
        <v>2098</v>
      </c>
      <c r="R573" s="49" t="s">
        <v>2572</v>
      </c>
      <c r="S573" s="53" t="n">
        <v>0</v>
      </c>
      <c r="T573" s="51" t="n">
        <v>1</v>
      </c>
      <c r="U573" s="56" t="n">
        <f aca="false">I573*O573</f>
        <v>0</v>
      </c>
      <c r="V573" s="56" t="n">
        <f aca="false">J573*O573</f>
        <v>0</v>
      </c>
      <c r="W573" s="56" t="n">
        <f aca="false">((I573+J573)/2)*O573</f>
        <v>0</v>
      </c>
      <c r="X573" s="56" t="n">
        <f aca="false">H573*O573</f>
        <v>0</v>
      </c>
    </row>
    <row r="574" customFormat="false" ht="22.35" hidden="false" customHeight="false" outlineLevel="0" collapsed="false">
      <c r="A574" s="76" t="s">
        <v>2063</v>
      </c>
      <c r="B574" s="7" t="s">
        <v>3028</v>
      </c>
      <c r="C574" s="7" t="s">
        <v>3029</v>
      </c>
      <c r="D574" s="7" t="s">
        <v>2570</v>
      </c>
      <c r="E574" s="77" t="s">
        <v>2571</v>
      </c>
      <c r="F574" s="7" t="s">
        <v>2097</v>
      </c>
      <c r="G574" s="7" t="s">
        <v>2097</v>
      </c>
      <c r="H574" s="9" t="n">
        <v>72</v>
      </c>
      <c r="I574" s="9" t="n">
        <v>0</v>
      </c>
      <c r="J574" s="9" t="n">
        <v>0</v>
      </c>
      <c r="K574" s="52" t="n">
        <v>0</v>
      </c>
      <c r="L574" s="58" t="n">
        <v>26.1</v>
      </c>
      <c r="M574" s="59"/>
      <c r="N574" s="9" t="n">
        <v>1.056164</v>
      </c>
      <c r="O574" s="8" t="n">
        <v>0</v>
      </c>
      <c r="P574" s="9" t="n">
        <v>72</v>
      </c>
      <c r="Q574" s="7" t="s">
        <v>2098</v>
      </c>
      <c r="R574" s="7" t="s">
        <v>2572</v>
      </c>
      <c r="S574" s="58" t="n">
        <v>0</v>
      </c>
      <c r="T574" s="9" t="n">
        <v>1</v>
      </c>
      <c r="U574" s="56" t="n">
        <f aca="false">I574*O574</f>
        <v>0</v>
      </c>
      <c r="V574" s="56" t="n">
        <f aca="false">J574*O574</f>
        <v>0</v>
      </c>
      <c r="W574" s="56" t="n">
        <f aca="false">((I574+J574)/2)*O574</f>
        <v>0</v>
      </c>
      <c r="X574" s="56" t="n">
        <f aca="false">H574*O574</f>
        <v>0</v>
      </c>
    </row>
    <row r="575" customFormat="false" ht="22.35" hidden="false" customHeight="false" outlineLevel="0" collapsed="false">
      <c r="A575" s="76" t="s">
        <v>2063</v>
      </c>
      <c r="B575" s="49" t="s">
        <v>3030</v>
      </c>
      <c r="C575" s="49" t="s">
        <v>3031</v>
      </c>
      <c r="D575" s="49" t="s">
        <v>2570</v>
      </c>
      <c r="E575" s="77" t="s">
        <v>2571</v>
      </c>
      <c r="F575" s="49" t="s">
        <v>2097</v>
      </c>
      <c r="G575" s="49" t="s">
        <v>2097</v>
      </c>
      <c r="H575" s="51" t="n">
        <v>20</v>
      </c>
      <c r="I575" s="51" t="n">
        <v>0</v>
      </c>
      <c r="J575" s="51" t="n">
        <v>0</v>
      </c>
      <c r="K575" s="52" t="n">
        <v>0</v>
      </c>
      <c r="L575" s="53" t="n">
        <v>26.1</v>
      </c>
      <c r="M575" s="54"/>
      <c r="N575" s="51" t="n">
        <v>0.184932</v>
      </c>
      <c r="O575" s="55" t="n">
        <v>0</v>
      </c>
      <c r="P575" s="51" t="n">
        <v>20</v>
      </c>
      <c r="Q575" s="49" t="s">
        <v>2098</v>
      </c>
      <c r="R575" s="49" t="s">
        <v>2572</v>
      </c>
      <c r="S575" s="53" t="n">
        <v>0</v>
      </c>
      <c r="T575" s="51" t="n">
        <v>1</v>
      </c>
      <c r="U575" s="56" t="n">
        <f aca="false">I575*O575</f>
        <v>0</v>
      </c>
      <c r="V575" s="56" t="n">
        <f aca="false">J575*O575</f>
        <v>0</v>
      </c>
      <c r="W575" s="56" t="n">
        <f aca="false">((I575+J575)/2)*O575</f>
        <v>0</v>
      </c>
      <c r="X575" s="56" t="n">
        <f aca="false">H575*O575</f>
        <v>0</v>
      </c>
    </row>
    <row r="576" customFormat="false" ht="22.35" hidden="false" customHeight="false" outlineLevel="0" collapsed="false">
      <c r="A576" s="76" t="s">
        <v>2063</v>
      </c>
      <c r="B576" s="7" t="s">
        <v>3032</v>
      </c>
      <c r="C576" s="7" t="s">
        <v>3033</v>
      </c>
      <c r="D576" s="7" t="s">
        <v>2570</v>
      </c>
      <c r="E576" s="77" t="s">
        <v>2571</v>
      </c>
      <c r="F576" s="7" t="s">
        <v>2097</v>
      </c>
      <c r="G576" s="7" t="s">
        <v>2097</v>
      </c>
      <c r="H576" s="9" t="n">
        <v>172</v>
      </c>
      <c r="I576" s="9" t="n">
        <v>0</v>
      </c>
      <c r="J576" s="9" t="n">
        <v>0</v>
      </c>
      <c r="K576" s="52" t="n">
        <v>0</v>
      </c>
      <c r="L576" s="58" t="n">
        <v>26.1</v>
      </c>
      <c r="M576" s="59"/>
      <c r="N576" s="9" t="n">
        <v>1.975342</v>
      </c>
      <c r="O576" s="8" t="n">
        <v>0</v>
      </c>
      <c r="P576" s="9" t="n">
        <v>172</v>
      </c>
      <c r="Q576" s="7" t="s">
        <v>2098</v>
      </c>
      <c r="R576" s="7" t="s">
        <v>2572</v>
      </c>
      <c r="S576" s="58" t="n">
        <v>0</v>
      </c>
      <c r="T576" s="9" t="n">
        <v>1</v>
      </c>
      <c r="U576" s="56" t="n">
        <f aca="false">I576*O576</f>
        <v>0</v>
      </c>
      <c r="V576" s="56" t="n">
        <f aca="false">J576*O576</f>
        <v>0</v>
      </c>
      <c r="W576" s="56" t="n">
        <f aca="false">((I576+J576)/2)*O576</f>
        <v>0</v>
      </c>
      <c r="X576" s="56" t="n">
        <f aca="false">H576*O576</f>
        <v>0</v>
      </c>
    </row>
    <row r="577" customFormat="false" ht="22.35" hidden="false" customHeight="false" outlineLevel="0" collapsed="false">
      <c r="A577" s="76" t="s">
        <v>2063</v>
      </c>
      <c r="B577" s="49" t="s">
        <v>3034</v>
      </c>
      <c r="C577" s="49" t="s">
        <v>3035</v>
      </c>
      <c r="D577" s="49" t="s">
        <v>2570</v>
      </c>
      <c r="E577" s="77" t="s">
        <v>2571</v>
      </c>
      <c r="F577" s="49" t="s">
        <v>2097</v>
      </c>
      <c r="G577" s="49" t="s">
        <v>2097</v>
      </c>
      <c r="H577" s="51" t="n">
        <v>172</v>
      </c>
      <c r="I577" s="51" t="n">
        <v>0</v>
      </c>
      <c r="J577" s="51" t="n">
        <v>0</v>
      </c>
      <c r="K577" s="52" t="n">
        <v>0</v>
      </c>
      <c r="L577" s="53" t="n">
        <v>26.1</v>
      </c>
      <c r="M577" s="54"/>
      <c r="N577" s="51" t="n">
        <v>1.784932</v>
      </c>
      <c r="O577" s="55" t="n">
        <v>0</v>
      </c>
      <c r="P577" s="51" t="n">
        <v>172</v>
      </c>
      <c r="Q577" s="49" t="s">
        <v>2098</v>
      </c>
      <c r="R577" s="49" t="s">
        <v>2572</v>
      </c>
      <c r="S577" s="53" t="n">
        <v>0</v>
      </c>
      <c r="T577" s="51" t="n">
        <v>1</v>
      </c>
      <c r="U577" s="56" t="n">
        <f aca="false">I577*O577</f>
        <v>0</v>
      </c>
      <c r="V577" s="56" t="n">
        <f aca="false">J577*O577</f>
        <v>0</v>
      </c>
      <c r="W577" s="56" t="n">
        <f aca="false">((I577+J577)/2)*O577</f>
        <v>0</v>
      </c>
      <c r="X577" s="56" t="n">
        <f aca="false">H577*O577</f>
        <v>0</v>
      </c>
    </row>
    <row r="578" customFormat="false" ht="22.35" hidden="false" customHeight="false" outlineLevel="0" collapsed="false">
      <c r="A578" s="76" t="s">
        <v>2063</v>
      </c>
      <c r="B578" s="7" t="s">
        <v>3036</v>
      </c>
      <c r="C578" s="7" t="s">
        <v>3037</v>
      </c>
      <c r="D578" s="7" t="s">
        <v>2570</v>
      </c>
      <c r="E578" s="77" t="s">
        <v>2571</v>
      </c>
      <c r="F578" s="7" t="s">
        <v>2097</v>
      </c>
      <c r="G578" s="7" t="s">
        <v>2097</v>
      </c>
      <c r="H578" s="9" t="n">
        <v>36</v>
      </c>
      <c r="I578" s="9" t="n">
        <v>0</v>
      </c>
      <c r="J578" s="9" t="n">
        <v>0</v>
      </c>
      <c r="K578" s="52" t="n">
        <v>0</v>
      </c>
      <c r="L578" s="58" t="n">
        <v>26.1</v>
      </c>
      <c r="M578" s="59"/>
      <c r="N578" s="9" t="n">
        <v>0.832877</v>
      </c>
      <c r="O578" s="8" t="n">
        <v>0</v>
      </c>
      <c r="P578" s="9" t="n">
        <v>36</v>
      </c>
      <c r="Q578" s="7" t="s">
        <v>2098</v>
      </c>
      <c r="R578" s="7" t="s">
        <v>2572</v>
      </c>
      <c r="S578" s="58" t="n">
        <v>0</v>
      </c>
      <c r="T578" s="9" t="n">
        <v>0</v>
      </c>
      <c r="U578" s="56" t="n">
        <f aca="false">I578*O578</f>
        <v>0</v>
      </c>
      <c r="V578" s="56" t="n">
        <f aca="false">J578*O578</f>
        <v>0</v>
      </c>
      <c r="W578" s="56" t="n">
        <f aca="false">((I578+J578)/2)*O578</f>
        <v>0</v>
      </c>
      <c r="X578" s="56" t="n">
        <f aca="false">H578*O578</f>
        <v>0</v>
      </c>
    </row>
    <row r="579" customFormat="false" ht="22.35" hidden="false" customHeight="false" outlineLevel="0" collapsed="false">
      <c r="A579" s="76" t="s">
        <v>2063</v>
      </c>
      <c r="B579" s="49" t="s">
        <v>3038</v>
      </c>
      <c r="C579" s="49" t="s">
        <v>3037</v>
      </c>
      <c r="D579" s="49" t="s">
        <v>2570</v>
      </c>
      <c r="E579" s="77" t="s">
        <v>2571</v>
      </c>
      <c r="F579" s="49" t="s">
        <v>2097</v>
      </c>
      <c r="G579" s="49" t="s">
        <v>2097</v>
      </c>
      <c r="H579" s="51" t="n">
        <v>4</v>
      </c>
      <c r="I579" s="51" t="n">
        <v>0</v>
      </c>
      <c r="J579" s="51" t="n">
        <v>0</v>
      </c>
      <c r="K579" s="52" t="n">
        <v>0</v>
      </c>
      <c r="L579" s="53" t="n">
        <v>26.1</v>
      </c>
      <c r="M579" s="54"/>
      <c r="N579" s="51" t="n">
        <v>0.038356</v>
      </c>
      <c r="O579" s="55" t="n">
        <v>0</v>
      </c>
      <c r="P579" s="51" t="n">
        <v>4</v>
      </c>
      <c r="Q579" s="49" t="s">
        <v>2098</v>
      </c>
      <c r="R579" s="49" t="s">
        <v>2572</v>
      </c>
      <c r="S579" s="53" t="n">
        <v>0</v>
      </c>
      <c r="T579" s="51" t="n">
        <v>1</v>
      </c>
      <c r="U579" s="56" t="n">
        <f aca="false">I579*O579</f>
        <v>0</v>
      </c>
      <c r="V579" s="56" t="n">
        <f aca="false">J579*O579</f>
        <v>0</v>
      </c>
      <c r="W579" s="56" t="n">
        <f aca="false">((I579+J579)/2)*O579</f>
        <v>0</v>
      </c>
      <c r="X579" s="56" t="n">
        <f aca="false">H579*O579</f>
        <v>0</v>
      </c>
    </row>
    <row r="580" customFormat="false" ht="22.35" hidden="false" customHeight="false" outlineLevel="0" collapsed="false">
      <c r="A580" s="76" t="s">
        <v>2063</v>
      </c>
      <c r="B580" s="7" t="s">
        <v>3039</v>
      </c>
      <c r="C580" s="7" t="s">
        <v>3040</v>
      </c>
      <c r="D580" s="7" t="s">
        <v>2570</v>
      </c>
      <c r="E580" s="77" t="s">
        <v>2571</v>
      </c>
      <c r="F580" s="7" t="s">
        <v>2097</v>
      </c>
      <c r="G580" s="7" t="s">
        <v>2097</v>
      </c>
      <c r="H580" s="9" t="n">
        <v>24</v>
      </c>
      <c r="I580" s="9" t="n">
        <v>0</v>
      </c>
      <c r="J580" s="9" t="n">
        <v>0</v>
      </c>
      <c r="K580" s="52" t="n">
        <v>0</v>
      </c>
      <c r="L580" s="58" t="n">
        <v>26.1</v>
      </c>
      <c r="M580" s="59"/>
      <c r="N580" s="9" t="n">
        <v>0.632877</v>
      </c>
      <c r="O580" s="8" t="n">
        <v>0</v>
      </c>
      <c r="P580" s="9" t="n">
        <v>24</v>
      </c>
      <c r="Q580" s="7" t="s">
        <v>2098</v>
      </c>
      <c r="R580" s="7" t="s">
        <v>2572</v>
      </c>
      <c r="S580" s="58" t="n">
        <v>0</v>
      </c>
      <c r="T580" s="9" t="n">
        <v>1</v>
      </c>
      <c r="U580" s="56" t="n">
        <f aca="false">I580*O580</f>
        <v>0</v>
      </c>
      <c r="V580" s="56" t="n">
        <f aca="false">J580*O580</f>
        <v>0</v>
      </c>
      <c r="W580" s="56" t="n">
        <f aca="false">((I580+J580)/2)*O580</f>
        <v>0</v>
      </c>
      <c r="X580" s="56" t="n">
        <f aca="false">H580*O580</f>
        <v>0</v>
      </c>
    </row>
    <row r="581" customFormat="false" ht="22.35" hidden="false" customHeight="false" outlineLevel="0" collapsed="false">
      <c r="A581" s="76" t="s">
        <v>2063</v>
      </c>
      <c r="B581" s="49" t="s">
        <v>3041</v>
      </c>
      <c r="C581" s="49" t="s">
        <v>3042</v>
      </c>
      <c r="D581" s="49" t="s">
        <v>2570</v>
      </c>
      <c r="E581" s="77" t="s">
        <v>2571</v>
      </c>
      <c r="F581" s="49" t="s">
        <v>2097</v>
      </c>
      <c r="G581" s="49" t="s">
        <v>2097</v>
      </c>
      <c r="H581" s="51" t="n">
        <v>192</v>
      </c>
      <c r="I581" s="51" t="n">
        <v>0</v>
      </c>
      <c r="J581" s="51" t="n">
        <v>0</v>
      </c>
      <c r="K581" s="52" t="n">
        <v>0</v>
      </c>
      <c r="L581" s="53" t="n">
        <v>26.1</v>
      </c>
      <c r="M581" s="54"/>
      <c r="N581" s="51" t="n">
        <v>2.028767</v>
      </c>
      <c r="O581" s="55" t="n">
        <v>0</v>
      </c>
      <c r="P581" s="51" t="n">
        <v>192</v>
      </c>
      <c r="Q581" s="49" t="s">
        <v>2098</v>
      </c>
      <c r="R581" s="49" t="s">
        <v>2572</v>
      </c>
      <c r="S581" s="53" t="n">
        <v>0</v>
      </c>
      <c r="T581" s="51" t="n">
        <v>1</v>
      </c>
      <c r="U581" s="56" t="n">
        <f aca="false">I581*O581</f>
        <v>0</v>
      </c>
      <c r="V581" s="56" t="n">
        <f aca="false">J581*O581</f>
        <v>0</v>
      </c>
      <c r="W581" s="56" t="n">
        <f aca="false">((I581+J581)/2)*O581</f>
        <v>0</v>
      </c>
      <c r="X581" s="56" t="n">
        <f aca="false">H581*O581</f>
        <v>0</v>
      </c>
    </row>
    <row r="582" customFormat="false" ht="22.35" hidden="false" customHeight="false" outlineLevel="0" collapsed="false">
      <c r="A582" s="76" t="s">
        <v>2063</v>
      </c>
      <c r="B582" s="7" t="s">
        <v>3043</v>
      </c>
      <c r="C582" s="7" t="s">
        <v>3042</v>
      </c>
      <c r="D582" s="7" t="s">
        <v>2570</v>
      </c>
      <c r="E582" s="77" t="s">
        <v>2571</v>
      </c>
      <c r="F582" s="7" t="s">
        <v>2097</v>
      </c>
      <c r="G582" s="7" t="s">
        <v>2097</v>
      </c>
      <c r="H582" s="9" t="n">
        <v>96</v>
      </c>
      <c r="I582" s="9" t="n">
        <v>0</v>
      </c>
      <c r="J582" s="9" t="n">
        <v>0</v>
      </c>
      <c r="K582" s="52" t="n">
        <v>0</v>
      </c>
      <c r="L582" s="58" t="n">
        <v>26.1</v>
      </c>
      <c r="M582" s="59"/>
      <c r="N582" s="9" t="n">
        <v>1.517808</v>
      </c>
      <c r="O582" s="8" t="n">
        <v>0</v>
      </c>
      <c r="P582" s="9" t="n">
        <v>96</v>
      </c>
      <c r="Q582" s="7" t="s">
        <v>2098</v>
      </c>
      <c r="R582" s="7" t="s">
        <v>2572</v>
      </c>
      <c r="S582" s="58" t="n">
        <v>0</v>
      </c>
      <c r="T582" s="9" t="n">
        <v>1</v>
      </c>
      <c r="U582" s="56" t="n">
        <f aca="false">I582*O582</f>
        <v>0</v>
      </c>
      <c r="V582" s="56" t="n">
        <f aca="false">J582*O582</f>
        <v>0</v>
      </c>
      <c r="W582" s="56" t="n">
        <f aca="false">((I582+J582)/2)*O582</f>
        <v>0</v>
      </c>
      <c r="X582" s="56" t="n">
        <f aca="false">H582*O582</f>
        <v>0</v>
      </c>
    </row>
    <row r="583" customFormat="false" ht="22.35" hidden="false" customHeight="false" outlineLevel="0" collapsed="false">
      <c r="A583" s="76" t="s">
        <v>2063</v>
      </c>
      <c r="B583" s="49" t="s">
        <v>3044</v>
      </c>
      <c r="C583" s="49" t="s">
        <v>3045</v>
      </c>
      <c r="D583" s="49" t="s">
        <v>2570</v>
      </c>
      <c r="E583" s="77" t="s">
        <v>2571</v>
      </c>
      <c r="F583" s="49" t="s">
        <v>2097</v>
      </c>
      <c r="G583" s="49" t="s">
        <v>2097</v>
      </c>
      <c r="H583" s="51" t="n">
        <v>72</v>
      </c>
      <c r="I583" s="51" t="n">
        <v>0</v>
      </c>
      <c r="J583" s="51" t="n">
        <v>0</v>
      </c>
      <c r="K583" s="52" t="n">
        <v>0</v>
      </c>
      <c r="L583" s="53" t="n">
        <v>26.1</v>
      </c>
      <c r="M583" s="54"/>
      <c r="N583" s="51" t="n">
        <v>1.042466</v>
      </c>
      <c r="O583" s="55" t="n">
        <v>0</v>
      </c>
      <c r="P583" s="51" t="n">
        <v>72</v>
      </c>
      <c r="Q583" s="49" t="s">
        <v>2098</v>
      </c>
      <c r="R583" s="49" t="s">
        <v>2572</v>
      </c>
      <c r="S583" s="53" t="n">
        <v>0</v>
      </c>
      <c r="T583" s="51" t="n">
        <v>1</v>
      </c>
      <c r="U583" s="56" t="n">
        <f aca="false">I583*O583</f>
        <v>0</v>
      </c>
      <c r="V583" s="56" t="n">
        <f aca="false">J583*O583</f>
        <v>0</v>
      </c>
      <c r="W583" s="56" t="n">
        <f aca="false">((I583+J583)/2)*O583</f>
        <v>0</v>
      </c>
      <c r="X583" s="56" t="n">
        <f aca="false">H583*O583</f>
        <v>0</v>
      </c>
    </row>
    <row r="584" customFormat="false" ht="22.35" hidden="false" customHeight="false" outlineLevel="0" collapsed="false">
      <c r="A584" s="76" t="s">
        <v>2063</v>
      </c>
      <c r="B584" s="7" t="s">
        <v>3046</v>
      </c>
      <c r="C584" s="7" t="s">
        <v>3045</v>
      </c>
      <c r="D584" s="7" t="s">
        <v>2570</v>
      </c>
      <c r="E584" s="77" t="s">
        <v>2571</v>
      </c>
      <c r="F584" s="7" t="s">
        <v>2097</v>
      </c>
      <c r="G584" s="7" t="s">
        <v>2097</v>
      </c>
      <c r="H584" s="9" t="n">
        <v>72</v>
      </c>
      <c r="I584" s="9" t="n">
        <v>0</v>
      </c>
      <c r="J584" s="9" t="n">
        <v>0</v>
      </c>
      <c r="K584" s="52" t="n">
        <v>0</v>
      </c>
      <c r="L584" s="58" t="n">
        <v>26.1</v>
      </c>
      <c r="M584" s="59"/>
      <c r="N584" s="9" t="n">
        <v>0.843836</v>
      </c>
      <c r="O584" s="8" t="n">
        <v>0</v>
      </c>
      <c r="P584" s="9" t="n">
        <v>72</v>
      </c>
      <c r="Q584" s="7" t="s">
        <v>2098</v>
      </c>
      <c r="R584" s="7" t="s">
        <v>2572</v>
      </c>
      <c r="S584" s="58" t="n">
        <v>0</v>
      </c>
      <c r="T584" s="9" t="n">
        <v>1</v>
      </c>
      <c r="U584" s="56" t="n">
        <f aca="false">I584*O584</f>
        <v>0</v>
      </c>
      <c r="V584" s="56" t="n">
        <f aca="false">J584*O584</f>
        <v>0</v>
      </c>
      <c r="W584" s="56" t="n">
        <f aca="false">((I584+J584)/2)*O584</f>
        <v>0</v>
      </c>
      <c r="X584" s="56" t="n">
        <f aca="false">H584*O584</f>
        <v>0</v>
      </c>
    </row>
    <row r="585" customFormat="false" ht="22.35" hidden="false" customHeight="false" outlineLevel="0" collapsed="false">
      <c r="A585" s="76" t="s">
        <v>2063</v>
      </c>
      <c r="B585" s="49" t="s">
        <v>3047</v>
      </c>
      <c r="C585" s="49" t="s">
        <v>3048</v>
      </c>
      <c r="D585" s="49" t="s">
        <v>2570</v>
      </c>
      <c r="E585" s="77" t="s">
        <v>2571</v>
      </c>
      <c r="F585" s="49" t="s">
        <v>2097</v>
      </c>
      <c r="G585" s="49" t="s">
        <v>2097</v>
      </c>
      <c r="H585" s="51" t="n">
        <v>24</v>
      </c>
      <c r="I585" s="51" t="n">
        <v>0</v>
      </c>
      <c r="J585" s="51" t="n">
        <v>0</v>
      </c>
      <c r="K585" s="52" t="n">
        <v>0</v>
      </c>
      <c r="L585" s="53" t="n">
        <v>26.1</v>
      </c>
      <c r="M585" s="54"/>
      <c r="N585" s="51" t="n">
        <v>0.416438</v>
      </c>
      <c r="O585" s="55" t="n">
        <v>0</v>
      </c>
      <c r="P585" s="51" t="n">
        <v>24</v>
      </c>
      <c r="Q585" s="49" t="s">
        <v>2098</v>
      </c>
      <c r="R585" s="49" t="s">
        <v>2572</v>
      </c>
      <c r="S585" s="53" t="n">
        <v>0</v>
      </c>
      <c r="T585" s="51" t="n">
        <v>1</v>
      </c>
      <c r="U585" s="56" t="n">
        <f aca="false">I585*O585</f>
        <v>0</v>
      </c>
      <c r="V585" s="56" t="n">
        <f aca="false">J585*O585</f>
        <v>0</v>
      </c>
      <c r="W585" s="56" t="n">
        <f aca="false">((I585+J585)/2)*O585</f>
        <v>0</v>
      </c>
      <c r="X585" s="56" t="n">
        <f aca="false">H585*O585</f>
        <v>0</v>
      </c>
    </row>
    <row r="586" customFormat="false" ht="22.35" hidden="false" customHeight="false" outlineLevel="0" collapsed="false">
      <c r="A586" s="76" t="s">
        <v>2063</v>
      </c>
      <c r="B586" s="7" t="s">
        <v>3049</v>
      </c>
      <c r="C586" s="7" t="s">
        <v>3048</v>
      </c>
      <c r="D586" s="7" t="s">
        <v>2570</v>
      </c>
      <c r="E586" s="77" t="s">
        <v>2571</v>
      </c>
      <c r="F586" s="7" t="s">
        <v>2097</v>
      </c>
      <c r="G586" s="7" t="s">
        <v>2097</v>
      </c>
      <c r="H586" s="9" t="n">
        <v>64</v>
      </c>
      <c r="I586" s="9" t="n">
        <v>0</v>
      </c>
      <c r="J586" s="9" t="n">
        <v>0</v>
      </c>
      <c r="K586" s="52" t="n">
        <v>0</v>
      </c>
      <c r="L586" s="58" t="n">
        <v>26.1</v>
      </c>
      <c r="M586" s="59"/>
      <c r="N586" s="9" t="n">
        <v>0.650685</v>
      </c>
      <c r="O586" s="8" t="n">
        <v>0</v>
      </c>
      <c r="P586" s="9" t="n">
        <v>64</v>
      </c>
      <c r="Q586" s="7" t="s">
        <v>2098</v>
      </c>
      <c r="R586" s="7" t="s">
        <v>2572</v>
      </c>
      <c r="S586" s="58" t="n">
        <v>0</v>
      </c>
      <c r="T586" s="9" t="n">
        <v>1</v>
      </c>
      <c r="U586" s="56" t="n">
        <f aca="false">I586*O586</f>
        <v>0</v>
      </c>
      <c r="V586" s="56" t="n">
        <f aca="false">J586*O586</f>
        <v>0</v>
      </c>
      <c r="W586" s="56" t="n">
        <f aca="false">((I586+J586)/2)*O586</f>
        <v>0</v>
      </c>
      <c r="X586" s="56" t="n">
        <f aca="false">H586*O586</f>
        <v>0</v>
      </c>
    </row>
    <row r="587" customFormat="false" ht="22.35" hidden="false" customHeight="false" outlineLevel="0" collapsed="false">
      <c r="A587" s="76" t="s">
        <v>2063</v>
      </c>
      <c r="B587" s="49" t="s">
        <v>3050</v>
      </c>
      <c r="C587" s="49" t="s">
        <v>3051</v>
      </c>
      <c r="D587" s="49" t="s">
        <v>2570</v>
      </c>
      <c r="E587" s="77" t="s">
        <v>2571</v>
      </c>
      <c r="F587" s="49" t="s">
        <v>2097</v>
      </c>
      <c r="G587" s="49" t="s">
        <v>2097</v>
      </c>
      <c r="H587" s="51" t="n">
        <v>24</v>
      </c>
      <c r="I587" s="51" t="n">
        <v>0</v>
      </c>
      <c r="J587" s="51" t="n">
        <v>0</v>
      </c>
      <c r="K587" s="52" t="n">
        <v>0</v>
      </c>
      <c r="L587" s="53" t="n">
        <v>26.1</v>
      </c>
      <c r="M587" s="54"/>
      <c r="N587" s="51" t="n">
        <v>0.420548</v>
      </c>
      <c r="O587" s="55" t="n">
        <v>0</v>
      </c>
      <c r="P587" s="51" t="n">
        <v>24</v>
      </c>
      <c r="Q587" s="49" t="s">
        <v>2098</v>
      </c>
      <c r="R587" s="49" t="s">
        <v>2572</v>
      </c>
      <c r="S587" s="53" t="n">
        <v>0</v>
      </c>
      <c r="T587" s="51" t="n">
        <v>1</v>
      </c>
      <c r="U587" s="56" t="n">
        <f aca="false">I587*O587</f>
        <v>0</v>
      </c>
      <c r="V587" s="56" t="n">
        <f aca="false">J587*O587</f>
        <v>0</v>
      </c>
      <c r="W587" s="56" t="n">
        <f aca="false">((I587+J587)/2)*O587</f>
        <v>0</v>
      </c>
      <c r="X587" s="56" t="n">
        <f aca="false">H587*O587</f>
        <v>0</v>
      </c>
    </row>
    <row r="588" customFormat="false" ht="22.35" hidden="false" customHeight="false" outlineLevel="0" collapsed="false">
      <c r="A588" s="76" t="s">
        <v>2063</v>
      </c>
      <c r="B588" s="7" t="s">
        <v>3052</v>
      </c>
      <c r="C588" s="7" t="s">
        <v>3051</v>
      </c>
      <c r="D588" s="7" t="s">
        <v>2570</v>
      </c>
      <c r="E588" s="77" t="s">
        <v>2571</v>
      </c>
      <c r="F588" s="7" t="s">
        <v>2097</v>
      </c>
      <c r="G588" s="7" t="s">
        <v>2097</v>
      </c>
      <c r="H588" s="9" t="n">
        <v>72</v>
      </c>
      <c r="I588" s="9" t="n">
        <v>0</v>
      </c>
      <c r="J588" s="9" t="n">
        <v>0</v>
      </c>
      <c r="K588" s="52" t="n">
        <v>0</v>
      </c>
      <c r="L588" s="58" t="n">
        <v>26.1</v>
      </c>
      <c r="M588" s="59"/>
      <c r="N588" s="9" t="n">
        <v>0.793151</v>
      </c>
      <c r="O588" s="8" t="n">
        <v>0</v>
      </c>
      <c r="P588" s="9" t="n">
        <v>72</v>
      </c>
      <c r="Q588" s="7" t="s">
        <v>2098</v>
      </c>
      <c r="R588" s="7" t="s">
        <v>2572</v>
      </c>
      <c r="S588" s="58" t="n">
        <v>0</v>
      </c>
      <c r="T588" s="9" t="n">
        <v>1</v>
      </c>
      <c r="U588" s="56" t="n">
        <f aca="false">I588*O588</f>
        <v>0</v>
      </c>
      <c r="V588" s="56" t="n">
        <f aca="false">J588*O588</f>
        <v>0</v>
      </c>
      <c r="W588" s="56" t="n">
        <f aca="false">((I588+J588)/2)*O588</f>
        <v>0</v>
      </c>
      <c r="X588" s="56" t="n">
        <f aca="false">H588*O588</f>
        <v>0</v>
      </c>
    </row>
    <row r="589" customFormat="false" ht="22.35" hidden="false" customHeight="false" outlineLevel="0" collapsed="false">
      <c r="A589" s="76" t="s">
        <v>2063</v>
      </c>
      <c r="B589" s="49" t="s">
        <v>3053</v>
      </c>
      <c r="C589" s="49" t="s">
        <v>3054</v>
      </c>
      <c r="D589" s="49" t="s">
        <v>2570</v>
      </c>
      <c r="E589" s="77" t="s">
        <v>2571</v>
      </c>
      <c r="F589" s="49" t="s">
        <v>2097</v>
      </c>
      <c r="G589" s="49" t="s">
        <v>2097</v>
      </c>
      <c r="H589" s="51" t="n">
        <v>16</v>
      </c>
      <c r="I589" s="51" t="n">
        <v>0</v>
      </c>
      <c r="J589" s="51" t="n">
        <v>0</v>
      </c>
      <c r="K589" s="52" t="n">
        <v>0</v>
      </c>
      <c r="L589" s="53" t="n">
        <v>26.1</v>
      </c>
      <c r="M589" s="54"/>
      <c r="N589" s="51" t="n">
        <v>0.034247</v>
      </c>
      <c r="O589" s="55" t="n">
        <v>0</v>
      </c>
      <c r="P589" s="51" t="n">
        <v>16</v>
      </c>
      <c r="Q589" s="49" t="s">
        <v>2098</v>
      </c>
      <c r="R589" s="49" t="s">
        <v>2572</v>
      </c>
      <c r="S589" s="53" t="n">
        <v>0</v>
      </c>
      <c r="T589" s="51" t="n">
        <v>1</v>
      </c>
      <c r="U589" s="56" t="n">
        <f aca="false">I589*O589</f>
        <v>0</v>
      </c>
      <c r="V589" s="56" t="n">
        <f aca="false">J589*O589</f>
        <v>0</v>
      </c>
      <c r="W589" s="56" t="n">
        <f aca="false">((I589+J589)/2)*O589</f>
        <v>0</v>
      </c>
      <c r="X589" s="56" t="n">
        <f aca="false">H589*O589</f>
        <v>0</v>
      </c>
    </row>
    <row r="590" customFormat="false" ht="22.35" hidden="false" customHeight="false" outlineLevel="0" collapsed="false">
      <c r="A590" s="76" t="s">
        <v>2063</v>
      </c>
      <c r="B590" s="7" t="s">
        <v>3055</v>
      </c>
      <c r="C590" s="7" t="s">
        <v>3056</v>
      </c>
      <c r="D590" s="7" t="s">
        <v>2570</v>
      </c>
      <c r="E590" s="77" t="s">
        <v>2571</v>
      </c>
      <c r="F590" s="7" t="s">
        <v>2097</v>
      </c>
      <c r="G590" s="7" t="s">
        <v>2097</v>
      </c>
      <c r="H590" s="9" t="n">
        <v>12</v>
      </c>
      <c r="I590" s="9" t="n">
        <v>0</v>
      </c>
      <c r="J590" s="9" t="n">
        <v>0</v>
      </c>
      <c r="K590" s="52" t="n">
        <v>0</v>
      </c>
      <c r="L590" s="58" t="n">
        <v>26.1</v>
      </c>
      <c r="M590" s="59"/>
      <c r="N590" s="9" t="n">
        <v>0.20274</v>
      </c>
      <c r="O590" s="8" t="n">
        <v>0</v>
      </c>
      <c r="P590" s="9" t="n">
        <v>12</v>
      </c>
      <c r="Q590" s="7" t="s">
        <v>2098</v>
      </c>
      <c r="R590" s="7" t="s">
        <v>2572</v>
      </c>
      <c r="S590" s="58" t="n">
        <v>0</v>
      </c>
      <c r="T590" s="9" t="n">
        <v>1</v>
      </c>
      <c r="U590" s="56" t="n">
        <f aca="false">I590*O590</f>
        <v>0</v>
      </c>
      <c r="V590" s="56" t="n">
        <f aca="false">J590*O590</f>
        <v>0</v>
      </c>
      <c r="W590" s="56" t="n">
        <f aca="false">((I590+J590)/2)*O590</f>
        <v>0</v>
      </c>
      <c r="X590" s="56" t="n">
        <f aca="false">H590*O590</f>
        <v>0</v>
      </c>
    </row>
    <row r="591" customFormat="false" ht="22.35" hidden="false" customHeight="false" outlineLevel="0" collapsed="false">
      <c r="A591" s="76" t="s">
        <v>2063</v>
      </c>
      <c r="B591" s="49" t="s">
        <v>3057</v>
      </c>
      <c r="C591" s="49" t="s">
        <v>3058</v>
      </c>
      <c r="D591" s="49" t="s">
        <v>2570</v>
      </c>
      <c r="E591" s="77" t="s">
        <v>2571</v>
      </c>
      <c r="F591" s="49" t="s">
        <v>2097</v>
      </c>
      <c r="G591" s="49" t="s">
        <v>2097</v>
      </c>
      <c r="H591" s="51" t="n">
        <v>880</v>
      </c>
      <c r="I591" s="51" t="n">
        <v>0</v>
      </c>
      <c r="J591" s="51" t="n">
        <v>0</v>
      </c>
      <c r="K591" s="52" t="n">
        <v>0</v>
      </c>
      <c r="L591" s="53" t="n">
        <v>26.1</v>
      </c>
      <c r="M591" s="54"/>
      <c r="N591" s="51" t="n">
        <v>12.390411</v>
      </c>
      <c r="O591" s="55" t="n">
        <v>0</v>
      </c>
      <c r="P591" s="51" t="n">
        <v>880</v>
      </c>
      <c r="Q591" s="49" t="s">
        <v>2098</v>
      </c>
      <c r="R591" s="49" t="s">
        <v>2572</v>
      </c>
      <c r="S591" s="53" t="n">
        <v>0</v>
      </c>
      <c r="T591" s="51" t="n">
        <v>1</v>
      </c>
      <c r="U591" s="56" t="n">
        <f aca="false">I591*O591</f>
        <v>0</v>
      </c>
      <c r="V591" s="56" t="n">
        <f aca="false">J591*O591</f>
        <v>0</v>
      </c>
      <c r="W591" s="56" t="n">
        <f aca="false">((I591+J591)/2)*O591</f>
        <v>0</v>
      </c>
      <c r="X591" s="56" t="n">
        <f aca="false">H591*O591</f>
        <v>0</v>
      </c>
    </row>
    <row r="592" customFormat="false" ht="22.35" hidden="false" customHeight="false" outlineLevel="0" collapsed="false">
      <c r="A592" s="76" t="s">
        <v>2063</v>
      </c>
      <c r="B592" s="7" t="s">
        <v>3059</v>
      </c>
      <c r="C592" s="7" t="s">
        <v>3058</v>
      </c>
      <c r="D592" s="7" t="s">
        <v>2570</v>
      </c>
      <c r="E592" s="77" t="s">
        <v>2571</v>
      </c>
      <c r="F592" s="7" t="s">
        <v>2097</v>
      </c>
      <c r="G592" s="7" t="s">
        <v>2097</v>
      </c>
      <c r="H592" s="9" t="n">
        <v>288</v>
      </c>
      <c r="I592" s="9" t="n">
        <v>0</v>
      </c>
      <c r="J592" s="9" t="n">
        <v>0</v>
      </c>
      <c r="K592" s="52" t="n">
        <v>0</v>
      </c>
      <c r="L592" s="58" t="n">
        <v>26.1</v>
      </c>
      <c r="M592" s="59"/>
      <c r="N592" s="9" t="n">
        <v>5.846575</v>
      </c>
      <c r="O592" s="8" t="n">
        <v>0</v>
      </c>
      <c r="P592" s="9" t="n">
        <v>288</v>
      </c>
      <c r="Q592" s="7" t="s">
        <v>2098</v>
      </c>
      <c r="R592" s="7" t="s">
        <v>2572</v>
      </c>
      <c r="S592" s="58" t="n">
        <v>0</v>
      </c>
      <c r="T592" s="9" t="n">
        <v>1</v>
      </c>
      <c r="U592" s="56" t="n">
        <f aca="false">I592*O592</f>
        <v>0</v>
      </c>
      <c r="V592" s="56" t="n">
        <f aca="false">J592*O592</f>
        <v>0</v>
      </c>
      <c r="W592" s="56" t="n">
        <f aca="false">((I592+J592)/2)*O592</f>
        <v>0</v>
      </c>
      <c r="X592" s="56" t="n">
        <f aca="false">H592*O592</f>
        <v>0</v>
      </c>
    </row>
    <row r="593" customFormat="false" ht="22.35" hidden="false" customHeight="false" outlineLevel="0" collapsed="false">
      <c r="A593" s="76" t="s">
        <v>2063</v>
      </c>
      <c r="B593" s="49" t="s">
        <v>3060</v>
      </c>
      <c r="C593" s="49" t="s">
        <v>3061</v>
      </c>
      <c r="D593" s="49" t="s">
        <v>2570</v>
      </c>
      <c r="E593" s="77" t="s">
        <v>2571</v>
      </c>
      <c r="F593" s="49" t="s">
        <v>2097</v>
      </c>
      <c r="G593" s="49" t="s">
        <v>2097</v>
      </c>
      <c r="H593" s="51" t="n">
        <v>172</v>
      </c>
      <c r="I593" s="51" t="n">
        <v>0</v>
      </c>
      <c r="J593" s="51" t="n">
        <v>0</v>
      </c>
      <c r="K593" s="52" t="n">
        <v>0</v>
      </c>
      <c r="L593" s="53" t="n">
        <v>26.1</v>
      </c>
      <c r="M593" s="54"/>
      <c r="N593" s="51" t="n">
        <v>2.780822</v>
      </c>
      <c r="O593" s="55" t="n">
        <v>0</v>
      </c>
      <c r="P593" s="51" t="n">
        <v>172</v>
      </c>
      <c r="Q593" s="49" t="s">
        <v>2098</v>
      </c>
      <c r="R593" s="49" t="s">
        <v>2572</v>
      </c>
      <c r="S593" s="53" t="n">
        <v>0</v>
      </c>
      <c r="T593" s="51" t="n">
        <v>1</v>
      </c>
      <c r="U593" s="56" t="n">
        <f aca="false">I593*O593</f>
        <v>0</v>
      </c>
      <c r="V593" s="56" t="n">
        <f aca="false">J593*O593</f>
        <v>0</v>
      </c>
      <c r="W593" s="56" t="n">
        <f aca="false">((I593+J593)/2)*O593</f>
        <v>0</v>
      </c>
      <c r="X593" s="56" t="n">
        <f aca="false">H593*O593</f>
        <v>0</v>
      </c>
    </row>
    <row r="594" customFormat="false" ht="22.35" hidden="false" customHeight="false" outlineLevel="0" collapsed="false">
      <c r="A594" s="76" t="s">
        <v>2063</v>
      </c>
      <c r="B594" s="7" t="s">
        <v>3062</v>
      </c>
      <c r="C594" s="7" t="s">
        <v>3061</v>
      </c>
      <c r="D594" s="7" t="s">
        <v>2570</v>
      </c>
      <c r="E594" s="77" t="s">
        <v>2571</v>
      </c>
      <c r="F594" s="7" t="s">
        <v>2097</v>
      </c>
      <c r="G594" s="7" t="s">
        <v>2097</v>
      </c>
      <c r="H594" s="9" t="n">
        <v>36</v>
      </c>
      <c r="I594" s="9" t="n">
        <v>0</v>
      </c>
      <c r="J594" s="9" t="n">
        <v>0</v>
      </c>
      <c r="K594" s="52" t="n">
        <v>0</v>
      </c>
      <c r="L594" s="58" t="n">
        <v>26.1</v>
      </c>
      <c r="M594" s="59"/>
      <c r="N594" s="9" t="n">
        <v>0.430137</v>
      </c>
      <c r="O594" s="8" t="n">
        <v>0</v>
      </c>
      <c r="P594" s="9" t="n">
        <v>36</v>
      </c>
      <c r="Q594" s="7" t="s">
        <v>2098</v>
      </c>
      <c r="R594" s="7" t="s">
        <v>2572</v>
      </c>
      <c r="S594" s="58" t="n">
        <v>0</v>
      </c>
      <c r="T594" s="9" t="n">
        <v>1</v>
      </c>
      <c r="U594" s="56" t="n">
        <f aca="false">I594*O594</f>
        <v>0</v>
      </c>
      <c r="V594" s="56" t="n">
        <f aca="false">J594*O594</f>
        <v>0</v>
      </c>
      <c r="W594" s="56" t="n">
        <f aca="false">((I594+J594)/2)*O594</f>
        <v>0</v>
      </c>
      <c r="X594" s="56" t="n">
        <f aca="false">H594*O594</f>
        <v>0</v>
      </c>
    </row>
    <row r="595" customFormat="false" ht="22.35" hidden="false" customHeight="false" outlineLevel="0" collapsed="false">
      <c r="A595" s="76" t="s">
        <v>2063</v>
      </c>
      <c r="B595" s="49" t="s">
        <v>3063</v>
      </c>
      <c r="C595" s="49" t="s">
        <v>3061</v>
      </c>
      <c r="D595" s="49" t="s">
        <v>2570</v>
      </c>
      <c r="E595" s="77" t="s">
        <v>2571</v>
      </c>
      <c r="F595" s="49" t="s">
        <v>2097</v>
      </c>
      <c r="G595" s="49" t="s">
        <v>2097</v>
      </c>
      <c r="H595" s="51" t="n">
        <v>12</v>
      </c>
      <c r="I595" s="51" t="n">
        <v>0</v>
      </c>
      <c r="J595" s="51" t="n">
        <v>0</v>
      </c>
      <c r="K595" s="52" t="n">
        <v>0</v>
      </c>
      <c r="L595" s="53" t="n">
        <v>26.1</v>
      </c>
      <c r="M595" s="54"/>
      <c r="N595" s="51" t="n">
        <v>0.089041</v>
      </c>
      <c r="O595" s="55" t="n">
        <v>0</v>
      </c>
      <c r="P595" s="51" t="n">
        <v>12</v>
      </c>
      <c r="Q595" s="49" t="s">
        <v>2098</v>
      </c>
      <c r="R595" s="49" t="s">
        <v>2572</v>
      </c>
      <c r="S595" s="53" t="n">
        <v>0</v>
      </c>
      <c r="T595" s="51" t="n">
        <v>1</v>
      </c>
      <c r="U595" s="56" t="n">
        <f aca="false">I595*O595</f>
        <v>0</v>
      </c>
      <c r="V595" s="56" t="n">
        <f aca="false">J595*O595</f>
        <v>0</v>
      </c>
      <c r="W595" s="56" t="n">
        <f aca="false">((I595+J595)/2)*O595</f>
        <v>0</v>
      </c>
      <c r="X595" s="56" t="n">
        <f aca="false">H595*O595</f>
        <v>0</v>
      </c>
    </row>
    <row r="596" customFormat="false" ht="22.35" hidden="false" customHeight="false" outlineLevel="0" collapsed="false">
      <c r="A596" s="76" t="s">
        <v>2063</v>
      </c>
      <c r="B596" s="7" t="s">
        <v>3064</v>
      </c>
      <c r="C596" s="7" t="s">
        <v>3065</v>
      </c>
      <c r="D596" s="7" t="s">
        <v>2570</v>
      </c>
      <c r="E596" s="77" t="s">
        <v>2571</v>
      </c>
      <c r="F596" s="7" t="s">
        <v>2097</v>
      </c>
      <c r="G596" s="7" t="s">
        <v>2097</v>
      </c>
      <c r="H596" s="9" t="n">
        <v>4</v>
      </c>
      <c r="I596" s="9" t="n">
        <v>0</v>
      </c>
      <c r="J596" s="9" t="n">
        <v>0</v>
      </c>
      <c r="K596" s="52" t="n">
        <v>0</v>
      </c>
      <c r="L596" s="58" t="n">
        <v>26.1</v>
      </c>
      <c r="M596" s="59"/>
      <c r="N596" s="9" t="n">
        <v>0.071233</v>
      </c>
      <c r="O596" s="8" t="n">
        <v>0</v>
      </c>
      <c r="P596" s="9" t="n">
        <v>4</v>
      </c>
      <c r="Q596" s="7" t="s">
        <v>2098</v>
      </c>
      <c r="R596" s="7" t="s">
        <v>2572</v>
      </c>
      <c r="S596" s="58" t="n">
        <v>0</v>
      </c>
      <c r="T596" s="9" t="n">
        <v>1</v>
      </c>
      <c r="U596" s="56" t="n">
        <f aca="false">I596*O596</f>
        <v>0</v>
      </c>
      <c r="V596" s="56" t="n">
        <f aca="false">J596*O596</f>
        <v>0</v>
      </c>
      <c r="W596" s="56" t="n">
        <f aca="false">((I596+J596)/2)*O596</f>
        <v>0</v>
      </c>
      <c r="X596" s="56" t="n">
        <f aca="false">H596*O596</f>
        <v>0</v>
      </c>
    </row>
    <row r="597" customFormat="false" ht="22.35" hidden="false" customHeight="false" outlineLevel="0" collapsed="false">
      <c r="A597" s="76" t="s">
        <v>2063</v>
      </c>
      <c r="B597" s="49" t="s">
        <v>3066</v>
      </c>
      <c r="C597" s="49" t="s">
        <v>3067</v>
      </c>
      <c r="D597" s="49" t="s">
        <v>2570</v>
      </c>
      <c r="E597" s="77" t="s">
        <v>2571</v>
      </c>
      <c r="F597" s="49" t="s">
        <v>2097</v>
      </c>
      <c r="G597" s="49" t="s">
        <v>2097</v>
      </c>
      <c r="H597" s="51" t="n">
        <v>48</v>
      </c>
      <c r="I597" s="51" t="n">
        <v>0</v>
      </c>
      <c r="J597" s="51" t="n">
        <v>0</v>
      </c>
      <c r="K597" s="52" t="n">
        <v>0</v>
      </c>
      <c r="L597" s="53" t="n">
        <v>26.1</v>
      </c>
      <c r="M597" s="54"/>
      <c r="N597" s="51" t="n">
        <v>0.535616</v>
      </c>
      <c r="O597" s="55" t="n">
        <v>0</v>
      </c>
      <c r="P597" s="51" t="n">
        <v>48</v>
      </c>
      <c r="Q597" s="49" t="s">
        <v>2098</v>
      </c>
      <c r="R597" s="49" t="s">
        <v>2572</v>
      </c>
      <c r="S597" s="53" t="n">
        <v>0</v>
      </c>
      <c r="T597" s="51" t="n">
        <v>1</v>
      </c>
      <c r="U597" s="56" t="n">
        <f aca="false">I597*O597</f>
        <v>0</v>
      </c>
      <c r="V597" s="56" t="n">
        <f aca="false">J597*O597</f>
        <v>0</v>
      </c>
      <c r="W597" s="56" t="n">
        <f aca="false">((I597+J597)/2)*O597</f>
        <v>0</v>
      </c>
      <c r="X597" s="56" t="n">
        <f aca="false">H597*O597</f>
        <v>0</v>
      </c>
    </row>
    <row r="598" customFormat="false" ht="22.35" hidden="false" customHeight="false" outlineLevel="0" collapsed="false">
      <c r="A598" s="76" t="s">
        <v>2063</v>
      </c>
      <c r="B598" s="7" t="s">
        <v>3068</v>
      </c>
      <c r="C598" s="7" t="s">
        <v>3069</v>
      </c>
      <c r="D598" s="7" t="s">
        <v>2570</v>
      </c>
      <c r="E598" s="77" t="s">
        <v>2571</v>
      </c>
      <c r="F598" s="7" t="s">
        <v>2097</v>
      </c>
      <c r="G598" s="7" t="s">
        <v>2097</v>
      </c>
      <c r="H598" s="9" t="n">
        <v>96</v>
      </c>
      <c r="I598" s="9" t="n">
        <v>0</v>
      </c>
      <c r="J598" s="9" t="n">
        <v>0</v>
      </c>
      <c r="K598" s="52" t="n">
        <v>0</v>
      </c>
      <c r="L598" s="58" t="n">
        <v>26.1</v>
      </c>
      <c r="M598" s="59"/>
      <c r="N598" s="9" t="n">
        <v>0.873973</v>
      </c>
      <c r="O598" s="8" t="n">
        <v>0</v>
      </c>
      <c r="P598" s="9" t="n">
        <v>96</v>
      </c>
      <c r="Q598" s="7" t="s">
        <v>2098</v>
      </c>
      <c r="R598" s="7" t="s">
        <v>2572</v>
      </c>
      <c r="S598" s="58" t="n">
        <v>0</v>
      </c>
      <c r="T598" s="9" t="n">
        <v>1</v>
      </c>
      <c r="U598" s="56" t="n">
        <f aca="false">I598*O598</f>
        <v>0</v>
      </c>
      <c r="V598" s="56" t="n">
        <f aca="false">J598*O598</f>
        <v>0</v>
      </c>
      <c r="W598" s="56" t="n">
        <f aca="false">((I598+J598)/2)*O598</f>
        <v>0</v>
      </c>
      <c r="X598" s="56" t="n">
        <f aca="false">H598*O598</f>
        <v>0</v>
      </c>
    </row>
    <row r="599" customFormat="false" ht="22.35" hidden="false" customHeight="false" outlineLevel="0" collapsed="false">
      <c r="A599" s="76" t="s">
        <v>2063</v>
      </c>
      <c r="B599" s="49" t="s">
        <v>3070</v>
      </c>
      <c r="C599" s="49" t="s">
        <v>3071</v>
      </c>
      <c r="D599" s="49" t="s">
        <v>2570</v>
      </c>
      <c r="E599" s="77" t="s">
        <v>2571</v>
      </c>
      <c r="F599" s="49" t="s">
        <v>2097</v>
      </c>
      <c r="G599" s="49" t="s">
        <v>2097</v>
      </c>
      <c r="H599" s="51" t="n">
        <v>72</v>
      </c>
      <c r="I599" s="51" t="n">
        <v>0</v>
      </c>
      <c r="J599" s="51" t="n">
        <v>0</v>
      </c>
      <c r="K599" s="52" t="n">
        <v>0</v>
      </c>
      <c r="L599" s="53" t="n">
        <v>26.1</v>
      </c>
      <c r="M599" s="54"/>
      <c r="N599" s="51" t="n">
        <v>1.219178</v>
      </c>
      <c r="O599" s="55" t="n">
        <v>0</v>
      </c>
      <c r="P599" s="51" t="n">
        <v>72</v>
      </c>
      <c r="Q599" s="49" t="s">
        <v>2098</v>
      </c>
      <c r="R599" s="49" t="s">
        <v>2572</v>
      </c>
      <c r="S599" s="53" t="n">
        <v>0</v>
      </c>
      <c r="T599" s="51" t="n">
        <v>1</v>
      </c>
      <c r="U599" s="56" t="n">
        <f aca="false">I599*O599</f>
        <v>0</v>
      </c>
      <c r="V599" s="56" t="n">
        <f aca="false">J599*O599</f>
        <v>0</v>
      </c>
      <c r="W599" s="56" t="n">
        <f aca="false">((I599+J599)/2)*O599</f>
        <v>0</v>
      </c>
      <c r="X599" s="56" t="n">
        <f aca="false">H599*O599</f>
        <v>0</v>
      </c>
    </row>
    <row r="600" customFormat="false" ht="22.35" hidden="false" customHeight="false" outlineLevel="0" collapsed="false">
      <c r="A600" s="76" t="s">
        <v>2063</v>
      </c>
      <c r="B600" s="7" t="s">
        <v>3072</v>
      </c>
      <c r="C600" s="7" t="s">
        <v>3071</v>
      </c>
      <c r="D600" s="7" t="s">
        <v>2570</v>
      </c>
      <c r="E600" s="77" t="s">
        <v>2571</v>
      </c>
      <c r="F600" s="7" t="s">
        <v>2097</v>
      </c>
      <c r="G600" s="7" t="s">
        <v>2097</v>
      </c>
      <c r="H600" s="9" t="n">
        <v>144</v>
      </c>
      <c r="I600" s="9" t="n">
        <v>0</v>
      </c>
      <c r="J600" s="9" t="n">
        <v>0</v>
      </c>
      <c r="K600" s="52" t="n">
        <v>0</v>
      </c>
      <c r="L600" s="58" t="n">
        <v>26.1</v>
      </c>
      <c r="M600" s="59"/>
      <c r="N600" s="9" t="n">
        <v>1.413699</v>
      </c>
      <c r="O600" s="8" t="n">
        <v>0</v>
      </c>
      <c r="P600" s="9" t="n">
        <v>144</v>
      </c>
      <c r="Q600" s="7" t="s">
        <v>2098</v>
      </c>
      <c r="R600" s="7" t="s">
        <v>2572</v>
      </c>
      <c r="S600" s="58" t="n">
        <v>0</v>
      </c>
      <c r="T600" s="9" t="n">
        <v>1</v>
      </c>
      <c r="U600" s="56" t="n">
        <f aca="false">I600*O600</f>
        <v>0</v>
      </c>
      <c r="V600" s="56" t="n">
        <f aca="false">J600*O600</f>
        <v>0</v>
      </c>
      <c r="W600" s="56" t="n">
        <f aca="false">((I600+J600)/2)*O600</f>
        <v>0</v>
      </c>
      <c r="X600" s="56" t="n">
        <f aca="false">H600*O600</f>
        <v>0</v>
      </c>
    </row>
    <row r="601" customFormat="false" ht="22.35" hidden="false" customHeight="false" outlineLevel="0" collapsed="false">
      <c r="A601" s="76" t="s">
        <v>2063</v>
      </c>
      <c r="B601" s="49" t="s">
        <v>3073</v>
      </c>
      <c r="C601" s="49" t="s">
        <v>3074</v>
      </c>
      <c r="D601" s="49" t="s">
        <v>2570</v>
      </c>
      <c r="E601" s="77" t="s">
        <v>2571</v>
      </c>
      <c r="F601" s="49" t="s">
        <v>2097</v>
      </c>
      <c r="G601" s="49" t="s">
        <v>2097</v>
      </c>
      <c r="H601" s="51" t="n">
        <v>96</v>
      </c>
      <c r="I601" s="51" t="n">
        <v>0</v>
      </c>
      <c r="J601" s="51" t="n">
        <v>0</v>
      </c>
      <c r="K601" s="52" t="n">
        <v>0</v>
      </c>
      <c r="L601" s="53" t="n">
        <v>26.1</v>
      </c>
      <c r="M601" s="54"/>
      <c r="N601" s="51" t="n">
        <v>1.638356</v>
      </c>
      <c r="O601" s="55" t="n">
        <v>0</v>
      </c>
      <c r="P601" s="51" t="n">
        <v>96</v>
      </c>
      <c r="Q601" s="49" t="s">
        <v>2098</v>
      </c>
      <c r="R601" s="49" t="s">
        <v>2572</v>
      </c>
      <c r="S601" s="53" t="n">
        <v>0</v>
      </c>
      <c r="T601" s="51" t="n">
        <v>1</v>
      </c>
      <c r="U601" s="56" t="n">
        <f aca="false">I601*O601</f>
        <v>0</v>
      </c>
      <c r="V601" s="56" t="n">
        <f aca="false">J601*O601</f>
        <v>0</v>
      </c>
      <c r="W601" s="56" t="n">
        <f aca="false">((I601+J601)/2)*O601</f>
        <v>0</v>
      </c>
      <c r="X601" s="56" t="n">
        <f aca="false">H601*O601</f>
        <v>0</v>
      </c>
    </row>
    <row r="602" customFormat="false" ht="22.35" hidden="false" customHeight="false" outlineLevel="0" collapsed="false">
      <c r="A602" s="76" t="s">
        <v>2063</v>
      </c>
      <c r="B602" s="7" t="s">
        <v>3075</v>
      </c>
      <c r="C602" s="7" t="s">
        <v>3074</v>
      </c>
      <c r="D602" s="7" t="s">
        <v>2570</v>
      </c>
      <c r="E602" s="77" t="s">
        <v>2571</v>
      </c>
      <c r="F602" s="7" t="s">
        <v>2097</v>
      </c>
      <c r="G602" s="7" t="s">
        <v>2097</v>
      </c>
      <c r="H602" s="9" t="n">
        <v>64</v>
      </c>
      <c r="I602" s="9" t="n">
        <v>0</v>
      </c>
      <c r="J602" s="9" t="n">
        <v>0</v>
      </c>
      <c r="K602" s="52" t="n">
        <v>0</v>
      </c>
      <c r="L602" s="58" t="n">
        <v>26.1</v>
      </c>
      <c r="M602" s="59"/>
      <c r="N602" s="9" t="n">
        <v>1.60411</v>
      </c>
      <c r="O602" s="8" t="n">
        <v>0</v>
      </c>
      <c r="P602" s="9" t="n">
        <v>64</v>
      </c>
      <c r="Q602" s="7" t="s">
        <v>2098</v>
      </c>
      <c r="R602" s="7" t="s">
        <v>2572</v>
      </c>
      <c r="S602" s="58" t="n">
        <v>0</v>
      </c>
      <c r="T602" s="9" t="n">
        <v>1</v>
      </c>
      <c r="U602" s="56" t="n">
        <f aca="false">I602*O602</f>
        <v>0</v>
      </c>
      <c r="V602" s="56" t="n">
        <f aca="false">J602*O602</f>
        <v>0</v>
      </c>
      <c r="W602" s="56" t="n">
        <f aca="false">((I602+J602)/2)*O602</f>
        <v>0</v>
      </c>
      <c r="X602" s="56" t="n">
        <f aca="false">H602*O602</f>
        <v>0</v>
      </c>
    </row>
    <row r="603" customFormat="false" ht="22.35" hidden="false" customHeight="false" outlineLevel="0" collapsed="false">
      <c r="A603" s="76" t="s">
        <v>2063</v>
      </c>
      <c r="B603" s="49" t="s">
        <v>3076</v>
      </c>
      <c r="C603" s="49" t="s">
        <v>3077</v>
      </c>
      <c r="D603" s="49" t="s">
        <v>2570</v>
      </c>
      <c r="E603" s="77" t="s">
        <v>2571</v>
      </c>
      <c r="F603" s="49" t="s">
        <v>2097</v>
      </c>
      <c r="G603" s="49" t="s">
        <v>2097</v>
      </c>
      <c r="H603" s="51" t="n">
        <v>16</v>
      </c>
      <c r="I603" s="51" t="n">
        <v>0</v>
      </c>
      <c r="J603" s="51" t="n">
        <v>0</v>
      </c>
      <c r="K603" s="52" t="n">
        <v>0</v>
      </c>
      <c r="L603" s="53" t="n">
        <v>26.1</v>
      </c>
      <c r="M603" s="54"/>
      <c r="N603" s="51" t="n">
        <v>0.291781</v>
      </c>
      <c r="O603" s="55" t="n">
        <v>0</v>
      </c>
      <c r="P603" s="51" t="n">
        <v>16</v>
      </c>
      <c r="Q603" s="49" t="s">
        <v>2098</v>
      </c>
      <c r="R603" s="49" t="s">
        <v>2572</v>
      </c>
      <c r="S603" s="53" t="n">
        <v>0</v>
      </c>
      <c r="T603" s="51" t="n">
        <v>1</v>
      </c>
      <c r="U603" s="56" t="n">
        <f aca="false">I603*O603</f>
        <v>0</v>
      </c>
      <c r="V603" s="56" t="n">
        <f aca="false">J603*O603</f>
        <v>0</v>
      </c>
      <c r="W603" s="56" t="n">
        <f aca="false">((I603+J603)/2)*O603</f>
        <v>0</v>
      </c>
      <c r="X603" s="56" t="n">
        <f aca="false">H603*O603</f>
        <v>0</v>
      </c>
    </row>
    <row r="604" customFormat="false" ht="22.35" hidden="false" customHeight="false" outlineLevel="0" collapsed="false">
      <c r="A604" s="76" t="s">
        <v>2063</v>
      </c>
      <c r="B604" s="7" t="s">
        <v>3078</v>
      </c>
      <c r="C604" s="7" t="s">
        <v>3079</v>
      </c>
      <c r="D604" s="7" t="s">
        <v>2570</v>
      </c>
      <c r="E604" s="77" t="s">
        <v>2571</v>
      </c>
      <c r="F604" s="7" t="s">
        <v>2097</v>
      </c>
      <c r="G604" s="7" t="s">
        <v>2097</v>
      </c>
      <c r="H604" s="9" t="n">
        <v>144</v>
      </c>
      <c r="I604" s="9" t="n">
        <v>0</v>
      </c>
      <c r="J604" s="9" t="n">
        <v>0</v>
      </c>
      <c r="K604" s="52" t="n">
        <v>0</v>
      </c>
      <c r="L604" s="58" t="n">
        <v>26.1</v>
      </c>
      <c r="M604" s="59"/>
      <c r="N604" s="9" t="n">
        <v>1.773973</v>
      </c>
      <c r="O604" s="8" t="n">
        <v>0</v>
      </c>
      <c r="P604" s="9" t="n">
        <v>144</v>
      </c>
      <c r="Q604" s="7" t="s">
        <v>2098</v>
      </c>
      <c r="R604" s="7" t="s">
        <v>2572</v>
      </c>
      <c r="S604" s="58" t="n">
        <v>0</v>
      </c>
      <c r="T604" s="9" t="n">
        <v>1</v>
      </c>
      <c r="U604" s="56" t="n">
        <f aca="false">I604*O604</f>
        <v>0</v>
      </c>
      <c r="V604" s="56" t="n">
        <f aca="false">J604*O604</f>
        <v>0</v>
      </c>
      <c r="W604" s="56" t="n">
        <f aca="false">((I604+J604)/2)*O604</f>
        <v>0</v>
      </c>
      <c r="X604" s="56" t="n">
        <f aca="false">H604*O604</f>
        <v>0</v>
      </c>
    </row>
    <row r="605" customFormat="false" ht="22.35" hidden="false" customHeight="false" outlineLevel="0" collapsed="false">
      <c r="A605" s="76" t="s">
        <v>2063</v>
      </c>
      <c r="B605" s="49" t="s">
        <v>3080</v>
      </c>
      <c r="C605" s="49" t="s">
        <v>3079</v>
      </c>
      <c r="D605" s="49" t="s">
        <v>2570</v>
      </c>
      <c r="E605" s="77" t="s">
        <v>2571</v>
      </c>
      <c r="F605" s="49" t="s">
        <v>2097</v>
      </c>
      <c r="G605" s="49" t="s">
        <v>2097</v>
      </c>
      <c r="H605" s="51" t="n">
        <v>216</v>
      </c>
      <c r="I605" s="51" t="n">
        <v>0</v>
      </c>
      <c r="J605" s="51" t="n">
        <v>0</v>
      </c>
      <c r="K605" s="52" t="n">
        <v>0</v>
      </c>
      <c r="L605" s="53" t="n">
        <v>26.1</v>
      </c>
      <c r="M605" s="54"/>
      <c r="N605" s="51" t="n">
        <v>1.706849</v>
      </c>
      <c r="O605" s="55" t="n">
        <v>0</v>
      </c>
      <c r="P605" s="51" t="n">
        <v>216</v>
      </c>
      <c r="Q605" s="49" t="s">
        <v>2098</v>
      </c>
      <c r="R605" s="49" t="s">
        <v>2572</v>
      </c>
      <c r="S605" s="53" t="n">
        <v>0</v>
      </c>
      <c r="T605" s="51" t="n">
        <v>1</v>
      </c>
      <c r="U605" s="56" t="n">
        <f aca="false">I605*O605</f>
        <v>0</v>
      </c>
      <c r="V605" s="56" t="n">
        <f aca="false">J605*O605</f>
        <v>0</v>
      </c>
      <c r="W605" s="56" t="n">
        <f aca="false">((I605+J605)/2)*O605</f>
        <v>0</v>
      </c>
      <c r="X605" s="56" t="n">
        <f aca="false">H605*O605</f>
        <v>0</v>
      </c>
    </row>
    <row r="606" customFormat="false" ht="22.35" hidden="false" customHeight="false" outlineLevel="0" collapsed="false">
      <c r="A606" s="76" t="s">
        <v>2063</v>
      </c>
      <c r="B606" s="7" t="s">
        <v>3081</v>
      </c>
      <c r="C606" s="7" t="s">
        <v>3082</v>
      </c>
      <c r="D606" s="7" t="s">
        <v>2570</v>
      </c>
      <c r="E606" s="77" t="s">
        <v>2571</v>
      </c>
      <c r="F606" s="7" t="s">
        <v>2097</v>
      </c>
      <c r="G606" s="7" t="s">
        <v>2097</v>
      </c>
      <c r="H606" s="9" t="n">
        <v>72</v>
      </c>
      <c r="I606" s="9" t="n">
        <v>0</v>
      </c>
      <c r="J606" s="9" t="n">
        <v>0</v>
      </c>
      <c r="K606" s="52" t="n">
        <v>0</v>
      </c>
      <c r="L606" s="58" t="n">
        <v>26.1</v>
      </c>
      <c r="M606" s="59"/>
      <c r="N606" s="9" t="n">
        <v>0.372603</v>
      </c>
      <c r="O606" s="8" t="n">
        <v>0</v>
      </c>
      <c r="P606" s="9" t="n">
        <v>72</v>
      </c>
      <c r="Q606" s="7" t="s">
        <v>2098</v>
      </c>
      <c r="R606" s="7" t="s">
        <v>2572</v>
      </c>
      <c r="S606" s="58" t="n">
        <v>0</v>
      </c>
      <c r="T606" s="9" t="n">
        <v>1</v>
      </c>
      <c r="U606" s="56" t="n">
        <f aca="false">I606*O606</f>
        <v>0</v>
      </c>
      <c r="V606" s="56" t="n">
        <f aca="false">J606*O606</f>
        <v>0</v>
      </c>
      <c r="W606" s="56" t="n">
        <f aca="false">((I606+J606)/2)*O606</f>
        <v>0</v>
      </c>
      <c r="X606" s="56" t="n">
        <f aca="false">H606*O606</f>
        <v>0</v>
      </c>
    </row>
    <row r="607" customFormat="false" ht="22.35" hidden="false" customHeight="false" outlineLevel="0" collapsed="false">
      <c r="A607" s="76" t="s">
        <v>2063</v>
      </c>
      <c r="B607" s="49" t="s">
        <v>3083</v>
      </c>
      <c r="C607" s="49" t="s">
        <v>3084</v>
      </c>
      <c r="D607" s="49" t="s">
        <v>2570</v>
      </c>
      <c r="E607" s="77" t="s">
        <v>2571</v>
      </c>
      <c r="F607" s="49" t="s">
        <v>2097</v>
      </c>
      <c r="G607" s="49" t="s">
        <v>2097</v>
      </c>
      <c r="H607" s="51" t="n">
        <v>6</v>
      </c>
      <c r="I607" s="51" t="n">
        <v>0</v>
      </c>
      <c r="J607" s="51" t="n">
        <v>0</v>
      </c>
      <c r="K607" s="52" t="n">
        <v>0</v>
      </c>
      <c r="L607" s="53" t="n">
        <v>26.1</v>
      </c>
      <c r="M607" s="54"/>
      <c r="N607" s="51" t="n">
        <v>0.032877</v>
      </c>
      <c r="O607" s="55" t="n">
        <v>0</v>
      </c>
      <c r="P607" s="51" t="n">
        <v>6</v>
      </c>
      <c r="Q607" s="49" t="s">
        <v>2098</v>
      </c>
      <c r="R607" s="49" t="s">
        <v>2572</v>
      </c>
      <c r="S607" s="53" t="n">
        <v>0</v>
      </c>
      <c r="T607" s="51" t="n">
        <v>1</v>
      </c>
      <c r="U607" s="56" t="n">
        <f aca="false">I607*O607</f>
        <v>0</v>
      </c>
      <c r="V607" s="56" t="n">
        <f aca="false">J607*O607</f>
        <v>0</v>
      </c>
      <c r="W607" s="56" t="n">
        <f aca="false">((I607+J607)/2)*O607</f>
        <v>0</v>
      </c>
      <c r="X607" s="56" t="n">
        <f aca="false">H607*O607</f>
        <v>0</v>
      </c>
    </row>
    <row r="608" customFormat="false" ht="22.35" hidden="false" customHeight="false" outlineLevel="0" collapsed="false">
      <c r="A608" s="76" t="s">
        <v>2063</v>
      </c>
      <c r="B608" s="7" t="s">
        <v>3085</v>
      </c>
      <c r="C608" s="7" t="s">
        <v>3086</v>
      </c>
      <c r="D608" s="7" t="s">
        <v>2570</v>
      </c>
      <c r="E608" s="77" t="s">
        <v>2571</v>
      </c>
      <c r="F608" s="7" t="s">
        <v>2097</v>
      </c>
      <c r="G608" s="7" t="s">
        <v>2097</v>
      </c>
      <c r="H608" s="9" t="n">
        <v>20</v>
      </c>
      <c r="I608" s="9" t="n">
        <v>0</v>
      </c>
      <c r="J608" s="9" t="n">
        <v>0</v>
      </c>
      <c r="K608" s="52" t="n">
        <v>0</v>
      </c>
      <c r="L608" s="58" t="n">
        <v>26.1</v>
      </c>
      <c r="M608" s="59"/>
      <c r="N608" s="9" t="n">
        <v>0.139726</v>
      </c>
      <c r="O608" s="8" t="n">
        <v>0</v>
      </c>
      <c r="P608" s="9" t="n">
        <v>20</v>
      </c>
      <c r="Q608" s="7" t="s">
        <v>2098</v>
      </c>
      <c r="R608" s="7" t="s">
        <v>2572</v>
      </c>
      <c r="S608" s="58" t="n">
        <v>0</v>
      </c>
      <c r="T608" s="9" t="n">
        <v>4</v>
      </c>
      <c r="U608" s="56" t="n">
        <f aca="false">I608*O608</f>
        <v>0</v>
      </c>
      <c r="V608" s="56" t="n">
        <f aca="false">J608*O608</f>
        <v>0</v>
      </c>
      <c r="W608" s="56" t="n">
        <f aca="false">((I608+J608)/2)*O608</f>
        <v>0</v>
      </c>
      <c r="X608" s="56" t="n">
        <f aca="false">H608*O608</f>
        <v>0</v>
      </c>
    </row>
    <row r="609" customFormat="false" ht="22.35" hidden="false" customHeight="false" outlineLevel="0" collapsed="false">
      <c r="A609" s="76" t="s">
        <v>2063</v>
      </c>
      <c r="B609" s="49" t="s">
        <v>3087</v>
      </c>
      <c r="C609" s="49" t="s">
        <v>3086</v>
      </c>
      <c r="D609" s="49" t="s">
        <v>2570</v>
      </c>
      <c r="E609" s="77" t="s">
        <v>2571</v>
      </c>
      <c r="F609" s="49" t="s">
        <v>2097</v>
      </c>
      <c r="G609" s="49" t="s">
        <v>2097</v>
      </c>
      <c r="H609" s="51" t="n">
        <v>36</v>
      </c>
      <c r="I609" s="51" t="n">
        <v>0</v>
      </c>
      <c r="J609" s="51" t="n">
        <v>0</v>
      </c>
      <c r="K609" s="52" t="n">
        <v>0</v>
      </c>
      <c r="L609" s="53" t="n">
        <v>26.1</v>
      </c>
      <c r="M609" s="54"/>
      <c r="N609" s="51" t="n">
        <v>0.369863</v>
      </c>
      <c r="O609" s="55" t="n">
        <v>0</v>
      </c>
      <c r="P609" s="51" t="n">
        <v>36</v>
      </c>
      <c r="Q609" s="49" t="s">
        <v>2098</v>
      </c>
      <c r="R609" s="49" t="s">
        <v>2572</v>
      </c>
      <c r="S609" s="53" t="n">
        <v>0</v>
      </c>
      <c r="T609" s="51" t="n">
        <v>1</v>
      </c>
      <c r="U609" s="56" t="n">
        <f aca="false">I609*O609</f>
        <v>0</v>
      </c>
      <c r="V609" s="56" t="n">
        <f aca="false">J609*O609</f>
        <v>0</v>
      </c>
      <c r="W609" s="56" t="n">
        <f aca="false">((I609+J609)/2)*O609</f>
        <v>0</v>
      </c>
      <c r="X609" s="56" t="n">
        <f aca="false">H609*O609</f>
        <v>0</v>
      </c>
    </row>
    <row r="610" customFormat="false" ht="22.35" hidden="false" customHeight="false" outlineLevel="0" collapsed="false">
      <c r="A610" s="76" t="s">
        <v>2063</v>
      </c>
      <c r="B610" s="7" t="s">
        <v>3088</v>
      </c>
      <c r="C610" s="7" t="s">
        <v>3089</v>
      </c>
      <c r="D610" s="7" t="s">
        <v>2570</v>
      </c>
      <c r="E610" s="77" t="s">
        <v>2571</v>
      </c>
      <c r="F610" s="7" t="s">
        <v>2097</v>
      </c>
      <c r="G610" s="7" t="s">
        <v>2097</v>
      </c>
      <c r="H610" s="9" t="n">
        <v>48</v>
      </c>
      <c r="I610" s="9" t="n">
        <v>0</v>
      </c>
      <c r="J610" s="9" t="n">
        <v>0</v>
      </c>
      <c r="K610" s="52" t="n">
        <v>0</v>
      </c>
      <c r="L610" s="58" t="n">
        <v>26.1</v>
      </c>
      <c r="M610" s="59"/>
      <c r="N610" s="9" t="n">
        <v>0.008219</v>
      </c>
      <c r="O610" s="8" t="n">
        <v>0</v>
      </c>
      <c r="P610" s="9" t="n">
        <v>48</v>
      </c>
      <c r="Q610" s="7" t="s">
        <v>2098</v>
      </c>
      <c r="R610" s="7" t="s">
        <v>2572</v>
      </c>
      <c r="S610" s="58" t="n">
        <v>0</v>
      </c>
      <c r="T610" s="9" t="n">
        <v>1</v>
      </c>
      <c r="U610" s="56" t="n">
        <f aca="false">I610*O610</f>
        <v>0</v>
      </c>
      <c r="V610" s="56" t="n">
        <f aca="false">J610*O610</f>
        <v>0</v>
      </c>
      <c r="W610" s="56" t="n">
        <f aca="false">((I610+J610)/2)*O610</f>
        <v>0</v>
      </c>
      <c r="X610" s="56" t="n">
        <f aca="false">H610*O610</f>
        <v>0</v>
      </c>
    </row>
    <row r="611" customFormat="false" ht="22.35" hidden="false" customHeight="false" outlineLevel="0" collapsed="false">
      <c r="A611" s="76" t="s">
        <v>2063</v>
      </c>
      <c r="B611" s="49" t="s">
        <v>3090</v>
      </c>
      <c r="C611" s="49" t="s">
        <v>3091</v>
      </c>
      <c r="D611" s="49" t="s">
        <v>2570</v>
      </c>
      <c r="E611" s="77" t="s">
        <v>2571</v>
      </c>
      <c r="F611" s="49" t="s">
        <v>2097</v>
      </c>
      <c r="G611" s="49" t="s">
        <v>2097</v>
      </c>
      <c r="H611" s="51" t="n">
        <v>24</v>
      </c>
      <c r="I611" s="51" t="n">
        <v>0</v>
      </c>
      <c r="J611" s="51" t="n">
        <v>0</v>
      </c>
      <c r="K611" s="52" t="n">
        <v>0</v>
      </c>
      <c r="L611" s="53" t="n">
        <v>26.1</v>
      </c>
      <c r="M611" s="54"/>
      <c r="N611" s="51" t="n">
        <v>0.189041</v>
      </c>
      <c r="O611" s="55" t="n">
        <v>0</v>
      </c>
      <c r="P611" s="51" t="n">
        <v>24</v>
      </c>
      <c r="Q611" s="49" t="s">
        <v>2098</v>
      </c>
      <c r="R611" s="49" t="s">
        <v>2572</v>
      </c>
      <c r="S611" s="53" t="n">
        <v>0</v>
      </c>
      <c r="T611" s="51" t="n">
        <v>1</v>
      </c>
      <c r="U611" s="56" t="n">
        <f aca="false">I611*O611</f>
        <v>0</v>
      </c>
      <c r="V611" s="56" t="n">
        <f aca="false">J611*O611</f>
        <v>0</v>
      </c>
      <c r="W611" s="56" t="n">
        <f aca="false">((I611+J611)/2)*O611</f>
        <v>0</v>
      </c>
      <c r="X611" s="56" t="n">
        <f aca="false">H611*O611</f>
        <v>0</v>
      </c>
    </row>
    <row r="612" customFormat="false" ht="22.35" hidden="false" customHeight="false" outlineLevel="0" collapsed="false">
      <c r="A612" s="76" t="s">
        <v>2063</v>
      </c>
      <c r="B612" s="7" t="s">
        <v>3092</v>
      </c>
      <c r="C612" s="7" t="s">
        <v>3093</v>
      </c>
      <c r="D612" s="7" t="s">
        <v>2570</v>
      </c>
      <c r="E612" s="77" t="s">
        <v>2571</v>
      </c>
      <c r="F612" s="7" t="s">
        <v>2097</v>
      </c>
      <c r="G612" s="7" t="s">
        <v>2097</v>
      </c>
      <c r="H612" s="9" t="n">
        <v>16</v>
      </c>
      <c r="I612" s="9" t="n">
        <v>0</v>
      </c>
      <c r="J612" s="9" t="n">
        <v>0</v>
      </c>
      <c r="K612" s="52" t="n">
        <v>0</v>
      </c>
      <c r="L612" s="58" t="n">
        <v>26.1</v>
      </c>
      <c r="M612" s="59"/>
      <c r="N612" s="9" t="n">
        <v>0.173973</v>
      </c>
      <c r="O612" s="8" t="n">
        <v>0</v>
      </c>
      <c r="P612" s="9" t="n">
        <v>16</v>
      </c>
      <c r="Q612" s="7" t="s">
        <v>2098</v>
      </c>
      <c r="R612" s="7" t="s">
        <v>2572</v>
      </c>
      <c r="S612" s="58" t="n">
        <v>0</v>
      </c>
      <c r="T612" s="9" t="n">
        <v>1</v>
      </c>
      <c r="U612" s="56" t="n">
        <f aca="false">I612*O612</f>
        <v>0</v>
      </c>
      <c r="V612" s="56" t="n">
        <f aca="false">J612*O612</f>
        <v>0</v>
      </c>
      <c r="W612" s="56" t="n">
        <f aca="false">((I612+J612)/2)*O612</f>
        <v>0</v>
      </c>
      <c r="X612" s="56" t="n">
        <f aca="false">H612*O612</f>
        <v>0</v>
      </c>
    </row>
    <row r="613" customFormat="false" ht="22.35" hidden="false" customHeight="false" outlineLevel="0" collapsed="false">
      <c r="A613" s="76" t="s">
        <v>2063</v>
      </c>
      <c r="B613" s="49" t="s">
        <v>3094</v>
      </c>
      <c r="C613" s="49" t="s">
        <v>3095</v>
      </c>
      <c r="D613" s="49" t="s">
        <v>2570</v>
      </c>
      <c r="E613" s="77" t="s">
        <v>2571</v>
      </c>
      <c r="F613" s="49" t="s">
        <v>2097</v>
      </c>
      <c r="G613" s="49" t="s">
        <v>2097</v>
      </c>
      <c r="H613" s="51" t="n">
        <v>144</v>
      </c>
      <c r="I613" s="51" t="n">
        <v>0</v>
      </c>
      <c r="J613" s="51" t="n">
        <v>0</v>
      </c>
      <c r="K613" s="52" t="n">
        <v>0</v>
      </c>
      <c r="L613" s="53" t="n">
        <v>26.1</v>
      </c>
      <c r="M613" s="54"/>
      <c r="N613" s="51" t="n">
        <v>1.657534</v>
      </c>
      <c r="O613" s="55" t="n">
        <v>0</v>
      </c>
      <c r="P613" s="51" t="n">
        <v>144</v>
      </c>
      <c r="Q613" s="49" t="s">
        <v>2098</v>
      </c>
      <c r="R613" s="49" t="s">
        <v>2572</v>
      </c>
      <c r="S613" s="53" t="n">
        <v>0</v>
      </c>
      <c r="T613" s="51" t="n">
        <v>1</v>
      </c>
      <c r="U613" s="56" t="n">
        <f aca="false">I613*O613</f>
        <v>0</v>
      </c>
      <c r="V613" s="56" t="n">
        <f aca="false">J613*O613</f>
        <v>0</v>
      </c>
      <c r="W613" s="56" t="n">
        <f aca="false">((I613+J613)/2)*O613</f>
        <v>0</v>
      </c>
      <c r="X613" s="56" t="n">
        <f aca="false">H613*O613</f>
        <v>0</v>
      </c>
    </row>
    <row r="614" customFormat="false" ht="22.35" hidden="false" customHeight="false" outlineLevel="0" collapsed="false">
      <c r="A614" s="76" t="s">
        <v>2063</v>
      </c>
      <c r="B614" s="7" t="s">
        <v>3096</v>
      </c>
      <c r="C614" s="7" t="s">
        <v>3095</v>
      </c>
      <c r="D614" s="7" t="s">
        <v>2570</v>
      </c>
      <c r="E614" s="77" t="s">
        <v>2571</v>
      </c>
      <c r="F614" s="7" t="s">
        <v>2097</v>
      </c>
      <c r="G614" s="7" t="s">
        <v>2097</v>
      </c>
      <c r="H614" s="9" t="n">
        <v>120</v>
      </c>
      <c r="I614" s="9" t="n">
        <v>0</v>
      </c>
      <c r="J614" s="9" t="n">
        <v>0</v>
      </c>
      <c r="K614" s="52" t="n">
        <v>0</v>
      </c>
      <c r="L614" s="58" t="n">
        <v>26.1</v>
      </c>
      <c r="M614" s="59"/>
      <c r="N614" s="9" t="n">
        <v>1.715068</v>
      </c>
      <c r="O614" s="8" t="n">
        <v>0</v>
      </c>
      <c r="P614" s="9" t="n">
        <v>120</v>
      </c>
      <c r="Q614" s="7" t="s">
        <v>2098</v>
      </c>
      <c r="R614" s="7" t="s">
        <v>2572</v>
      </c>
      <c r="S614" s="58" t="n">
        <v>0</v>
      </c>
      <c r="T614" s="9" t="n">
        <v>1</v>
      </c>
      <c r="U614" s="56" t="n">
        <f aca="false">I614*O614</f>
        <v>0</v>
      </c>
      <c r="V614" s="56" t="n">
        <f aca="false">J614*O614</f>
        <v>0</v>
      </c>
      <c r="W614" s="56" t="n">
        <f aca="false">((I614+J614)/2)*O614</f>
        <v>0</v>
      </c>
      <c r="X614" s="56" t="n">
        <f aca="false">H614*O614</f>
        <v>0</v>
      </c>
    </row>
    <row r="615" customFormat="false" ht="22.35" hidden="false" customHeight="false" outlineLevel="0" collapsed="false">
      <c r="A615" s="76" t="s">
        <v>2063</v>
      </c>
      <c r="B615" s="49" t="s">
        <v>3097</v>
      </c>
      <c r="C615" s="49" t="s">
        <v>3098</v>
      </c>
      <c r="D615" s="49" t="s">
        <v>2570</v>
      </c>
      <c r="E615" s="77" t="s">
        <v>2571</v>
      </c>
      <c r="F615" s="49" t="s">
        <v>2097</v>
      </c>
      <c r="G615" s="49" t="s">
        <v>2097</v>
      </c>
      <c r="H615" s="51" t="n">
        <v>192</v>
      </c>
      <c r="I615" s="51" t="n">
        <v>0</v>
      </c>
      <c r="J615" s="51" t="n">
        <v>0</v>
      </c>
      <c r="K615" s="52" t="n">
        <v>0</v>
      </c>
      <c r="L615" s="53" t="n">
        <v>26.1</v>
      </c>
      <c r="M615" s="54"/>
      <c r="N615" s="51" t="n">
        <v>8.393151</v>
      </c>
      <c r="O615" s="55" t="n">
        <v>0</v>
      </c>
      <c r="P615" s="51" t="n">
        <v>192</v>
      </c>
      <c r="Q615" s="49" t="s">
        <v>2098</v>
      </c>
      <c r="R615" s="49" t="s">
        <v>2572</v>
      </c>
      <c r="S615" s="53" t="n">
        <v>0</v>
      </c>
      <c r="T615" s="51" t="n">
        <v>1</v>
      </c>
      <c r="U615" s="56" t="n">
        <f aca="false">I615*O615</f>
        <v>0</v>
      </c>
      <c r="V615" s="56" t="n">
        <f aca="false">J615*O615</f>
        <v>0</v>
      </c>
      <c r="W615" s="56" t="n">
        <f aca="false">((I615+J615)/2)*O615</f>
        <v>0</v>
      </c>
      <c r="X615" s="56" t="n">
        <f aca="false">H615*O615</f>
        <v>0</v>
      </c>
    </row>
    <row r="616" customFormat="false" ht="22.35" hidden="false" customHeight="false" outlineLevel="0" collapsed="false">
      <c r="A616" s="76" t="s">
        <v>2063</v>
      </c>
      <c r="B616" s="7" t="s">
        <v>3099</v>
      </c>
      <c r="C616" s="7" t="s">
        <v>3100</v>
      </c>
      <c r="D616" s="7" t="s">
        <v>2570</v>
      </c>
      <c r="E616" s="77" t="s">
        <v>2571</v>
      </c>
      <c r="F616" s="7" t="s">
        <v>2097</v>
      </c>
      <c r="G616" s="7" t="s">
        <v>2097</v>
      </c>
      <c r="H616" s="9" t="n">
        <v>72</v>
      </c>
      <c r="I616" s="9" t="n">
        <v>0</v>
      </c>
      <c r="J616" s="9" t="n">
        <v>0</v>
      </c>
      <c r="K616" s="52" t="n">
        <v>0</v>
      </c>
      <c r="L616" s="58" t="n">
        <v>26.1</v>
      </c>
      <c r="M616" s="59"/>
      <c r="N616" s="9" t="n">
        <v>3.978082</v>
      </c>
      <c r="O616" s="8" t="n">
        <v>0</v>
      </c>
      <c r="P616" s="9" t="n">
        <v>72</v>
      </c>
      <c r="Q616" s="7" t="s">
        <v>2098</v>
      </c>
      <c r="R616" s="7" t="s">
        <v>2572</v>
      </c>
      <c r="S616" s="58" t="n">
        <v>0</v>
      </c>
      <c r="T616" s="9" t="n">
        <v>1</v>
      </c>
      <c r="U616" s="56" t="n">
        <f aca="false">I616*O616</f>
        <v>0</v>
      </c>
      <c r="V616" s="56" t="n">
        <f aca="false">J616*O616</f>
        <v>0</v>
      </c>
      <c r="W616" s="56" t="n">
        <f aca="false">((I616+J616)/2)*O616</f>
        <v>0</v>
      </c>
      <c r="X616" s="56" t="n">
        <f aca="false">H616*O616</f>
        <v>0</v>
      </c>
    </row>
    <row r="617" customFormat="false" ht="22.35" hidden="false" customHeight="false" outlineLevel="0" collapsed="false">
      <c r="A617" s="76" t="s">
        <v>2063</v>
      </c>
      <c r="B617" s="49" t="s">
        <v>3101</v>
      </c>
      <c r="C617" s="49" t="s">
        <v>3102</v>
      </c>
      <c r="D617" s="49" t="s">
        <v>2570</v>
      </c>
      <c r="E617" s="77" t="s">
        <v>2571</v>
      </c>
      <c r="F617" s="49" t="s">
        <v>2097</v>
      </c>
      <c r="G617" s="49" t="s">
        <v>2097</v>
      </c>
      <c r="H617" s="51" t="n">
        <v>96</v>
      </c>
      <c r="I617" s="51" t="n">
        <v>0</v>
      </c>
      <c r="J617" s="51" t="n">
        <v>0</v>
      </c>
      <c r="K617" s="52" t="n">
        <v>0</v>
      </c>
      <c r="L617" s="53" t="n">
        <v>26.1</v>
      </c>
      <c r="M617" s="54"/>
      <c r="N617" s="51" t="n">
        <v>4.019178</v>
      </c>
      <c r="O617" s="55" t="n">
        <v>0</v>
      </c>
      <c r="P617" s="51" t="n">
        <v>96</v>
      </c>
      <c r="Q617" s="49" t="s">
        <v>2098</v>
      </c>
      <c r="R617" s="49" t="s">
        <v>2572</v>
      </c>
      <c r="S617" s="53" t="n">
        <v>0</v>
      </c>
      <c r="T617" s="51" t="n">
        <v>1</v>
      </c>
      <c r="U617" s="56" t="n">
        <f aca="false">I617*O617</f>
        <v>0</v>
      </c>
      <c r="V617" s="56" t="n">
        <f aca="false">J617*O617</f>
        <v>0</v>
      </c>
      <c r="W617" s="56" t="n">
        <f aca="false">((I617+J617)/2)*O617</f>
        <v>0</v>
      </c>
      <c r="X617" s="56" t="n">
        <f aca="false">H617*O617</f>
        <v>0</v>
      </c>
    </row>
    <row r="618" customFormat="false" ht="22.35" hidden="false" customHeight="false" outlineLevel="0" collapsed="false">
      <c r="A618" s="76" t="s">
        <v>2063</v>
      </c>
      <c r="B618" s="7" t="s">
        <v>3103</v>
      </c>
      <c r="C618" s="7" t="s">
        <v>3104</v>
      </c>
      <c r="D618" s="7" t="s">
        <v>2570</v>
      </c>
      <c r="E618" s="77" t="s">
        <v>2571</v>
      </c>
      <c r="F618" s="7" t="s">
        <v>2097</v>
      </c>
      <c r="G618" s="7" t="s">
        <v>2097</v>
      </c>
      <c r="H618" s="9" t="n">
        <v>96</v>
      </c>
      <c r="I618" s="9" t="n">
        <v>0</v>
      </c>
      <c r="J618" s="9" t="n">
        <v>0</v>
      </c>
      <c r="K618" s="52" t="n">
        <v>0</v>
      </c>
      <c r="L618" s="58" t="n">
        <v>26.1</v>
      </c>
      <c r="M618" s="59"/>
      <c r="N618" s="9" t="n">
        <v>1.039726</v>
      </c>
      <c r="O618" s="8" t="n">
        <v>0</v>
      </c>
      <c r="P618" s="9" t="n">
        <v>96</v>
      </c>
      <c r="Q618" s="7" t="s">
        <v>2098</v>
      </c>
      <c r="R618" s="7" t="s">
        <v>2572</v>
      </c>
      <c r="S618" s="58" t="n">
        <v>0</v>
      </c>
      <c r="T618" s="9" t="n">
        <v>1</v>
      </c>
      <c r="U618" s="56" t="n">
        <f aca="false">I618*O618</f>
        <v>0</v>
      </c>
      <c r="V618" s="56" t="n">
        <f aca="false">J618*O618</f>
        <v>0</v>
      </c>
      <c r="W618" s="56" t="n">
        <f aca="false">((I618+J618)/2)*O618</f>
        <v>0</v>
      </c>
      <c r="X618" s="56" t="n">
        <f aca="false">H618*O618</f>
        <v>0</v>
      </c>
    </row>
    <row r="619" customFormat="false" ht="22.35" hidden="false" customHeight="false" outlineLevel="0" collapsed="false">
      <c r="A619" s="76" t="s">
        <v>2063</v>
      </c>
      <c r="B619" s="49" t="s">
        <v>3105</v>
      </c>
      <c r="C619" s="49" t="s">
        <v>3104</v>
      </c>
      <c r="D619" s="49" t="s">
        <v>2570</v>
      </c>
      <c r="E619" s="77" t="s">
        <v>2571</v>
      </c>
      <c r="F619" s="49" t="s">
        <v>2097</v>
      </c>
      <c r="G619" s="49" t="s">
        <v>2097</v>
      </c>
      <c r="H619" s="51" t="n">
        <v>72</v>
      </c>
      <c r="I619" s="51" t="n">
        <v>0</v>
      </c>
      <c r="J619" s="51" t="n">
        <v>0</v>
      </c>
      <c r="K619" s="52" t="n">
        <v>0</v>
      </c>
      <c r="L619" s="53" t="n">
        <v>26.1</v>
      </c>
      <c r="M619" s="54"/>
      <c r="N619" s="51" t="n">
        <v>1.516438</v>
      </c>
      <c r="O619" s="55" t="n">
        <v>0</v>
      </c>
      <c r="P619" s="51" t="n">
        <v>72</v>
      </c>
      <c r="Q619" s="49" t="s">
        <v>2098</v>
      </c>
      <c r="R619" s="49" t="s">
        <v>2572</v>
      </c>
      <c r="S619" s="53" t="n">
        <v>0</v>
      </c>
      <c r="T619" s="51" t="n">
        <v>1</v>
      </c>
      <c r="U619" s="56" t="n">
        <f aca="false">I619*O619</f>
        <v>0</v>
      </c>
      <c r="V619" s="56" t="n">
        <f aca="false">J619*O619</f>
        <v>0</v>
      </c>
      <c r="W619" s="56" t="n">
        <f aca="false">((I619+J619)/2)*O619</f>
        <v>0</v>
      </c>
      <c r="X619" s="56" t="n">
        <f aca="false">H619*O619</f>
        <v>0</v>
      </c>
    </row>
    <row r="620" customFormat="false" ht="22.35" hidden="false" customHeight="false" outlineLevel="0" collapsed="false">
      <c r="A620" s="76" t="s">
        <v>2063</v>
      </c>
      <c r="B620" s="7" t="s">
        <v>3106</v>
      </c>
      <c r="C620" s="7" t="s">
        <v>3107</v>
      </c>
      <c r="D620" s="7" t="s">
        <v>2570</v>
      </c>
      <c r="E620" s="77" t="s">
        <v>2571</v>
      </c>
      <c r="F620" s="7" t="s">
        <v>2097</v>
      </c>
      <c r="G620" s="7" t="s">
        <v>2097</v>
      </c>
      <c r="H620" s="9" t="n">
        <v>64</v>
      </c>
      <c r="I620" s="9" t="n">
        <v>0</v>
      </c>
      <c r="J620" s="9" t="n">
        <v>0</v>
      </c>
      <c r="K620" s="52" t="n">
        <v>0</v>
      </c>
      <c r="L620" s="58" t="n">
        <v>26.1</v>
      </c>
      <c r="M620" s="59"/>
      <c r="N620" s="9" t="n">
        <v>0.493151</v>
      </c>
      <c r="O620" s="8" t="n">
        <v>0</v>
      </c>
      <c r="P620" s="9" t="n">
        <v>64</v>
      </c>
      <c r="Q620" s="7" t="s">
        <v>2098</v>
      </c>
      <c r="R620" s="7" t="s">
        <v>2572</v>
      </c>
      <c r="S620" s="58" t="n">
        <v>0</v>
      </c>
      <c r="T620" s="9" t="n">
        <v>1</v>
      </c>
      <c r="U620" s="56" t="n">
        <f aca="false">I620*O620</f>
        <v>0</v>
      </c>
      <c r="V620" s="56" t="n">
        <f aca="false">J620*O620</f>
        <v>0</v>
      </c>
      <c r="W620" s="56" t="n">
        <f aca="false">((I620+J620)/2)*O620</f>
        <v>0</v>
      </c>
      <c r="X620" s="56" t="n">
        <f aca="false">H620*O620</f>
        <v>0</v>
      </c>
    </row>
    <row r="621" customFormat="false" ht="22.35" hidden="false" customHeight="false" outlineLevel="0" collapsed="false">
      <c r="A621" s="76" t="s">
        <v>2063</v>
      </c>
      <c r="B621" s="49" t="s">
        <v>3108</v>
      </c>
      <c r="C621" s="49" t="s">
        <v>3107</v>
      </c>
      <c r="D621" s="49" t="s">
        <v>2570</v>
      </c>
      <c r="E621" s="77" t="s">
        <v>2571</v>
      </c>
      <c r="F621" s="49" t="s">
        <v>2097</v>
      </c>
      <c r="G621" s="49" t="s">
        <v>2097</v>
      </c>
      <c r="H621" s="51" t="n">
        <v>36</v>
      </c>
      <c r="I621" s="51" t="n">
        <v>0</v>
      </c>
      <c r="J621" s="51" t="n">
        <v>0</v>
      </c>
      <c r="K621" s="52" t="n">
        <v>0</v>
      </c>
      <c r="L621" s="53" t="n">
        <v>26.1</v>
      </c>
      <c r="M621" s="54"/>
      <c r="N621" s="51" t="n">
        <v>0.734247</v>
      </c>
      <c r="O621" s="55" t="n">
        <v>0</v>
      </c>
      <c r="P621" s="51" t="n">
        <v>36</v>
      </c>
      <c r="Q621" s="49" t="s">
        <v>2098</v>
      </c>
      <c r="R621" s="49" t="s">
        <v>2572</v>
      </c>
      <c r="S621" s="53" t="n">
        <v>0</v>
      </c>
      <c r="T621" s="51" t="n">
        <v>1</v>
      </c>
      <c r="U621" s="56" t="n">
        <f aca="false">I621*O621</f>
        <v>0</v>
      </c>
      <c r="V621" s="56" t="n">
        <f aca="false">J621*O621</f>
        <v>0</v>
      </c>
      <c r="W621" s="56" t="n">
        <f aca="false">((I621+J621)/2)*O621</f>
        <v>0</v>
      </c>
      <c r="X621" s="56" t="n">
        <f aca="false">H621*O621</f>
        <v>0</v>
      </c>
    </row>
    <row r="622" customFormat="false" ht="22.35" hidden="false" customHeight="false" outlineLevel="0" collapsed="false">
      <c r="A622" s="76" t="s">
        <v>2063</v>
      </c>
      <c r="B622" s="7" t="s">
        <v>3109</v>
      </c>
      <c r="C622" s="7" t="s">
        <v>3110</v>
      </c>
      <c r="D622" s="7" t="s">
        <v>2570</v>
      </c>
      <c r="E622" s="77" t="s">
        <v>2571</v>
      </c>
      <c r="F622" s="7" t="s">
        <v>2097</v>
      </c>
      <c r="G622" s="7" t="s">
        <v>2097</v>
      </c>
      <c r="H622" s="9" t="n">
        <v>48</v>
      </c>
      <c r="I622" s="9" t="n">
        <v>0</v>
      </c>
      <c r="J622" s="9" t="n">
        <v>0</v>
      </c>
      <c r="K622" s="52" t="n">
        <v>0</v>
      </c>
      <c r="L622" s="58" t="n">
        <v>26.1</v>
      </c>
      <c r="M622" s="59"/>
      <c r="N622" s="9" t="n">
        <v>0.361644</v>
      </c>
      <c r="O622" s="8" t="n">
        <v>0</v>
      </c>
      <c r="P622" s="9" t="n">
        <v>48</v>
      </c>
      <c r="Q622" s="7" t="s">
        <v>2098</v>
      </c>
      <c r="R622" s="7" t="s">
        <v>2572</v>
      </c>
      <c r="S622" s="58" t="n">
        <v>0</v>
      </c>
      <c r="T622" s="9" t="n">
        <v>1</v>
      </c>
      <c r="U622" s="56" t="n">
        <f aca="false">I622*O622</f>
        <v>0</v>
      </c>
      <c r="V622" s="56" t="n">
        <f aca="false">J622*O622</f>
        <v>0</v>
      </c>
      <c r="W622" s="56" t="n">
        <f aca="false">((I622+J622)/2)*O622</f>
        <v>0</v>
      </c>
      <c r="X622" s="56" t="n">
        <f aca="false">H622*O622</f>
        <v>0</v>
      </c>
    </row>
    <row r="623" customFormat="false" ht="22.35" hidden="false" customHeight="false" outlineLevel="0" collapsed="false">
      <c r="A623" s="76" t="s">
        <v>2063</v>
      </c>
      <c r="B623" s="49" t="s">
        <v>3111</v>
      </c>
      <c r="C623" s="49" t="s">
        <v>3110</v>
      </c>
      <c r="D623" s="49" t="s">
        <v>2570</v>
      </c>
      <c r="E623" s="77" t="s">
        <v>2571</v>
      </c>
      <c r="F623" s="49" t="s">
        <v>2097</v>
      </c>
      <c r="G623" s="49" t="s">
        <v>2097</v>
      </c>
      <c r="H623" s="51" t="n">
        <v>32</v>
      </c>
      <c r="I623" s="51" t="n">
        <v>0</v>
      </c>
      <c r="J623" s="51" t="n">
        <v>0</v>
      </c>
      <c r="K623" s="52" t="n">
        <v>0</v>
      </c>
      <c r="L623" s="53" t="n">
        <v>26.1</v>
      </c>
      <c r="M623" s="54"/>
      <c r="N623" s="51" t="n">
        <v>0.49589</v>
      </c>
      <c r="O623" s="55" t="n">
        <v>0</v>
      </c>
      <c r="P623" s="51" t="n">
        <v>32</v>
      </c>
      <c r="Q623" s="49" t="s">
        <v>2098</v>
      </c>
      <c r="R623" s="49" t="s">
        <v>2572</v>
      </c>
      <c r="S623" s="53" t="n">
        <v>0</v>
      </c>
      <c r="T623" s="51" t="n">
        <v>1</v>
      </c>
      <c r="U623" s="56" t="n">
        <f aca="false">I623*O623</f>
        <v>0</v>
      </c>
      <c r="V623" s="56" t="n">
        <f aca="false">J623*O623</f>
        <v>0</v>
      </c>
      <c r="W623" s="56" t="n">
        <f aca="false">((I623+J623)/2)*O623</f>
        <v>0</v>
      </c>
      <c r="X623" s="56" t="n">
        <f aca="false">H623*O623</f>
        <v>0</v>
      </c>
    </row>
    <row r="624" customFormat="false" ht="22.35" hidden="false" customHeight="false" outlineLevel="0" collapsed="false">
      <c r="A624" s="76" t="s">
        <v>2063</v>
      </c>
      <c r="B624" s="7" t="s">
        <v>3112</v>
      </c>
      <c r="C624" s="7" t="s">
        <v>3113</v>
      </c>
      <c r="D624" s="7" t="s">
        <v>2570</v>
      </c>
      <c r="E624" s="77" t="s">
        <v>2571</v>
      </c>
      <c r="F624" s="7" t="s">
        <v>2097</v>
      </c>
      <c r="G624" s="7" t="s">
        <v>2097</v>
      </c>
      <c r="H624" s="9" t="n">
        <v>24</v>
      </c>
      <c r="I624" s="9" t="n">
        <v>0</v>
      </c>
      <c r="J624" s="9" t="n">
        <v>0</v>
      </c>
      <c r="K624" s="52" t="n">
        <v>0</v>
      </c>
      <c r="L624" s="58" t="n">
        <v>26.1</v>
      </c>
      <c r="M624" s="59"/>
      <c r="N624" s="9" t="n">
        <v>0.330137</v>
      </c>
      <c r="O624" s="8" t="n">
        <v>0</v>
      </c>
      <c r="P624" s="9" t="n">
        <v>24</v>
      </c>
      <c r="Q624" s="7" t="s">
        <v>2098</v>
      </c>
      <c r="R624" s="7" t="s">
        <v>2572</v>
      </c>
      <c r="S624" s="58" t="n">
        <v>0</v>
      </c>
      <c r="T624" s="9" t="n">
        <v>1</v>
      </c>
      <c r="U624" s="56" t="n">
        <f aca="false">I624*O624</f>
        <v>0</v>
      </c>
      <c r="V624" s="56" t="n">
        <f aca="false">J624*O624</f>
        <v>0</v>
      </c>
      <c r="W624" s="56" t="n">
        <f aca="false">((I624+J624)/2)*O624</f>
        <v>0</v>
      </c>
      <c r="X624" s="56" t="n">
        <f aca="false">H624*O624</f>
        <v>0</v>
      </c>
    </row>
    <row r="625" customFormat="false" ht="22.35" hidden="false" customHeight="false" outlineLevel="0" collapsed="false">
      <c r="A625" s="76" t="s">
        <v>2063</v>
      </c>
      <c r="B625" s="49" t="s">
        <v>3114</v>
      </c>
      <c r="C625" s="49" t="s">
        <v>3113</v>
      </c>
      <c r="D625" s="49" t="s">
        <v>2570</v>
      </c>
      <c r="E625" s="77" t="s">
        <v>2571</v>
      </c>
      <c r="F625" s="49" t="s">
        <v>2097</v>
      </c>
      <c r="G625" s="49" t="s">
        <v>2097</v>
      </c>
      <c r="H625" s="51" t="n">
        <v>124</v>
      </c>
      <c r="I625" s="51" t="n">
        <v>0</v>
      </c>
      <c r="J625" s="51" t="n">
        <v>0</v>
      </c>
      <c r="K625" s="52" t="n">
        <v>0</v>
      </c>
      <c r="L625" s="53" t="n">
        <v>26.1</v>
      </c>
      <c r="M625" s="54"/>
      <c r="N625" s="51" t="n">
        <v>0.938356</v>
      </c>
      <c r="O625" s="55" t="n">
        <v>0</v>
      </c>
      <c r="P625" s="51" t="n">
        <v>124</v>
      </c>
      <c r="Q625" s="49" t="s">
        <v>2098</v>
      </c>
      <c r="R625" s="49" t="s">
        <v>2572</v>
      </c>
      <c r="S625" s="53" t="n">
        <v>0</v>
      </c>
      <c r="T625" s="51" t="n">
        <v>1</v>
      </c>
      <c r="U625" s="56" t="n">
        <f aca="false">I625*O625</f>
        <v>0</v>
      </c>
      <c r="V625" s="56" t="n">
        <f aca="false">J625*O625</f>
        <v>0</v>
      </c>
      <c r="W625" s="56" t="n">
        <f aca="false">((I625+J625)/2)*O625</f>
        <v>0</v>
      </c>
      <c r="X625" s="56" t="n">
        <f aca="false">H625*O625</f>
        <v>0</v>
      </c>
    </row>
    <row r="626" customFormat="false" ht="22.35" hidden="false" customHeight="false" outlineLevel="0" collapsed="false">
      <c r="A626" s="76" t="s">
        <v>2063</v>
      </c>
      <c r="B626" s="7" t="s">
        <v>3115</v>
      </c>
      <c r="C626" s="7" t="s">
        <v>3116</v>
      </c>
      <c r="D626" s="7" t="s">
        <v>2570</v>
      </c>
      <c r="E626" s="77" t="s">
        <v>2571</v>
      </c>
      <c r="F626" s="7" t="s">
        <v>2097</v>
      </c>
      <c r="G626" s="7" t="s">
        <v>2097</v>
      </c>
      <c r="H626" s="9" t="n">
        <v>36</v>
      </c>
      <c r="I626" s="9" t="n">
        <v>0</v>
      </c>
      <c r="J626" s="9" t="n">
        <v>0</v>
      </c>
      <c r="K626" s="52" t="n">
        <v>0</v>
      </c>
      <c r="L626" s="58" t="n">
        <v>26.1</v>
      </c>
      <c r="M626" s="59"/>
      <c r="N626" s="9" t="n">
        <v>0.549315</v>
      </c>
      <c r="O626" s="8" t="n">
        <v>0</v>
      </c>
      <c r="P626" s="9" t="n">
        <v>36</v>
      </c>
      <c r="Q626" s="7" t="s">
        <v>2098</v>
      </c>
      <c r="R626" s="7" t="s">
        <v>2572</v>
      </c>
      <c r="S626" s="58" t="n">
        <v>0</v>
      </c>
      <c r="T626" s="9" t="n">
        <v>1</v>
      </c>
      <c r="U626" s="56" t="n">
        <f aca="false">I626*O626</f>
        <v>0</v>
      </c>
      <c r="V626" s="56" t="n">
        <f aca="false">J626*O626</f>
        <v>0</v>
      </c>
      <c r="W626" s="56" t="n">
        <f aca="false">((I626+J626)/2)*O626</f>
        <v>0</v>
      </c>
      <c r="X626" s="56" t="n">
        <f aca="false">H626*O626</f>
        <v>0</v>
      </c>
    </row>
    <row r="627" customFormat="false" ht="22.35" hidden="false" customHeight="false" outlineLevel="0" collapsed="false">
      <c r="A627" s="76" t="s">
        <v>2063</v>
      </c>
      <c r="B627" s="49" t="s">
        <v>3117</v>
      </c>
      <c r="C627" s="49" t="s">
        <v>3116</v>
      </c>
      <c r="D627" s="49" t="s">
        <v>2570</v>
      </c>
      <c r="E627" s="77" t="s">
        <v>2571</v>
      </c>
      <c r="F627" s="49" t="s">
        <v>2097</v>
      </c>
      <c r="G627" s="49" t="s">
        <v>2097</v>
      </c>
      <c r="H627" s="51" t="n">
        <v>20</v>
      </c>
      <c r="I627" s="51" t="n">
        <v>0</v>
      </c>
      <c r="J627" s="51" t="n">
        <v>0</v>
      </c>
      <c r="K627" s="52" t="n">
        <v>0</v>
      </c>
      <c r="L627" s="53" t="n">
        <v>26.1</v>
      </c>
      <c r="M627" s="54"/>
      <c r="N627" s="51" t="n">
        <v>0.224658</v>
      </c>
      <c r="O627" s="55" t="n">
        <v>0</v>
      </c>
      <c r="P627" s="51" t="n">
        <v>20</v>
      </c>
      <c r="Q627" s="49" t="s">
        <v>2098</v>
      </c>
      <c r="R627" s="49" t="s">
        <v>2572</v>
      </c>
      <c r="S627" s="53" t="n">
        <v>0</v>
      </c>
      <c r="T627" s="51" t="n">
        <v>1</v>
      </c>
      <c r="U627" s="56" t="n">
        <f aca="false">I627*O627</f>
        <v>0</v>
      </c>
      <c r="V627" s="56" t="n">
        <f aca="false">J627*O627</f>
        <v>0</v>
      </c>
      <c r="W627" s="56" t="n">
        <f aca="false">((I627+J627)/2)*O627</f>
        <v>0</v>
      </c>
      <c r="X627" s="56" t="n">
        <f aca="false">H627*O627</f>
        <v>0</v>
      </c>
    </row>
    <row r="628" customFormat="false" ht="22.35" hidden="false" customHeight="false" outlineLevel="0" collapsed="false">
      <c r="A628" s="76" t="s">
        <v>2063</v>
      </c>
      <c r="B628" s="7" t="s">
        <v>3118</v>
      </c>
      <c r="C628" s="7" t="s">
        <v>3116</v>
      </c>
      <c r="D628" s="7" t="s">
        <v>2570</v>
      </c>
      <c r="E628" s="77" t="s">
        <v>2571</v>
      </c>
      <c r="F628" s="7" t="s">
        <v>2097</v>
      </c>
      <c r="G628" s="7" t="s">
        <v>2097</v>
      </c>
      <c r="H628" s="9" t="n">
        <v>20</v>
      </c>
      <c r="I628" s="9" t="n">
        <v>0</v>
      </c>
      <c r="J628" s="9" t="n">
        <v>0</v>
      </c>
      <c r="K628" s="52" t="n">
        <v>0</v>
      </c>
      <c r="L628" s="58" t="n">
        <v>26.1</v>
      </c>
      <c r="M628" s="59"/>
      <c r="N628" s="9" t="n">
        <v>0.210959</v>
      </c>
      <c r="O628" s="8" t="n">
        <v>0</v>
      </c>
      <c r="P628" s="9" t="n">
        <v>20</v>
      </c>
      <c r="Q628" s="7" t="s">
        <v>2098</v>
      </c>
      <c r="R628" s="7" t="s">
        <v>2572</v>
      </c>
      <c r="S628" s="58" t="n">
        <v>0</v>
      </c>
      <c r="T628" s="9" t="n">
        <v>1</v>
      </c>
      <c r="U628" s="56" t="n">
        <f aca="false">I628*O628</f>
        <v>0</v>
      </c>
      <c r="V628" s="56" t="n">
        <f aca="false">J628*O628</f>
        <v>0</v>
      </c>
      <c r="W628" s="56" t="n">
        <f aca="false">((I628+J628)/2)*O628</f>
        <v>0</v>
      </c>
      <c r="X628" s="56" t="n">
        <f aca="false">H628*O628</f>
        <v>0</v>
      </c>
    </row>
    <row r="629" customFormat="false" ht="22.35" hidden="false" customHeight="false" outlineLevel="0" collapsed="false">
      <c r="A629" s="76" t="s">
        <v>2063</v>
      </c>
      <c r="B629" s="49" t="s">
        <v>3119</v>
      </c>
      <c r="C629" s="49" t="s">
        <v>3116</v>
      </c>
      <c r="D629" s="49" t="s">
        <v>2570</v>
      </c>
      <c r="E629" s="77" t="s">
        <v>2571</v>
      </c>
      <c r="F629" s="49" t="s">
        <v>2097</v>
      </c>
      <c r="G629" s="49" t="s">
        <v>2097</v>
      </c>
      <c r="H629" s="51" t="n">
        <v>12</v>
      </c>
      <c r="I629" s="51" t="n">
        <v>0</v>
      </c>
      <c r="J629" s="51" t="n">
        <v>0</v>
      </c>
      <c r="K629" s="52" t="n">
        <v>0</v>
      </c>
      <c r="L629" s="53" t="n">
        <v>26.1</v>
      </c>
      <c r="M629" s="54"/>
      <c r="N629" s="51" t="n">
        <v>0.147945</v>
      </c>
      <c r="O629" s="55" t="n">
        <v>0</v>
      </c>
      <c r="P629" s="51" t="n">
        <v>12</v>
      </c>
      <c r="Q629" s="49" t="s">
        <v>2098</v>
      </c>
      <c r="R629" s="49" t="s">
        <v>2572</v>
      </c>
      <c r="S629" s="53" t="n">
        <v>0</v>
      </c>
      <c r="T629" s="51" t="n">
        <v>1</v>
      </c>
      <c r="U629" s="56" t="n">
        <f aca="false">I629*O629</f>
        <v>0</v>
      </c>
      <c r="V629" s="56" t="n">
        <f aca="false">J629*O629</f>
        <v>0</v>
      </c>
      <c r="W629" s="56" t="n">
        <f aca="false">((I629+J629)/2)*O629</f>
        <v>0</v>
      </c>
      <c r="X629" s="56" t="n">
        <f aca="false">H629*O629</f>
        <v>0</v>
      </c>
    </row>
    <row r="630" customFormat="false" ht="22.35" hidden="false" customHeight="false" outlineLevel="0" collapsed="false">
      <c r="A630" s="76" t="s">
        <v>2063</v>
      </c>
      <c r="B630" s="7" t="s">
        <v>3120</v>
      </c>
      <c r="C630" s="7" t="s">
        <v>3121</v>
      </c>
      <c r="D630" s="7" t="s">
        <v>2570</v>
      </c>
      <c r="E630" s="77" t="s">
        <v>2571</v>
      </c>
      <c r="F630" s="7" t="s">
        <v>2097</v>
      </c>
      <c r="G630" s="7" t="s">
        <v>2097</v>
      </c>
      <c r="H630" s="9" t="n">
        <v>48</v>
      </c>
      <c r="I630" s="9" t="n">
        <v>0</v>
      </c>
      <c r="J630" s="9" t="n">
        <v>0</v>
      </c>
      <c r="K630" s="52" t="n">
        <v>0</v>
      </c>
      <c r="L630" s="58" t="n">
        <v>26.1</v>
      </c>
      <c r="M630" s="59"/>
      <c r="N630" s="9" t="n">
        <v>0.7</v>
      </c>
      <c r="O630" s="8" t="n">
        <v>0</v>
      </c>
      <c r="P630" s="9" t="n">
        <v>48</v>
      </c>
      <c r="Q630" s="7" t="s">
        <v>2098</v>
      </c>
      <c r="R630" s="7" t="s">
        <v>2572</v>
      </c>
      <c r="S630" s="58" t="n">
        <v>0</v>
      </c>
      <c r="T630" s="9" t="n">
        <v>1</v>
      </c>
      <c r="U630" s="56" t="n">
        <f aca="false">I630*O630</f>
        <v>0</v>
      </c>
      <c r="V630" s="56" t="n">
        <f aca="false">J630*O630</f>
        <v>0</v>
      </c>
      <c r="W630" s="56" t="n">
        <f aca="false">((I630+J630)/2)*O630</f>
        <v>0</v>
      </c>
      <c r="X630" s="56" t="n">
        <f aca="false">H630*O630</f>
        <v>0</v>
      </c>
    </row>
    <row r="631" customFormat="false" ht="22.35" hidden="false" customHeight="false" outlineLevel="0" collapsed="false">
      <c r="A631" s="76" t="s">
        <v>2063</v>
      </c>
      <c r="B631" s="49" t="s">
        <v>3122</v>
      </c>
      <c r="C631" s="49" t="s">
        <v>3123</v>
      </c>
      <c r="D631" s="49" t="s">
        <v>2570</v>
      </c>
      <c r="E631" s="77" t="s">
        <v>2571</v>
      </c>
      <c r="F631" s="49" t="s">
        <v>2097</v>
      </c>
      <c r="G631" s="49" t="s">
        <v>2097</v>
      </c>
      <c r="H631" s="51" t="n">
        <v>48</v>
      </c>
      <c r="I631" s="51" t="n">
        <v>0</v>
      </c>
      <c r="J631" s="51" t="n">
        <v>0</v>
      </c>
      <c r="K631" s="52" t="n">
        <v>0</v>
      </c>
      <c r="L631" s="53" t="n">
        <v>26.1</v>
      </c>
      <c r="M631" s="54"/>
      <c r="N631" s="51" t="n">
        <v>0.675342</v>
      </c>
      <c r="O631" s="55" t="n">
        <v>0</v>
      </c>
      <c r="P631" s="51" t="n">
        <v>48</v>
      </c>
      <c r="Q631" s="49" t="s">
        <v>2098</v>
      </c>
      <c r="R631" s="49" t="s">
        <v>2572</v>
      </c>
      <c r="S631" s="53" t="n">
        <v>0</v>
      </c>
      <c r="T631" s="51" t="n">
        <v>1</v>
      </c>
      <c r="U631" s="56" t="n">
        <f aca="false">I631*O631</f>
        <v>0</v>
      </c>
      <c r="V631" s="56" t="n">
        <f aca="false">J631*O631</f>
        <v>0</v>
      </c>
      <c r="W631" s="56" t="n">
        <f aca="false">((I631+J631)/2)*O631</f>
        <v>0</v>
      </c>
      <c r="X631" s="56" t="n">
        <f aca="false">H631*O631</f>
        <v>0</v>
      </c>
    </row>
    <row r="632" customFormat="false" ht="22.35" hidden="false" customHeight="false" outlineLevel="0" collapsed="false">
      <c r="A632" s="76" t="s">
        <v>2063</v>
      </c>
      <c r="B632" s="7" t="s">
        <v>3124</v>
      </c>
      <c r="C632" s="7" t="s">
        <v>3125</v>
      </c>
      <c r="D632" s="7" t="s">
        <v>2570</v>
      </c>
      <c r="E632" s="77" t="s">
        <v>2571</v>
      </c>
      <c r="F632" s="7" t="s">
        <v>2097</v>
      </c>
      <c r="G632" s="7" t="s">
        <v>2097</v>
      </c>
      <c r="H632" s="9" t="n">
        <v>36</v>
      </c>
      <c r="I632" s="9" t="n">
        <v>0</v>
      </c>
      <c r="J632" s="9" t="n">
        <v>0</v>
      </c>
      <c r="K632" s="52" t="n">
        <v>0</v>
      </c>
      <c r="L632" s="58" t="n">
        <v>26.1</v>
      </c>
      <c r="M632" s="59"/>
      <c r="N632" s="9" t="n">
        <v>1.40274</v>
      </c>
      <c r="O632" s="8" t="n">
        <v>0</v>
      </c>
      <c r="P632" s="9" t="n">
        <v>36</v>
      </c>
      <c r="Q632" s="7" t="s">
        <v>2098</v>
      </c>
      <c r="R632" s="7" t="s">
        <v>2572</v>
      </c>
      <c r="S632" s="58" t="n">
        <v>0</v>
      </c>
      <c r="T632" s="9" t="n">
        <v>1</v>
      </c>
      <c r="U632" s="56" t="n">
        <f aca="false">I632*O632</f>
        <v>0</v>
      </c>
      <c r="V632" s="56" t="n">
        <f aca="false">J632*O632</f>
        <v>0</v>
      </c>
      <c r="W632" s="56" t="n">
        <f aca="false">((I632+J632)/2)*O632</f>
        <v>0</v>
      </c>
      <c r="X632" s="56" t="n">
        <f aca="false">H632*O632</f>
        <v>0</v>
      </c>
    </row>
    <row r="633" customFormat="false" ht="22.35" hidden="false" customHeight="false" outlineLevel="0" collapsed="false">
      <c r="A633" s="76" t="s">
        <v>2063</v>
      </c>
      <c r="B633" s="49" t="s">
        <v>3126</v>
      </c>
      <c r="C633" s="49" t="s">
        <v>3127</v>
      </c>
      <c r="D633" s="49" t="s">
        <v>2570</v>
      </c>
      <c r="E633" s="77" t="s">
        <v>2571</v>
      </c>
      <c r="F633" s="49" t="s">
        <v>2097</v>
      </c>
      <c r="G633" s="49" t="s">
        <v>2097</v>
      </c>
      <c r="H633" s="51" t="n">
        <v>16</v>
      </c>
      <c r="I633" s="51" t="n">
        <v>0</v>
      </c>
      <c r="J633" s="51" t="n">
        <v>0</v>
      </c>
      <c r="K633" s="52" t="n">
        <v>0</v>
      </c>
      <c r="L633" s="53" t="n">
        <v>26.1</v>
      </c>
      <c r="M633" s="54"/>
      <c r="N633" s="51" t="n">
        <v>0.69863</v>
      </c>
      <c r="O633" s="55" t="n">
        <v>0</v>
      </c>
      <c r="P633" s="51" t="n">
        <v>16</v>
      </c>
      <c r="Q633" s="49" t="s">
        <v>2098</v>
      </c>
      <c r="R633" s="49" t="s">
        <v>2572</v>
      </c>
      <c r="S633" s="53" t="n">
        <v>0</v>
      </c>
      <c r="T633" s="51" t="n">
        <v>1</v>
      </c>
      <c r="U633" s="56" t="n">
        <f aca="false">I633*O633</f>
        <v>0</v>
      </c>
      <c r="V633" s="56" t="n">
        <f aca="false">J633*O633</f>
        <v>0</v>
      </c>
      <c r="W633" s="56" t="n">
        <f aca="false">((I633+J633)/2)*O633</f>
        <v>0</v>
      </c>
      <c r="X633" s="56" t="n">
        <f aca="false">H633*O633</f>
        <v>0</v>
      </c>
    </row>
    <row r="634" customFormat="false" ht="22.35" hidden="false" customHeight="false" outlineLevel="0" collapsed="false">
      <c r="A634" s="76" t="s">
        <v>2063</v>
      </c>
      <c r="B634" s="7" t="s">
        <v>3128</v>
      </c>
      <c r="C634" s="7" t="s">
        <v>3129</v>
      </c>
      <c r="D634" s="7" t="s">
        <v>2570</v>
      </c>
      <c r="E634" s="77" t="s">
        <v>2571</v>
      </c>
      <c r="F634" s="7" t="s">
        <v>2097</v>
      </c>
      <c r="G634" s="7" t="s">
        <v>2097</v>
      </c>
      <c r="H634" s="9" t="n">
        <v>16</v>
      </c>
      <c r="I634" s="9" t="n">
        <v>0</v>
      </c>
      <c r="J634" s="9" t="n">
        <v>0</v>
      </c>
      <c r="K634" s="52" t="n">
        <v>0</v>
      </c>
      <c r="L634" s="58" t="n">
        <v>26.1</v>
      </c>
      <c r="M634" s="59"/>
      <c r="N634" s="9" t="n">
        <v>0.584932</v>
      </c>
      <c r="O634" s="8" t="n">
        <v>0</v>
      </c>
      <c r="P634" s="9" t="n">
        <v>16</v>
      </c>
      <c r="Q634" s="7" t="s">
        <v>2098</v>
      </c>
      <c r="R634" s="7" t="s">
        <v>2572</v>
      </c>
      <c r="S634" s="58" t="n">
        <v>0</v>
      </c>
      <c r="T634" s="9" t="n">
        <v>1</v>
      </c>
      <c r="U634" s="56" t="n">
        <f aca="false">I634*O634</f>
        <v>0</v>
      </c>
      <c r="V634" s="56" t="n">
        <f aca="false">J634*O634</f>
        <v>0</v>
      </c>
      <c r="W634" s="56" t="n">
        <f aca="false">((I634+J634)/2)*O634</f>
        <v>0</v>
      </c>
      <c r="X634" s="56" t="n">
        <f aca="false">H634*O634</f>
        <v>0</v>
      </c>
    </row>
    <row r="635" customFormat="false" ht="22.35" hidden="false" customHeight="false" outlineLevel="0" collapsed="false">
      <c r="A635" s="76" t="s">
        <v>2063</v>
      </c>
      <c r="B635" s="49" t="s">
        <v>3130</v>
      </c>
      <c r="C635" s="49" t="s">
        <v>3131</v>
      </c>
      <c r="D635" s="49" t="s">
        <v>2570</v>
      </c>
      <c r="E635" s="77" t="s">
        <v>2571</v>
      </c>
      <c r="F635" s="49" t="s">
        <v>2097</v>
      </c>
      <c r="G635" s="49" t="s">
        <v>2097</v>
      </c>
      <c r="H635" s="51" t="n">
        <v>24</v>
      </c>
      <c r="I635" s="51" t="n">
        <v>0</v>
      </c>
      <c r="J635" s="51" t="n">
        <v>0</v>
      </c>
      <c r="K635" s="52" t="n">
        <v>0</v>
      </c>
      <c r="L635" s="53" t="n">
        <v>26.1</v>
      </c>
      <c r="M635" s="54"/>
      <c r="N635" s="51" t="n">
        <v>0.675342</v>
      </c>
      <c r="O635" s="55" t="n">
        <v>0</v>
      </c>
      <c r="P635" s="51" t="n">
        <v>24</v>
      </c>
      <c r="Q635" s="49" t="s">
        <v>2098</v>
      </c>
      <c r="R635" s="49" t="s">
        <v>2572</v>
      </c>
      <c r="S635" s="53" t="n">
        <v>0</v>
      </c>
      <c r="T635" s="51" t="n">
        <v>1</v>
      </c>
      <c r="U635" s="56" t="n">
        <f aca="false">I635*O635</f>
        <v>0</v>
      </c>
      <c r="V635" s="56" t="n">
        <f aca="false">J635*O635</f>
        <v>0</v>
      </c>
      <c r="W635" s="56" t="n">
        <f aca="false">((I635+J635)/2)*O635</f>
        <v>0</v>
      </c>
      <c r="X635" s="56" t="n">
        <f aca="false">H635*O635</f>
        <v>0</v>
      </c>
    </row>
    <row r="636" customFormat="false" ht="22.35" hidden="false" customHeight="false" outlineLevel="0" collapsed="false">
      <c r="A636" s="76" t="s">
        <v>2063</v>
      </c>
      <c r="B636" s="7" t="s">
        <v>3132</v>
      </c>
      <c r="C636" s="7" t="s">
        <v>3133</v>
      </c>
      <c r="D636" s="7" t="s">
        <v>2570</v>
      </c>
      <c r="E636" s="77" t="s">
        <v>2571</v>
      </c>
      <c r="F636" s="7" t="s">
        <v>2097</v>
      </c>
      <c r="G636" s="7" t="s">
        <v>2097</v>
      </c>
      <c r="H636" s="9" t="n">
        <v>24</v>
      </c>
      <c r="I636" s="9" t="n">
        <v>0</v>
      </c>
      <c r="J636" s="9" t="n">
        <v>0</v>
      </c>
      <c r="K636" s="52" t="n">
        <v>0</v>
      </c>
      <c r="L636" s="58" t="n">
        <v>26.1</v>
      </c>
      <c r="M636" s="59"/>
      <c r="N636" s="9" t="n">
        <v>0.591781</v>
      </c>
      <c r="O636" s="8" t="n">
        <v>0</v>
      </c>
      <c r="P636" s="9" t="n">
        <v>24</v>
      </c>
      <c r="Q636" s="7" t="s">
        <v>2098</v>
      </c>
      <c r="R636" s="7" t="s">
        <v>2572</v>
      </c>
      <c r="S636" s="58" t="n">
        <v>0</v>
      </c>
      <c r="T636" s="9" t="n">
        <v>1</v>
      </c>
      <c r="U636" s="56" t="n">
        <f aca="false">I636*O636</f>
        <v>0</v>
      </c>
      <c r="V636" s="56" t="n">
        <f aca="false">J636*O636</f>
        <v>0</v>
      </c>
      <c r="W636" s="56" t="n">
        <f aca="false">((I636+J636)/2)*O636</f>
        <v>0</v>
      </c>
      <c r="X636" s="56" t="n">
        <f aca="false">H636*O636</f>
        <v>0</v>
      </c>
    </row>
    <row r="637" customFormat="false" ht="22.35" hidden="false" customHeight="false" outlineLevel="0" collapsed="false">
      <c r="A637" s="76" t="s">
        <v>2063</v>
      </c>
      <c r="B637" s="49" t="s">
        <v>3134</v>
      </c>
      <c r="C637" s="49" t="s">
        <v>3135</v>
      </c>
      <c r="D637" s="49" t="s">
        <v>2570</v>
      </c>
      <c r="E637" s="77" t="s">
        <v>2571</v>
      </c>
      <c r="F637" s="49" t="s">
        <v>2097</v>
      </c>
      <c r="G637" s="49" t="s">
        <v>2097</v>
      </c>
      <c r="H637" s="51" t="n">
        <v>16</v>
      </c>
      <c r="I637" s="51" t="n">
        <v>0</v>
      </c>
      <c r="J637" s="51" t="n">
        <v>0</v>
      </c>
      <c r="K637" s="52" t="n">
        <v>0</v>
      </c>
      <c r="L637" s="53" t="n">
        <v>26.1</v>
      </c>
      <c r="M637" s="54"/>
      <c r="N637" s="51" t="n">
        <v>0.665753</v>
      </c>
      <c r="O637" s="55" t="n">
        <v>0</v>
      </c>
      <c r="P637" s="51" t="n">
        <v>16</v>
      </c>
      <c r="Q637" s="49" t="s">
        <v>2098</v>
      </c>
      <c r="R637" s="49" t="s">
        <v>2572</v>
      </c>
      <c r="S637" s="53" t="n">
        <v>0</v>
      </c>
      <c r="T637" s="51" t="n">
        <v>1</v>
      </c>
      <c r="U637" s="56" t="n">
        <f aca="false">I637*O637</f>
        <v>0</v>
      </c>
      <c r="V637" s="56" t="n">
        <f aca="false">J637*O637</f>
        <v>0</v>
      </c>
      <c r="W637" s="56" t="n">
        <f aca="false">((I637+J637)/2)*O637</f>
        <v>0</v>
      </c>
      <c r="X637" s="56" t="n">
        <f aca="false">H637*O637</f>
        <v>0</v>
      </c>
    </row>
    <row r="638" customFormat="false" ht="22.35" hidden="false" customHeight="false" outlineLevel="0" collapsed="false">
      <c r="A638" s="76" t="s">
        <v>2063</v>
      </c>
      <c r="B638" s="7" t="s">
        <v>3136</v>
      </c>
      <c r="C638" s="7" t="s">
        <v>3137</v>
      </c>
      <c r="D638" s="7" t="s">
        <v>2570</v>
      </c>
      <c r="E638" s="77" t="s">
        <v>2571</v>
      </c>
      <c r="F638" s="7" t="s">
        <v>2097</v>
      </c>
      <c r="G638" s="7" t="s">
        <v>2097</v>
      </c>
      <c r="H638" s="9" t="n">
        <v>16</v>
      </c>
      <c r="I638" s="9" t="n">
        <v>0</v>
      </c>
      <c r="J638" s="9" t="n">
        <v>0</v>
      </c>
      <c r="K638" s="52" t="n">
        <v>0</v>
      </c>
      <c r="L638" s="58" t="n">
        <v>26.1</v>
      </c>
      <c r="M638" s="59"/>
      <c r="N638" s="9" t="n">
        <v>0.646575</v>
      </c>
      <c r="O638" s="8" t="n">
        <v>0</v>
      </c>
      <c r="P638" s="9" t="n">
        <v>16</v>
      </c>
      <c r="Q638" s="7" t="s">
        <v>2098</v>
      </c>
      <c r="R638" s="7" t="s">
        <v>2572</v>
      </c>
      <c r="S638" s="58" t="n">
        <v>0</v>
      </c>
      <c r="T638" s="9" t="n">
        <v>1</v>
      </c>
      <c r="U638" s="56" t="n">
        <f aca="false">I638*O638</f>
        <v>0</v>
      </c>
      <c r="V638" s="56" t="n">
        <f aca="false">J638*O638</f>
        <v>0</v>
      </c>
      <c r="W638" s="56" t="n">
        <f aca="false">((I638+J638)/2)*O638</f>
        <v>0</v>
      </c>
      <c r="X638" s="56" t="n">
        <f aca="false">H638*O638</f>
        <v>0</v>
      </c>
    </row>
    <row r="639" customFormat="false" ht="22.35" hidden="false" customHeight="false" outlineLevel="0" collapsed="false">
      <c r="A639" s="76" t="s">
        <v>2063</v>
      </c>
      <c r="B639" s="49" t="s">
        <v>3138</v>
      </c>
      <c r="C639" s="49" t="s">
        <v>3139</v>
      </c>
      <c r="D639" s="49" t="s">
        <v>2570</v>
      </c>
      <c r="E639" s="77" t="s">
        <v>2571</v>
      </c>
      <c r="F639" s="49" t="s">
        <v>2097</v>
      </c>
      <c r="G639" s="49" t="s">
        <v>2097</v>
      </c>
      <c r="H639" s="51" t="n">
        <v>144</v>
      </c>
      <c r="I639" s="51" t="n">
        <v>0</v>
      </c>
      <c r="J639" s="51" t="n">
        <v>0</v>
      </c>
      <c r="K639" s="52" t="n">
        <v>0</v>
      </c>
      <c r="L639" s="53" t="n">
        <v>26.1</v>
      </c>
      <c r="M639" s="54"/>
      <c r="N639" s="51" t="n">
        <v>2.450685</v>
      </c>
      <c r="O639" s="55" t="n">
        <v>0</v>
      </c>
      <c r="P639" s="51" t="n">
        <v>144</v>
      </c>
      <c r="Q639" s="49" t="s">
        <v>2098</v>
      </c>
      <c r="R639" s="49" t="s">
        <v>2572</v>
      </c>
      <c r="S639" s="53" t="n">
        <v>0</v>
      </c>
      <c r="T639" s="51" t="n">
        <v>1</v>
      </c>
      <c r="U639" s="56" t="n">
        <f aca="false">I639*O639</f>
        <v>0</v>
      </c>
      <c r="V639" s="56" t="n">
        <f aca="false">J639*O639</f>
        <v>0</v>
      </c>
      <c r="W639" s="56" t="n">
        <f aca="false">((I639+J639)/2)*O639</f>
        <v>0</v>
      </c>
      <c r="X639" s="56" t="n">
        <f aca="false">H639*O639</f>
        <v>0</v>
      </c>
    </row>
    <row r="640" customFormat="false" ht="22.35" hidden="false" customHeight="false" outlineLevel="0" collapsed="false">
      <c r="A640" s="76" t="s">
        <v>2063</v>
      </c>
      <c r="B640" s="7" t="s">
        <v>3140</v>
      </c>
      <c r="C640" s="7" t="s">
        <v>3141</v>
      </c>
      <c r="D640" s="7" t="s">
        <v>2570</v>
      </c>
      <c r="E640" s="77" t="s">
        <v>2571</v>
      </c>
      <c r="F640" s="7" t="s">
        <v>2097</v>
      </c>
      <c r="G640" s="7" t="s">
        <v>2097</v>
      </c>
      <c r="H640" s="9" t="n">
        <v>64</v>
      </c>
      <c r="I640" s="9" t="n">
        <v>0</v>
      </c>
      <c r="J640" s="9" t="n">
        <v>0</v>
      </c>
      <c r="K640" s="52" t="n">
        <v>0</v>
      </c>
      <c r="L640" s="58" t="n">
        <v>26.1</v>
      </c>
      <c r="M640" s="59"/>
      <c r="N640" s="9" t="n">
        <v>0.857534</v>
      </c>
      <c r="O640" s="8" t="n">
        <v>0</v>
      </c>
      <c r="P640" s="9" t="n">
        <v>64</v>
      </c>
      <c r="Q640" s="7" t="s">
        <v>2098</v>
      </c>
      <c r="R640" s="7" t="s">
        <v>2572</v>
      </c>
      <c r="S640" s="58" t="n">
        <v>0</v>
      </c>
      <c r="T640" s="9" t="n">
        <v>1</v>
      </c>
      <c r="U640" s="56" t="n">
        <f aca="false">I640*O640</f>
        <v>0</v>
      </c>
      <c r="V640" s="56" t="n">
        <f aca="false">J640*O640</f>
        <v>0</v>
      </c>
      <c r="W640" s="56" t="n">
        <f aca="false">((I640+J640)/2)*O640</f>
        <v>0</v>
      </c>
      <c r="X640" s="56" t="n">
        <f aca="false">H640*O640</f>
        <v>0</v>
      </c>
    </row>
    <row r="641" customFormat="false" ht="22.35" hidden="false" customHeight="false" outlineLevel="0" collapsed="false">
      <c r="A641" s="76" t="s">
        <v>2063</v>
      </c>
      <c r="B641" s="49" t="s">
        <v>3142</v>
      </c>
      <c r="C641" s="49" t="s">
        <v>3143</v>
      </c>
      <c r="D641" s="49" t="s">
        <v>2570</v>
      </c>
      <c r="E641" s="77" t="s">
        <v>2571</v>
      </c>
      <c r="F641" s="49" t="s">
        <v>2097</v>
      </c>
      <c r="G641" s="49" t="s">
        <v>2097</v>
      </c>
      <c r="H641" s="51" t="n">
        <v>24</v>
      </c>
      <c r="I641" s="51" t="n">
        <v>0</v>
      </c>
      <c r="J641" s="51" t="n">
        <v>0</v>
      </c>
      <c r="K641" s="52" t="n">
        <v>0</v>
      </c>
      <c r="L641" s="53" t="n">
        <v>26.1</v>
      </c>
      <c r="M641" s="54"/>
      <c r="N641" s="51" t="n">
        <v>0.379452</v>
      </c>
      <c r="O641" s="55" t="n">
        <v>0</v>
      </c>
      <c r="P641" s="51" t="n">
        <v>24</v>
      </c>
      <c r="Q641" s="49" t="s">
        <v>2098</v>
      </c>
      <c r="R641" s="49" t="s">
        <v>2572</v>
      </c>
      <c r="S641" s="53" t="n">
        <v>0</v>
      </c>
      <c r="T641" s="51" t="n">
        <v>1</v>
      </c>
      <c r="U641" s="56" t="n">
        <f aca="false">I641*O641</f>
        <v>0</v>
      </c>
      <c r="V641" s="56" t="n">
        <f aca="false">J641*O641</f>
        <v>0</v>
      </c>
      <c r="W641" s="56" t="n">
        <f aca="false">((I641+J641)/2)*O641</f>
        <v>0</v>
      </c>
      <c r="X641" s="56" t="n">
        <f aca="false">H641*O641</f>
        <v>0</v>
      </c>
    </row>
    <row r="642" customFormat="false" ht="22.35" hidden="false" customHeight="false" outlineLevel="0" collapsed="false">
      <c r="A642" s="76" t="s">
        <v>2063</v>
      </c>
      <c r="B642" s="7" t="s">
        <v>3144</v>
      </c>
      <c r="C642" s="7" t="s">
        <v>3145</v>
      </c>
      <c r="D642" s="7" t="s">
        <v>2570</v>
      </c>
      <c r="E642" s="77" t="s">
        <v>2571</v>
      </c>
      <c r="F642" s="7" t="s">
        <v>2097</v>
      </c>
      <c r="G642" s="7" t="s">
        <v>2097</v>
      </c>
      <c r="H642" s="9" t="n">
        <v>64</v>
      </c>
      <c r="I642" s="9" t="n">
        <v>0</v>
      </c>
      <c r="J642" s="9" t="n">
        <v>0</v>
      </c>
      <c r="K642" s="52" t="n">
        <v>0</v>
      </c>
      <c r="L642" s="58" t="n">
        <v>26.1</v>
      </c>
      <c r="M642" s="59"/>
      <c r="N642" s="9" t="n">
        <v>0.978082</v>
      </c>
      <c r="O642" s="8" t="n">
        <v>0</v>
      </c>
      <c r="P642" s="9" t="n">
        <v>64</v>
      </c>
      <c r="Q642" s="7" t="s">
        <v>2098</v>
      </c>
      <c r="R642" s="7" t="s">
        <v>2572</v>
      </c>
      <c r="S642" s="58" t="n">
        <v>0</v>
      </c>
      <c r="T642" s="9" t="n">
        <v>1</v>
      </c>
      <c r="U642" s="56" t="n">
        <f aca="false">I642*O642</f>
        <v>0</v>
      </c>
      <c r="V642" s="56" t="n">
        <f aca="false">J642*O642</f>
        <v>0</v>
      </c>
      <c r="W642" s="56" t="n">
        <f aca="false">((I642+J642)/2)*O642</f>
        <v>0</v>
      </c>
      <c r="X642" s="56" t="n">
        <f aca="false">H642*O642</f>
        <v>0</v>
      </c>
    </row>
    <row r="643" customFormat="false" ht="22.35" hidden="false" customHeight="false" outlineLevel="0" collapsed="false">
      <c r="A643" s="76" t="s">
        <v>2063</v>
      </c>
      <c r="B643" s="49" t="s">
        <v>3146</v>
      </c>
      <c r="C643" s="49" t="s">
        <v>3147</v>
      </c>
      <c r="D643" s="49" t="s">
        <v>2570</v>
      </c>
      <c r="E643" s="77" t="s">
        <v>2571</v>
      </c>
      <c r="F643" s="49" t="s">
        <v>2097</v>
      </c>
      <c r="G643" s="49" t="s">
        <v>2097</v>
      </c>
      <c r="H643" s="51" t="n">
        <v>776</v>
      </c>
      <c r="I643" s="51" t="n">
        <v>0</v>
      </c>
      <c r="J643" s="51" t="n">
        <v>0</v>
      </c>
      <c r="K643" s="52" t="n">
        <v>0</v>
      </c>
      <c r="L643" s="53" t="n">
        <v>26.1</v>
      </c>
      <c r="M643" s="54"/>
      <c r="N643" s="51" t="n">
        <v>1.120548</v>
      </c>
      <c r="O643" s="55" t="n">
        <v>0</v>
      </c>
      <c r="P643" s="51" t="n">
        <v>776</v>
      </c>
      <c r="Q643" s="49" t="s">
        <v>2098</v>
      </c>
      <c r="R643" s="49" t="s">
        <v>2572</v>
      </c>
      <c r="S643" s="53" t="n">
        <v>0</v>
      </c>
      <c r="T643" s="51" t="n">
        <v>144</v>
      </c>
      <c r="U643" s="56" t="n">
        <f aca="false">I643*O643</f>
        <v>0</v>
      </c>
      <c r="V643" s="56" t="n">
        <f aca="false">J643*O643</f>
        <v>0</v>
      </c>
      <c r="W643" s="56" t="n">
        <f aca="false">((I643+J643)/2)*O643</f>
        <v>0</v>
      </c>
      <c r="X643" s="56" t="n">
        <f aca="false">H643*O643</f>
        <v>0</v>
      </c>
    </row>
    <row r="644" customFormat="false" ht="22.35" hidden="false" customHeight="false" outlineLevel="0" collapsed="false">
      <c r="A644" s="76" t="s">
        <v>2063</v>
      </c>
      <c r="B644" s="7" t="s">
        <v>3148</v>
      </c>
      <c r="C644" s="7" t="s">
        <v>3149</v>
      </c>
      <c r="D644" s="7" t="s">
        <v>2570</v>
      </c>
      <c r="E644" s="77" t="s">
        <v>2571</v>
      </c>
      <c r="F644" s="7" t="s">
        <v>2097</v>
      </c>
      <c r="G644" s="7" t="s">
        <v>2097</v>
      </c>
      <c r="H644" s="9" t="n">
        <v>72</v>
      </c>
      <c r="I644" s="9" t="n">
        <v>0</v>
      </c>
      <c r="J644" s="9" t="n">
        <v>0</v>
      </c>
      <c r="K644" s="52" t="n">
        <v>0</v>
      </c>
      <c r="L644" s="58" t="n">
        <v>26.1</v>
      </c>
      <c r="M644" s="59"/>
      <c r="N644" s="9" t="n">
        <v>0.312329</v>
      </c>
      <c r="O644" s="8" t="n">
        <v>0</v>
      </c>
      <c r="P644" s="9" t="n">
        <v>72</v>
      </c>
      <c r="Q644" s="7" t="s">
        <v>2098</v>
      </c>
      <c r="R644" s="7" t="s">
        <v>2572</v>
      </c>
      <c r="S644" s="58" t="n">
        <v>0</v>
      </c>
      <c r="T644" s="9" t="n">
        <v>1</v>
      </c>
      <c r="U644" s="56" t="n">
        <f aca="false">I644*O644</f>
        <v>0</v>
      </c>
      <c r="V644" s="56" t="n">
        <f aca="false">J644*O644</f>
        <v>0</v>
      </c>
      <c r="W644" s="56" t="n">
        <f aca="false">((I644+J644)/2)*O644</f>
        <v>0</v>
      </c>
      <c r="X644" s="56" t="n">
        <f aca="false">H644*O644</f>
        <v>0</v>
      </c>
    </row>
    <row r="645" customFormat="false" ht="22.35" hidden="false" customHeight="false" outlineLevel="0" collapsed="false">
      <c r="A645" s="76" t="s">
        <v>2063</v>
      </c>
      <c r="B645" s="49" t="s">
        <v>3150</v>
      </c>
      <c r="C645" s="49" t="s">
        <v>3151</v>
      </c>
      <c r="D645" s="49" t="s">
        <v>2570</v>
      </c>
      <c r="E645" s="77" t="s">
        <v>2571</v>
      </c>
      <c r="F645" s="49" t="s">
        <v>2097</v>
      </c>
      <c r="G645" s="49" t="s">
        <v>2097</v>
      </c>
      <c r="H645" s="51" t="n">
        <v>3</v>
      </c>
      <c r="I645" s="51" t="n">
        <v>0</v>
      </c>
      <c r="J645" s="51" t="n">
        <v>0</v>
      </c>
      <c r="K645" s="52" t="n">
        <v>0</v>
      </c>
      <c r="L645" s="53" t="n">
        <v>33.9</v>
      </c>
      <c r="M645" s="54" t="n">
        <v>100</v>
      </c>
      <c r="N645" s="51" t="n">
        <v>0.00137</v>
      </c>
      <c r="O645" s="55" t="n">
        <v>0</v>
      </c>
      <c r="P645" s="51" t="n">
        <v>3</v>
      </c>
      <c r="Q645" s="49" t="s">
        <v>2098</v>
      </c>
      <c r="R645" s="49" t="s">
        <v>2572</v>
      </c>
      <c r="S645" s="53" t="n">
        <v>0</v>
      </c>
      <c r="T645" s="51" t="n">
        <v>1</v>
      </c>
      <c r="U645" s="56" t="n">
        <f aca="false">I645*O645</f>
        <v>0</v>
      </c>
      <c r="V645" s="56" t="n">
        <f aca="false">J645*O645</f>
        <v>0</v>
      </c>
      <c r="W645" s="56" t="n">
        <f aca="false">((I645+J645)/2)*O645</f>
        <v>0</v>
      </c>
      <c r="X645" s="56" t="n">
        <f aca="false">H645*O645</f>
        <v>0</v>
      </c>
    </row>
    <row r="646" customFormat="false" ht="22.35" hidden="false" customHeight="false" outlineLevel="0" collapsed="false">
      <c r="A646" s="76" t="s">
        <v>2063</v>
      </c>
      <c r="B646" s="7" t="s">
        <v>3152</v>
      </c>
      <c r="C646" s="7" t="s">
        <v>3153</v>
      </c>
      <c r="D646" s="7" t="s">
        <v>2570</v>
      </c>
      <c r="E646" s="77" t="s">
        <v>2571</v>
      </c>
      <c r="F646" s="7" t="s">
        <v>2097</v>
      </c>
      <c r="G646" s="7" t="s">
        <v>2097</v>
      </c>
      <c r="H646" s="9" t="n">
        <v>376</v>
      </c>
      <c r="I646" s="9" t="n">
        <v>0</v>
      </c>
      <c r="J646" s="9" t="n">
        <v>0</v>
      </c>
      <c r="K646" s="52" t="n">
        <v>0</v>
      </c>
      <c r="L646" s="58" t="n">
        <v>26.1</v>
      </c>
      <c r="M646" s="59"/>
      <c r="N646" s="9" t="n">
        <v>1.965753</v>
      </c>
      <c r="O646" s="8" t="n">
        <v>0</v>
      </c>
      <c r="P646" s="9" t="n">
        <v>376</v>
      </c>
      <c r="Q646" s="7" t="s">
        <v>2098</v>
      </c>
      <c r="R646" s="7" t="s">
        <v>2572</v>
      </c>
      <c r="S646" s="58" t="n">
        <v>0</v>
      </c>
      <c r="T646" s="9" t="n">
        <v>144</v>
      </c>
      <c r="U646" s="56" t="n">
        <f aca="false">I646*O646</f>
        <v>0</v>
      </c>
      <c r="V646" s="56" t="n">
        <f aca="false">J646*O646</f>
        <v>0</v>
      </c>
      <c r="W646" s="56" t="n">
        <f aca="false">((I646+J646)/2)*O646</f>
        <v>0</v>
      </c>
      <c r="X646" s="56" t="n">
        <f aca="false">H646*O646</f>
        <v>0</v>
      </c>
    </row>
    <row r="647" customFormat="false" ht="22.35" hidden="false" customHeight="false" outlineLevel="0" collapsed="false">
      <c r="A647" s="76" t="s">
        <v>2063</v>
      </c>
      <c r="B647" s="49" t="s">
        <v>3154</v>
      </c>
      <c r="C647" s="49" t="s">
        <v>3155</v>
      </c>
      <c r="D647" s="49" t="s">
        <v>2570</v>
      </c>
      <c r="E647" s="77" t="s">
        <v>2571</v>
      </c>
      <c r="F647" s="49" t="s">
        <v>2097</v>
      </c>
      <c r="G647" s="49" t="s">
        <v>2097</v>
      </c>
      <c r="H647" s="51" t="n">
        <v>376</v>
      </c>
      <c r="I647" s="51" t="n">
        <v>0</v>
      </c>
      <c r="J647" s="51" t="n">
        <v>0</v>
      </c>
      <c r="K647" s="52" t="n">
        <v>0</v>
      </c>
      <c r="L647" s="53" t="n">
        <v>26.1</v>
      </c>
      <c r="M647" s="54"/>
      <c r="N647" s="51" t="n">
        <v>1.99589</v>
      </c>
      <c r="O647" s="55" t="n">
        <v>0</v>
      </c>
      <c r="P647" s="51" t="n">
        <v>376</v>
      </c>
      <c r="Q647" s="49" t="s">
        <v>2098</v>
      </c>
      <c r="R647" s="49" t="s">
        <v>2572</v>
      </c>
      <c r="S647" s="53" t="n">
        <v>0</v>
      </c>
      <c r="T647" s="51" t="n">
        <v>144</v>
      </c>
      <c r="U647" s="56" t="n">
        <f aca="false">I647*O647</f>
        <v>0</v>
      </c>
      <c r="V647" s="56" t="n">
        <f aca="false">J647*O647</f>
        <v>0</v>
      </c>
      <c r="W647" s="56" t="n">
        <f aca="false">((I647+J647)/2)*O647</f>
        <v>0</v>
      </c>
      <c r="X647" s="56" t="n">
        <f aca="false">H647*O647</f>
        <v>0</v>
      </c>
    </row>
    <row r="648" customFormat="false" ht="22.35" hidden="false" customHeight="false" outlineLevel="0" collapsed="false">
      <c r="A648" s="76" t="s">
        <v>2063</v>
      </c>
      <c r="B648" s="7" t="s">
        <v>3156</v>
      </c>
      <c r="C648" s="7" t="s">
        <v>3157</v>
      </c>
      <c r="D648" s="7" t="s">
        <v>2570</v>
      </c>
      <c r="E648" s="77" t="s">
        <v>2571</v>
      </c>
      <c r="F648" s="7" t="s">
        <v>2097</v>
      </c>
      <c r="G648" s="7" t="s">
        <v>2097</v>
      </c>
      <c r="H648" s="9" t="n">
        <v>96</v>
      </c>
      <c r="I648" s="9" t="n">
        <v>0</v>
      </c>
      <c r="J648" s="9" t="n">
        <v>0</v>
      </c>
      <c r="K648" s="52" t="n">
        <v>0</v>
      </c>
      <c r="L648" s="58" t="n">
        <v>26.1</v>
      </c>
      <c r="M648" s="59"/>
      <c r="N648" s="9" t="n">
        <v>1.193151</v>
      </c>
      <c r="O648" s="8" t="n">
        <v>0</v>
      </c>
      <c r="P648" s="9" t="n">
        <v>96</v>
      </c>
      <c r="Q648" s="7" t="s">
        <v>2098</v>
      </c>
      <c r="R648" s="7" t="s">
        <v>2572</v>
      </c>
      <c r="S648" s="58" t="n">
        <v>0</v>
      </c>
      <c r="T648" s="9" t="n">
        <v>1</v>
      </c>
      <c r="U648" s="56" t="n">
        <f aca="false">I648*O648</f>
        <v>0</v>
      </c>
      <c r="V648" s="56" t="n">
        <f aca="false">J648*O648</f>
        <v>0</v>
      </c>
      <c r="W648" s="56" t="n">
        <f aca="false">((I648+J648)/2)*O648</f>
        <v>0</v>
      </c>
      <c r="X648" s="56" t="n">
        <f aca="false">H648*O648</f>
        <v>0</v>
      </c>
    </row>
    <row r="649" customFormat="false" ht="22.35" hidden="false" customHeight="false" outlineLevel="0" collapsed="false">
      <c r="A649" s="76" t="s">
        <v>2063</v>
      </c>
      <c r="B649" s="49" t="s">
        <v>3158</v>
      </c>
      <c r="C649" s="49" t="s">
        <v>3157</v>
      </c>
      <c r="D649" s="49" t="s">
        <v>2570</v>
      </c>
      <c r="E649" s="77" t="s">
        <v>2571</v>
      </c>
      <c r="F649" s="49" t="s">
        <v>2097</v>
      </c>
      <c r="G649" s="49" t="s">
        <v>2097</v>
      </c>
      <c r="H649" s="51" t="n">
        <v>10</v>
      </c>
      <c r="I649" s="51" t="n">
        <v>0</v>
      </c>
      <c r="J649" s="51" t="n">
        <v>0</v>
      </c>
      <c r="K649" s="52" t="n">
        <v>0</v>
      </c>
      <c r="L649" s="53" t="n">
        <v>26.1</v>
      </c>
      <c r="M649" s="54"/>
      <c r="N649" s="51" t="n">
        <v>0.109589</v>
      </c>
      <c r="O649" s="55" t="n">
        <v>0</v>
      </c>
      <c r="P649" s="51" t="n">
        <v>10</v>
      </c>
      <c r="Q649" s="49" t="s">
        <v>2098</v>
      </c>
      <c r="R649" s="49" t="s">
        <v>2572</v>
      </c>
      <c r="S649" s="53" t="n">
        <v>0</v>
      </c>
      <c r="T649" s="51" t="n">
        <v>1</v>
      </c>
      <c r="U649" s="56" t="n">
        <f aca="false">I649*O649</f>
        <v>0</v>
      </c>
      <c r="V649" s="56" t="n">
        <f aca="false">J649*O649</f>
        <v>0</v>
      </c>
      <c r="W649" s="56" t="n">
        <f aca="false">((I649+J649)/2)*O649</f>
        <v>0</v>
      </c>
      <c r="X649" s="56" t="n">
        <f aca="false">H649*O649</f>
        <v>0</v>
      </c>
    </row>
    <row r="650" customFormat="false" ht="22.35" hidden="false" customHeight="false" outlineLevel="0" collapsed="false">
      <c r="A650" s="76" t="s">
        <v>2063</v>
      </c>
      <c r="B650" s="7" t="s">
        <v>3159</v>
      </c>
      <c r="C650" s="7" t="s">
        <v>3160</v>
      </c>
      <c r="D650" s="7" t="s">
        <v>2570</v>
      </c>
      <c r="E650" s="77" t="s">
        <v>2571</v>
      </c>
      <c r="F650" s="7" t="s">
        <v>2097</v>
      </c>
      <c r="G650" s="7" t="s">
        <v>2097</v>
      </c>
      <c r="H650" s="9" t="n">
        <v>4</v>
      </c>
      <c r="I650" s="9" t="n">
        <v>0</v>
      </c>
      <c r="J650" s="9" t="n">
        <v>0</v>
      </c>
      <c r="K650" s="52" t="n">
        <v>0</v>
      </c>
      <c r="L650" s="58" t="n">
        <v>26.1</v>
      </c>
      <c r="M650" s="59"/>
      <c r="N650" s="9" t="n">
        <v>0.056164</v>
      </c>
      <c r="O650" s="8" t="n">
        <v>0</v>
      </c>
      <c r="P650" s="9" t="n">
        <v>4</v>
      </c>
      <c r="Q650" s="7" t="s">
        <v>2098</v>
      </c>
      <c r="R650" s="7" t="s">
        <v>2572</v>
      </c>
      <c r="S650" s="58" t="n">
        <v>0</v>
      </c>
      <c r="T650" s="9" t="n">
        <v>1</v>
      </c>
      <c r="U650" s="56" t="n">
        <f aca="false">I650*O650</f>
        <v>0</v>
      </c>
      <c r="V650" s="56" t="n">
        <f aca="false">J650*O650</f>
        <v>0</v>
      </c>
      <c r="W650" s="56" t="n">
        <f aca="false">((I650+J650)/2)*O650</f>
        <v>0</v>
      </c>
      <c r="X650" s="56" t="n">
        <f aca="false">H650*O650</f>
        <v>0</v>
      </c>
    </row>
    <row r="651" customFormat="false" ht="22.35" hidden="false" customHeight="false" outlineLevel="0" collapsed="false">
      <c r="A651" s="76" t="s">
        <v>2063</v>
      </c>
      <c r="B651" s="49" t="s">
        <v>3161</v>
      </c>
      <c r="C651" s="49" t="s">
        <v>3160</v>
      </c>
      <c r="D651" s="49" t="s">
        <v>2570</v>
      </c>
      <c r="E651" s="77" t="s">
        <v>2571</v>
      </c>
      <c r="F651" s="49" t="s">
        <v>2097</v>
      </c>
      <c r="G651" s="49" t="s">
        <v>2097</v>
      </c>
      <c r="H651" s="51" t="n">
        <v>96</v>
      </c>
      <c r="I651" s="51" t="n">
        <v>0</v>
      </c>
      <c r="J651" s="51" t="n">
        <v>0</v>
      </c>
      <c r="K651" s="52" t="n">
        <v>0</v>
      </c>
      <c r="L651" s="53" t="n">
        <v>26.1</v>
      </c>
      <c r="M651" s="54"/>
      <c r="N651" s="51" t="n">
        <v>1.156164</v>
      </c>
      <c r="O651" s="55" t="n">
        <v>0</v>
      </c>
      <c r="P651" s="51" t="n">
        <v>96</v>
      </c>
      <c r="Q651" s="49" t="s">
        <v>2098</v>
      </c>
      <c r="R651" s="49" t="s">
        <v>2572</v>
      </c>
      <c r="S651" s="53" t="n">
        <v>0</v>
      </c>
      <c r="T651" s="51" t="n">
        <v>1</v>
      </c>
      <c r="U651" s="56" t="n">
        <f aca="false">I651*O651</f>
        <v>0</v>
      </c>
      <c r="V651" s="56" t="n">
        <f aca="false">J651*O651</f>
        <v>0</v>
      </c>
      <c r="W651" s="56" t="n">
        <f aca="false">((I651+J651)/2)*O651</f>
        <v>0</v>
      </c>
      <c r="X651" s="56" t="n">
        <f aca="false">H651*O651</f>
        <v>0</v>
      </c>
    </row>
    <row r="652" customFormat="false" ht="22.35" hidden="false" customHeight="false" outlineLevel="0" collapsed="false">
      <c r="A652" s="76" t="s">
        <v>2063</v>
      </c>
      <c r="B652" s="7" t="s">
        <v>3162</v>
      </c>
      <c r="C652" s="7" t="s">
        <v>3163</v>
      </c>
      <c r="D652" s="7" t="s">
        <v>2570</v>
      </c>
      <c r="E652" s="77" t="s">
        <v>2571</v>
      </c>
      <c r="F652" s="7" t="s">
        <v>2097</v>
      </c>
      <c r="G652" s="7" t="s">
        <v>2097</v>
      </c>
      <c r="H652" s="9" t="n">
        <v>120</v>
      </c>
      <c r="I652" s="9" t="n">
        <v>0</v>
      </c>
      <c r="J652" s="9" t="n">
        <v>0</v>
      </c>
      <c r="K652" s="52" t="n">
        <v>0</v>
      </c>
      <c r="L652" s="58" t="n">
        <v>26.1</v>
      </c>
      <c r="M652" s="59"/>
      <c r="N652" s="9" t="n">
        <v>1.330137</v>
      </c>
      <c r="O652" s="8" t="n">
        <v>0</v>
      </c>
      <c r="P652" s="9" t="n">
        <v>120</v>
      </c>
      <c r="Q652" s="7" t="s">
        <v>2098</v>
      </c>
      <c r="R652" s="7" t="s">
        <v>2572</v>
      </c>
      <c r="S652" s="58" t="n">
        <v>0</v>
      </c>
      <c r="T652" s="9" t="n">
        <v>1</v>
      </c>
      <c r="U652" s="56" t="n">
        <f aca="false">I652*O652</f>
        <v>0</v>
      </c>
      <c r="V652" s="56" t="n">
        <f aca="false">J652*O652</f>
        <v>0</v>
      </c>
      <c r="W652" s="56" t="n">
        <f aca="false">((I652+J652)/2)*O652</f>
        <v>0</v>
      </c>
      <c r="X652" s="56" t="n">
        <f aca="false">H652*O652</f>
        <v>0</v>
      </c>
    </row>
    <row r="653" customFormat="false" ht="22.35" hidden="false" customHeight="false" outlineLevel="0" collapsed="false">
      <c r="A653" s="76" t="s">
        <v>2063</v>
      </c>
      <c r="B653" s="49" t="s">
        <v>3164</v>
      </c>
      <c r="C653" s="49" t="s">
        <v>3163</v>
      </c>
      <c r="D653" s="49" t="s">
        <v>2570</v>
      </c>
      <c r="E653" s="77" t="s">
        <v>2571</v>
      </c>
      <c r="F653" s="49" t="s">
        <v>2097</v>
      </c>
      <c r="G653" s="49" t="s">
        <v>2097</v>
      </c>
      <c r="H653" s="51" t="n">
        <v>164</v>
      </c>
      <c r="I653" s="51" t="n">
        <v>0</v>
      </c>
      <c r="J653" s="51" t="n">
        <v>0</v>
      </c>
      <c r="K653" s="52" t="n">
        <v>0</v>
      </c>
      <c r="L653" s="53" t="n">
        <v>26.1</v>
      </c>
      <c r="M653" s="54"/>
      <c r="N653" s="51" t="n">
        <v>2.39589</v>
      </c>
      <c r="O653" s="55" t="n">
        <v>0</v>
      </c>
      <c r="P653" s="51" t="n">
        <v>164</v>
      </c>
      <c r="Q653" s="49" t="s">
        <v>2098</v>
      </c>
      <c r="R653" s="49" t="s">
        <v>2572</v>
      </c>
      <c r="S653" s="53" t="n">
        <v>0</v>
      </c>
      <c r="T653" s="51" t="n">
        <v>1</v>
      </c>
      <c r="U653" s="56" t="n">
        <f aca="false">I653*O653</f>
        <v>0</v>
      </c>
      <c r="V653" s="56" t="n">
        <f aca="false">J653*O653</f>
        <v>0</v>
      </c>
      <c r="W653" s="56" t="n">
        <f aca="false">((I653+J653)/2)*O653</f>
        <v>0</v>
      </c>
      <c r="X653" s="56" t="n">
        <f aca="false">H653*O653</f>
        <v>0</v>
      </c>
    </row>
    <row r="654" customFormat="false" ht="22.35" hidden="false" customHeight="false" outlineLevel="0" collapsed="false">
      <c r="A654" s="76" t="s">
        <v>2063</v>
      </c>
      <c r="B654" s="7" t="s">
        <v>3165</v>
      </c>
      <c r="C654" s="7" t="s">
        <v>3166</v>
      </c>
      <c r="D654" s="7" t="s">
        <v>2570</v>
      </c>
      <c r="E654" s="77" t="s">
        <v>2571</v>
      </c>
      <c r="F654" s="7" t="s">
        <v>2097</v>
      </c>
      <c r="G654" s="7" t="s">
        <v>2097</v>
      </c>
      <c r="H654" s="9" t="n">
        <v>36</v>
      </c>
      <c r="I654" s="9" t="n">
        <v>0</v>
      </c>
      <c r="J654" s="9" t="n">
        <v>0</v>
      </c>
      <c r="K654" s="52" t="n">
        <v>0</v>
      </c>
      <c r="L654" s="58" t="n">
        <v>26.1</v>
      </c>
      <c r="M654" s="59"/>
      <c r="N654" s="9" t="n">
        <v>0.431507</v>
      </c>
      <c r="O654" s="8" t="n">
        <v>0</v>
      </c>
      <c r="P654" s="9" t="n">
        <v>36</v>
      </c>
      <c r="Q654" s="7" t="s">
        <v>2098</v>
      </c>
      <c r="R654" s="7" t="s">
        <v>2572</v>
      </c>
      <c r="S654" s="58" t="n">
        <v>0</v>
      </c>
      <c r="T654" s="9" t="n">
        <v>1</v>
      </c>
      <c r="U654" s="56" t="n">
        <f aca="false">I654*O654</f>
        <v>0</v>
      </c>
      <c r="V654" s="56" t="n">
        <f aca="false">J654*O654</f>
        <v>0</v>
      </c>
      <c r="W654" s="56" t="n">
        <f aca="false">((I654+J654)/2)*O654</f>
        <v>0</v>
      </c>
      <c r="X654" s="56" t="n">
        <f aca="false">H654*O654</f>
        <v>0</v>
      </c>
    </row>
    <row r="655" customFormat="false" ht="22.35" hidden="false" customHeight="false" outlineLevel="0" collapsed="false">
      <c r="A655" s="76" t="s">
        <v>2063</v>
      </c>
      <c r="B655" s="49" t="s">
        <v>3167</v>
      </c>
      <c r="C655" s="49" t="s">
        <v>3166</v>
      </c>
      <c r="D655" s="49" t="s">
        <v>2570</v>
      </c>
      <c r="E655" s="77" t="s">
        <v>2571</v>
      </c>
      <c r="F655" s="49" t="s">
        <v>2097</v>
      </c>
      <c r="G655" s="49" t="s">
        <v>2097</v>
      </c>
      <c r="H655" s="51" t="n">
        <v>54</v>
      </c>
      <c r="I655" s="51" t="n">
        <v>0</v>
      </c>
      <c r="J655" s="51" t="n">
        <v>0</v>
      </c>
      <c r="K655" s="52" t="n">
        <v>0</v>
      </c>
      <c r="L655" s="53" t="n">
        <v>26.1</v>
      </c>
      <c r="M655" s="54"/>
      <c r="N655" s="51" t="n">
        <v>0.652055</v>
      </c>
      <c r="O655" s="55" t="n">
        <v>0</v>
      </c>
      <c r="P655" s="51" t="n">
        <v>54</v>
      </c>
      <c r="Q655" s="49" t="s">
        <v>2098</v>
      </c>
      <c r="R655" s="49" t="s">
        <v>2572</v>
      </c>
      <c r="S655" s="53" t="n">
        <v>0</v>
      </c>
      <c r="T655" s="51" t="n">
        <v>1</v>
      </c>
      <c r="U655" s="56" t="n">
        <f aca="false">I655*O655</f>
        <v>0</v>
      </c>
      <c r="V655" s="56" t="n">
        <f aca="false">J655*O655</f>
        <v>0</v>
      </c>
      <c r="W655" s="56" t="n">
        <f aca="false">((I655+J655)/2)*O655</f>
        <v>0</v>
      </c>
      <c r="X655" s="56" t="n">
        <f aca="false">H655*O655</f>
        <v>0</v>
      </c>
    </row>
    <row r="656" customFormat="false" ht="22.35" hidden="false" customHeight="false" outlineLevel="0" collapsed="false">
      <c r="A656" s="76" t="s">
        <v>2063</v>
      </c>
      <c r="B656" s="7" t="s">
        <v>3168</v>
      </c>
      <c r="C656" s="7" t="s">
        <v>3169</v>
      </c>
      <c r="D656" s="7" t="s">
        <v>2570</v>
      </c>
      <c r="E656" s="77" t="s">
        <v>2571</v>
      </c>
      <c r="F656" s="7" t="s">
        <v>2097</v>
      </c>
      <c r="G656" s="7" t="s">
        <v>2097</v>
      </c>
      <c r="H656" s="9" t="n">
        <v>96</v>
      </c>
      <c r="I656" s="9" t="n">
        <v>0</v>
      </c>
      <c r="J656" s="9" t="n">
        <v>0</v>
      </c>
      <c r="K656" s="52" t="n">
        <v>0</v>
      </c>
      <c r="L656" s="58" t="n">
        <v>26.1</v>
      </c>
      <c r="M656" s="59"/>
      <c r="N656" s="9" t="n">
        <v>1.263014</v>
      </c>
      <c r="O656" s="8" t="n">
        <v>0</v>
      </c>
      <c r="P656" s="9" t="n">
        <v>96</v>
      </c>
      <c r="Q656" s="7" t="s">
        <v>2098</v>
      </c>
      <c r="R656" s="7" t="s">
        <v>2572</v>
      </c>
      <c r="S656" s="58" t="n">
        <v>0</v>
      </c>
      <c r="T656" s="9" t="n">
        <v>1</v>
      </c>
      <c r="U656" s="56" t="n">
        <f aca="false">I656*O656</f>
        <v>0</v>
      </c>
      <c r="V656" s="56" t="n">
        <f aca="false">J656*O656</f>
        <v>0</v>
      </c>
      <c r="W656" s="56" t="n">
        <f aca="false">((I656+J656)/2)*O656</f>
        <v>0</v>
      </c>
      <c r="X656" s="56" t="n">
        <f aca="false">H656*O656</f>
        <v>0</v>
      </c>
    </row>
    <row r="657" customFormat="false" ht="22.35" hidden="false" customHeight="false" outlineLevel="0" collapsed="false">
      <c r="A657" s="76" t="s">
        <v>2063</v>
      </c>
      <c r="B657" s="49" t="s">
        <v>3170</v>
      </c>
      <c r="C657" s="49" t="s">
        <v>3171</v>
      </c>
      <c r="D657" s="49" t="s">
        <v>2570</v>
      </c>
      <c r="E657" s="77" t="s">
        <v>2571</v>
      </c>
      <c r="F657" s="49" t="s">
        <v>2097</v>
      </c>
      <c r="G657" s="49" t="s">
        <v>2097</v>
      </c>
      <c r="H657" s="51" t="n">
        <v>144</v>
      </c>
      <c r="I657" s="51" t="n">
        <v>0</v>
      </c>
      <c r="J657" s="51" t="n">
        <v>0</v>
      </c>
      <c r="K657" s="52" t="n">
        <v>0</v>
      </c>
      <c r="L657" s="53" t="n">
        <v>26.1</v>
      </c>
      <c r="M657" s="54"/>
      <c r="N657" s="51" t="n">
        <v>2.049315</v>
      </c>
      <c r="O657" s="55" t="n">
        <v>0</v>
      </c>
      <c r="P657" s="51" t="n">
        <v>144</v>
      </c>
      <c r="Q657" s="49" t="s">
        <v>2098</v>
      </c>
      <c r="R657" s="49" t="s">
        <v>2572</v>
      </c>
      <c r="S657" s="53" t="n">
        <v>0</v>
      </c>
      <c r="T657" s="51" t="n">
        <v>1</v>
      </c>
      <c r="U657" s="56" t="n">
        <f aca="false">I657*O657</f>
        <v>0</v>
      </c>
      <c r="V657" s="56" t="n">
        <f aca="false">J657*O657</f>
        <v>0</v>
      </c>
      <c r="W657" s="56" t="n">
        <f aca="false">((I657+J657)/2)*O657</f>
        <v>0</v>
      </c>
      <c r="X657" s="56" t="n">
        <f aca="false">H657*O657</f>
        <v>0</v>
      </c>
    </row>
    <row r="658" customFormat="false" ht="22.35" hidden="false" customHeight="false" outlineLevel="0" collapsed="false">
      <c r="A658" s="76" t="s">
        <v>2063</v>
      </c>
      <c r="B658" s="7" t="s">
        <v>3172</v>
      </c>
      <c r="C658" s="7" t="s">
        <v>3173</v>
      </c>
      <c r="D658" s="7" t="s">
        <v>2570</v>
      </c>
      <c r="E658" s="77" t="s">
        <v>2571</v>
      </c>
      <c r="F658" s="7" t="s">
        <v>2097</v>
      </c>
      <c r="G658" s="7" t="s">
        <v>2097</v>
      </c>
      <c r="H658" s="9" t="n">
        <v>32</v>
      </c>
      <c r="I658" s="9" t="n">
        <v>0</v>
      </c>
      <c r="J658" s="9" t="n">
        <v>0</v>
      </c>
      <c r="K658" s="52" t="n">
        <v>0</v>
      </c>
      <c r="L658" s="58" t="n">
        <v>26.1</v>
      </c>
      <c r="M658" s="59"/>
      <c r="N658" s="9" t="n">
        <v>0.475342</v>
      </c>
      <c r="O658" s="8" t="n">
        <v>0</v>
      </c>
      <c r="P658" s="9" t="n">
        <v>32</v>
      </c>
      <c r="Q658" s="7" t="s">
        <v>2098</v>
      </c>
      <c r="R658" s="7" t="s">
        <v>2572</v>
      </c>
      <c r="S658" s="58" t="n">
        <v>0</v>
      </c>
      <c r="T658" s="9" t="n">
        <v>1</v>
      </c>
      <c r="U658" s="56" t="n">
        <f aca="false">I658*O658</f>
        <v>0</v>
      </c>
      <c r="V658" s="56" t="n">
        <f aca="false">J658*O658</f>
        <v>0</v>
      </c>
      <c r="W658" s="56" t="n">
        <f aca="false">((I658+J658)/2)*O658</f>
        <v>0</v>
      </c>
      <c r="X658" s="56" t="n">
        <f aca="false">H658*O658</f>
        <v>0</v>
      </c>
    </row>
    <row r="659" customFormat="false" ht="22.35" hidden="false" customHeight="false" outlineLevel="0" collapsed="false">
      <c r="A659" s="76" t="s">
        <v>2063</v>
      </c>
      <c r="B659" s="49" t="s">
        <v>3174</v>
      </c>
      <c r="C659" s="49" t="s">
        <v>3173</v>
      </c>
      <c r="D659" s="49" t="s">
        <v>2570</v>
      </c>
      <c r="E659" s="77" t="s">
        <v>2571</v>
      </c>
      <c r="F659" s="49" t="s">
        <v>2097</v>
      </c>
      <c r="G659" s="49" t="s">
        <v>2097</v>
      </c>
      <c r="H659" s="51" t="n">
        <v>12</v>
      </c>
      <c r="I659" s="51" t="n">
        <v>0</v>
      </c>
      <c r="J659" s="51" t="n">
        <v>0</v>
      </c>
      <c r="K659" s="52" t="n">
        <v>0</v>
      </c>
      <c r="L659" s="53" t="n">
        <v>26.1</v>
      </c>
      <c r="M659" s="54"/>
      <c r="N659" s="51" t="n">
        <v>0.145205</v>
      </c>
      <c r="O659" s="55" t="n">
        <v>0</v>
      </c>
      <c r="P659" s="51" t="n">
        <v>12</v>
      </c>
      <c r="Q659" s="49" t="s">
        <v>2098</v>
      </c>
      <c r="R659" s="49" t="s">
        <v>2572</v>
      </c>
      <c r="S659" s="53" t="n">
        <v>0</v>
      </c>
      <c r="T659" s="51" t="n">
        <v>1</v>
      </c>
      <c r="U659" s="56" t="n">
        <f aca="false">I659*O659</f>
        <v>0</v>
      </c>
      <c r="V659" s="56" t="n">
        <f aca="false">J659*O659</f>
        <v>0</v>
      </c>
      <c r="W659" s="56" t="n">
        <f aca="false">((I659+J659)/2)*O659</f>
        <v>0</v>
      </c>
      <c r="X659" s="56" t="n">
        <f aca="false">H659*O659</f>
        <v>0</v>
      </c>
    </row>
    <row r="660" customFormat="false" ht="22.35" hidden="false" customHeight="false" outlineLevel="0" collapsed="false">
      <c r="A660" s="76" t="s">
        <v>2063</v>
      </c>
      <c r="B660" s="7" t="s">
        <v>3175</v>
      </c>
      <c r="C660" s="7" t="s">
        <v>3176</v>
      </c>
      <c r="D660" s="7" t="s">
        <v>2570</v>
      </c>
      <c r="E660" s="77" t="s">
        <v>2571</v>
      </c>
      <c r="F660" s="7" t="s">
        <v>2097</v>
      </c>
      <c r="G660" s="7" t="s">
        <v>2097</v>
      </c>
      <c r="H660" s="9" t="n">
        <v>4</v>
      </c>
      <c r="I660" s="9" t="n">
        <v>0</v>
      </c>
      <c r="J660" s="9" t="n">
        <v>0</v>
      </c>
      <c r="K660" s="52" t="n">
        <v>0</v>
      </c>
      <c r="L660" s="58" t="n">
        <v>6</v>
      </c>
      <c r="M660" s="59" t="n">
        <v>100</v>
      </c>
      <c r="N660" s="9" t="n">
        <v>0.061644</v>
      </c>
      <c r="O660" s="8" t="n">
        <v>0</v>
      </c>
      <c r="P660" s="9" t="n">
        <v>4</v>
      </c>
      <c r="Q660" s="7" t="s">
        <v>2098</v>
      </c>
      <c r="R660" s="7" t="s">
        <v>2572</v>
      </c>
      <c r="S660" s="58" t="n">
        <v>0</v>
      </c>
      <c r="T660" s="9" t="n">
        <v>1</v>
      </c>
      <c r="U660" s="56" t="n">
        <f aca="false">I660*O660</f>
        <v>0</v>
      </c>
      <c r="V660" s="56" t="n">
        <f aca="false">J660*O660</f>
        <v>0</v>
      </c>
      <c r="W660" s="56" t="n">
        <f aca="false">((I660+J660)/2)*O660</f>
        <v>0</v>
      </c>
      <c r="X660" s="56" t="n">
        <f aca="false">H660*O660</f>
        <v>0</v>
      </c>
    </row>
    <row r="661" customFormat="false" ht="22.35" hidden="false" customHeight="false" outlineLevel="0" collapsed="false">
      <c r="A661" s="76" t="s">
        <v>2063</v>
      </c>
      <c r="B661" s="49" t="s">
        <v>3177</v>
      </c>
      <c r="C661" s="49" t="s">
        <v>3178</v>
      </c>
      <c r="D661" s="49" t="s">
        <v>2570</v>
      </c>
      <c r="E661" s="77" t="s">
        <v>2571</v>
      </c>
      <c r="F661" s="49" t="s">
        <v>2097</v>
      </c>
      <c r="G661" s="49" t="s">
        <v>2097</v>
      </c>
      <c r="H661" s="51" t="n">
        <v>36</v>
      </c>
      <c r="I661" s="51" t="n">
        <v>0</v>
      </c>
      <c r="J661" s="51" t="n">
        <v>0</v>
      </c>
      <c r="K661" s="52" t="n">
        <v>0</v>
      </c>
      <c r="L661" s="53" t="n">
        <v>26.1</v>
      </c>
      <c r="M661" s="54"/>
      <c r="N661" s="51" t="n">
        <v>0.50411</v>
      </c>
      <c r="O661" s="55" t="n">
        <v>0</v>
      </c>
      <c r="P661" s="51" t="n">
        <v>36</v>
      </c>
      <c r="Q661" s="49" t="s">
        <v>2098</v>
      </c>
      <c r="R661" s="49" t="s">
        <v>2572</v>
      </c>
      <c r="S661" s="53" t="n">
        <v>0</v>
      </c>
      <c r="T661" s="51" t="n">
        <v>1</v>
      </c>
      <c r="U661" s="56" t="n">
        <f aca="false">I661*O661</f>
        <v>0</v>
      </c>
      <c r="V661" s="56" t="n">
        <f aca="false">J661*O661</f>
        <v>0</v>
      </c>
      <c r="W661" s="56" t="n">
        <f aca="false">((I661+J661)/2)*O661</f>
        <v>0</v>
      </c>
      <c r="X661" s="56" t="n">
        <f aca="false">H661*O661</f>
        <v>0</v>
      </c>
    </row>
    <row r="662" customFormat="false" ht="22.35" hidden="false" customHeight="false" outlineLevel="0" collapsed="false">
      <c r="A662" s="76" t="s">
        <v>2063</v>
      </c>
      <c r="B662" s="7" t="s">
        <v>3179</v>
      </c>
      <c r="C662" s="7" t="s">
        <v>3178</v>
      </c>
      <c r="D662" s="7" t="s">
        <v>2570</v>
      </c>
      <c r="E662" s="77" t="s">
        <v>2571</v>
      </c>
      <c r="F662" s="7" t="s">
        <v>2097</v>
      </c>
      <c r="G662" s="7" t="s">
        <v>2097</v>
      </c>
      <c r="H662" s="9" t="n">
        <v>96</v>
      </c>
      <c r="I662" s="9" t="n">
        <v>0</v>
      </c>
      <c r="J662" s="9" t="n">
        <v>0</v>
      </c>
      <c r="K662" s="52" t="n">
        <v>0</v>
      </c>
      <c r="L662" s="58" t="n">
        <v>26.1</v>
      </c>
      <c r="M662" s="59"/>
      <c r="N662" s="9" t="n">
        <v>0.973973</v>
      </c>
      <c r="O662" s="8" t="n">
        <v>0</v>
      </c>
      <c r="P662" s="9" t="n">
        <v>96</v>
      </c>
      <c r="Q662" s="7" t="s">
        <v>2098</v>
      </c>
      <c r="R662" s="7" t="s">
        <v>2572</v>
      </c>
      <c r="S662" s="58" t="n">
        <v>0</v>
      </c>
      <c r="T662" s="9" t="n">
        <v>1</v>
      </c>
      <c r="U662" s="56" t="n">
        <f aca="false">I662*O662</f>
        <v>0</v>
      </c>
      <c r="V662" s="56" t="n">
        <f aca="false">J662*O662</f>
        <v>0</v>
      </c>
      <c r="W662" s="56" t="n">
        <f aca="false">((I662+J662)/2)*O662</f>
        <v>0</v>
      </c>
      <c r="X662" s="56" t="n">
        <f aca="false">H662*O662</f>
        <v>0</v>
      </c>
    </row>
    <row r="663" customFormat="false" ht="22.35" hidden="false" customHeight="false" outlineLevel="0" collapsed="false">
      <c r="A663" s="76" t="s">
        <v>2063</v>
      </c>
      <c r="B663" s="49" t="s">
        <v>3180</v>
      </c>
      <c r="C663" s="49" t="s">
        <v>3181</v>
      </c>
      <c r="D663" s="49" t="s">
        <v>2570</v>
      </c>
      <c r="E663" s="77" t="s">
        <v>2571</v>
      </c>
      <c r="F663" s="49" t="s">
        <v>2097</v>
      </c>
      <c r="G663" s="49" t="s">
        <v>2097</v>
      </c>
      <c r="H663" s="51" t="n">
        <v>36</v>
      </c>
      <c r="I663" s="51" t="n">
        <v>0</v>
      </c>
      <c r="J663" s="51" t="n">
        <v>0</v>
      </c>
      <c r="K663" s="52" t="n">
        <v>0</v>
      </c>
      <c r="L663" s="53" t="n">
        <v>26.1</v>
      </c>
      <c r="M663" s="54"/>
      <c r="N663" s="51" t="n">
        <v>0.515068</v>
      </c>
      <c r="O663" s="55" t="n">
        <v>0</v>
      </c>
      <c r="P663" s="51" t="n">
        <v>36</v>
      </c>
      <c r="Q663" s="49" t="s">
        <v>2098</v>
      </c>
      <c r="R663" s="49" t="s">
        <v>2572</v>
      </c>
      <c r="S663" s="53" t="n">
        <v>0</v>
      </c>
      <c r="T663" s="51" t="n">
        <v>1</v>
      </c>
      <c r="U663" s="56" t="n">
        <f aca="false">I663*O663</f>
        <v>0</v>
      </c>
      <c r="V663" s="56" t="n">
        <f aca="false">J663*O663</f>
        <v>0</v>
      </c>
      <c r="W663" s="56" t="n">
        <f aca="false">((I663+J663)/2)*O663</f>
        <v>0</v>
      </c>
      <c r="X663" s="56" t="n">
        <f aca="false">H663*O663</f>
        <v>0</v>
      </c>
    </row>
    <row r="664" customFormat="false" ht="22.35" hidden="false" customHeight="false" outlineLevel="0" collapsed="false">
      <c r="A664" s="76" t="s">
        <v>2063</v>
      </c>
      <c r="B664" s="7" t="s">
        <v>3182</v>
      </c>
      <c r="C664" s="7" t="s">
        <v>3181</v>
      </c>
      <c r="D664" s="7" t="s">
        <v>2570</v>
      </c>
      <c r="E664" s="77" t="s">
        <v>2571</v>
      </c>
      <c r="F664" s="7" t="s">
        <v>2097</v>
      </c>
      <c r="G664" s="7" t="s">
        <v>2097</v>
      </c>
      <c r="H664" s="9" t="n">
        <v>72</v>
      </c>
      <c r="I664" s="9" t="n">
        <v>0</v>
      </c>
      <c r="J664" s="9" t="n">
        <v>0</v>
      </c>
      <c r="K664" s="52" t="n">
        <v>0</v>
      </c>
      <c r="L664" s="58" t="n">
        <v>26.1</v>
      </c>
      <c r="M664" s="59"/>
      <c r="N664" s="9" t="n">
        <v>0.942466</v>
      </c>
      <c r="O664" s="8" t="n">
        <v>0</v>
      </c>
      <c r="P664" s="9" t="n">
        <v>72</v>
      </c>
      <c r="Q664" s="7" t="s">
        <v>2098</v>
      </c>
      <c r="R664" s="7" t="s">
        <v>2572</v>
      </c>
      <c r="S664" s="58" t="n">
        <v>0</v>
      </c>
      <c r="T664" s="9" t="n">
        <v>1</v>
      </c>
      <c r="U664" s="56" t="n">
        <f aca="false">I664*O664</f>
        <v>0</v>
      </c>
      <c r="V664" s="56" t="n">
        <f aca="false">J664*O664</f>
        <v>0</v>
      </c>
      <c r="W664" s="56" t="n">
        <f aca="false">((I664+J664)/2)*O664</f>
        <v>0</v>
      </c>
      <c r="X664" s="56" t="n">
        <f aca="false">H664*O664</f>
        <v>0</v>
      </c>
    </row>
    <row r="665" customFormat="false" ht="22.35" hidden="false" customHeight="false" outlineLevel="0" collapsed="false">
      <c r="A665" s="76" t="s">
        <v>2063</v>
      </c>
      <c r="B665" s="49" t="s">
        <v>3183</v>
      </c>
      <c r="C665" s="49" t="s">
        <v>3184</v>
      </c>
      <c r="D665" s="49" t="s">
        <v>2570</v>
      </c>
      <c r="E665" s="77" t="s">
        <v>2571</v>
      </c>
      <c r="F665" s="49" t="s">
        <v>2097</v>
      </c>
      <c r="G665" s="49" t="s">
        <v>2097</v>
      </c>
      <c r="H665" s="51" t="n">
        <v>124</v>
      </c>
      <c r="I665" s="51" t="n">
        <v>0</v>
      </c>
      <c r="J665" s="51" t="n">
        <v>0</v>
      </c>
      <c r="K665" s="52" t="n">
        <v>0</v>
      </c>
      <c r="L665" s="53" t="n">
        <v>26.1</v>
      </c>
      <c r="M665" s="54"/>
      <c r="N665" s="51" t="n">
        <v>1.221918</v>
      </c>
      <c r="O665" s="55" t="n">
        <v>0</v>
      </c>
      <c r="P665" s="51" t="n">
        <v>124</v>
      </c>
      <c r="Q665" s="49" t="s">
        <v>2098</v>
      </c>
      <c r="R665" s="49" t="s">
        <v>2572</v>
      </c>
      <c r="S665" s="53" t="n">
        <v>0</v>
      </c>
      <c r="T665" s="51" t="n">
        <v>1</v>
      </c>
      <c r="U665" s="56" t="n">
        <f aca="false">I665*O665</f>
        <v>0</v>
      </c>
      <c r="V665" s="56" t="n">
        <f aca="false">J665*O665</f>
        <v>0</v>
      </c>
      <c r="W665" s="56" t="n">
        <f aca="false">((I665+J665)/2)*O665</f>
        <v>0</v>
      </c>
      <c r="X665" s="56" t="n">
        <f aca="false">H665*O665</f>
        <v>0</v>
      </c>
    </row>
    <row r="666" customFormat="false" ht="22.35" hidden="false" customHeight="false" outlineLevel="0" collapsed="false">
      <c r="A666" s="76" t="s">
        <v>2063</v>
      </c>
      <c r="B666" s="7" t="s">
        <v>3185</v>
      </c>
      <c r="C666" s="7" t="s">
        <v>3184</v>
      </c>
      <c r="D666" s="7" t="s">
        <v>2570</v>
      </c>
      <c r="E666" s="77" t="s">
        <v>2571</v>
      </c>
      <c r="F666" s="7" t="s">
        <v>2097</v>
      </c>
      <c r="G666" s="7" t="s">
        <v>2097</v>
      </c>
      <c r="H666" s="9" t="n">
        <v>96</v>
      </c>
      <c r="I666" s="9" t="n">
        <v>0</v>
      </c>
      <c r="J666" s="9" t="n">
        <v>0</v>
      </c>
      <c r="K666" s="52" t="n">
        <v>0</v>
      </c>
      <c r="L666" s="58" t="n">
        <v>26.1</v>
      </c>
      <c r="M666" s="59"/>
      <c r="N666" s="9" t="n">
        <v>0.486301</v>
      </c>
      <c r="O666" s="8" t="n">
        <v>0</v>
      </c>
      <c r="P666" s="9" t="n">
        <v>96</v>
      </c>
      <c r="Q666" s="7" t="s">
        <v>2098</v>
      </c>
      <c r="R666" s="7" t="s">
        <v>2572</v>
      </c>
      <c r="S666" s="58" t="n">
        <v>0</v>
      </c>
      <c r="T666" s="9" t="n">
        <v>1</v>
      </c>
      <c r="U666" s="56" t="n">
        <f aca="false">I666*O666</f>
        <v>0</v>
      </c>
      <c r="V666" s="56" t="n">
        <f aca="false">J666*O666</f>
        <v>0</v>
      </c>
      <c r="W666" s="56" t="n">
        <f aca="false">((I666+J666)/2)*O666</f>
        <v>0</v>
      </c>
      <c r="X666" s="56" t="n">
        <f aca="false">H666*O666</f>
        <v>0</v>
      </c>
    </row>
    <row r="667" customFormat="false" ht="22.35" hidden="false" customHeight="false" outlineLevel="0" collapsed="false">
      <c r="A667" s="76" t="s">
        <v>2063</v>
      </c>
      <c r="B667" s="49" t="s">
        <v>3186</v>
      </c>
      <c r="C667" s="49" t="s">
        <v>3187</v>
      </c>
      <c r="D667" s="49" t="s">
        <v>2570</v>
      </c>
      <c r="E667" s="77" t="s">
        <v>2571</v>
      </c>
      <c r="F667" s="49" t="s">
        <v>2097</v>
      </c>
      <c r="G667" s="49" t="s">
        <v>2097</v>
      </c>
      <c r="H667" s="51" t="n">
        <v>3</v>
      </c>
      <c r="I667" s="51" t="n">
        <v>0</v>
      </c>
      <c r="J667" s="51" t="n">
        <v>0</v>
      </c>
      <c r="K667" s="52" t="n">
        <v>0</v>
      </c>
      <c r="L667" s="53" t="n">
        <v>26.1</v>
      </c>
      <c r="M667" s="54"/>
      <c r="N667" s="51" t="n">
        <v>0.005479</v>
      </c>
      <c r="O667" s="55" t="n">
        <v>0</v>
      </c>
      <c r="P667" s="51" t="n">
        <v>3</v>
      </c>
      <c r="Q667" s="49" t="s">
        <v>2098</v>
      </c>
      <c r="R667" s="49" t="s">
        <v>2572</v>
      </c>
      <c r="S667" s="53" t="n">
        <v>0</v>
      </c>
      <c r="T667" s="51" t="n">
        <v>4</v>
      </c>
      <c r="U667" s="56" t="n">
        <f aca="false">I667*O667</f>
        <v>0</v>
      </c>
      <c r="V667" s="56" t="n">
        <f aca="false">J667*O667</f>
        <v>0</v>
      </c>
      <c r="W667" s="56" t="n">
        <f aca="false">((I667+J667)/2)*O667</f>
        <v>0</v>
      </c>
      <c r="X667" s="56" t="n">
        <f aca="false">H667*O667</f>
        <v>0</v>
      </c>
    </row>
    <row r="668" customFormat="false" ht="22.35" hidden="false" customHeight="false" outlineLevel="0" collapsed="false">
      <c r="A668" s="76" t="s">
        <v>2063</v>
      </c>
      <c r="B668" s="7" t="s">
        <v>3188</v>
      </c>
      <c r="C668" s="7" t="s">
        <v>3189</v>
      </c>
      <c r="D668" s="7" t="s">
        <v>2570</v>
      </c>
      <c r="E668" s="77" t="s">
        <v>2571</v>
      </c>
      <c r="F668" s="7" t="s">
        <v>2097</v>
      </c>
      <c r="G668" s="7" t="s">
        <v>2097</v>
      </c>
      <c r="H668" s="9" t="n">
        <v>12</v>
      </c>
      <c r="I668" s="9" t="n">
        <v>0</v>
      </c>
      <c r="J668" s="9" t="n">
        <v>0</v>
      </c>
      <c r="K668" s="52" t="n">
        <v>0</v>
      </c>
      <c r="L668" s="58" t="n">
        <v>26.1</v>
      </c>
      <c r="M668" s="59"/>
      <c r="N668" s="9" t="n">
        <v>0</v>
      </c>
      <c r="O668" s="8" t="n">
        <v>0</v>
      </c>
      <c r="P668" s="9" t="n">
        <v>12</v>
      </c>
      <c r="Q668" s="7" t="s">
        <v>2098</v>
      </c>
      <c r="R668" s="7" t="s">
        <v>2572</v>
      </c>
      <c r="S668" s="58" t="n">
        <v>0</v>
      </c>
      <c r="T668" s="9" t="n">
        <v>4</v>
      </c>
      <c r="U668" s="56" t="n">
        <f aca="false">I668*O668</f>
        <v>0</v>
      </c>
      <c r="V668" s="56" t="n">
        <f aca="false">J668*O668</f>
        <v>0</v>
      </c>
      <c r="W668" s="56" t="n">
        <f aca="false">((I668+J668)/2)*O668</f>
        <v>0</v>
      </c>
      <c r="X668" s="56" t="n">
        <f aca="false">H668*O668</f>
        <v>0</v>
      </c>
    </row>
    <row r="669" customFormat="false" ht="22.35" hidden="false" customHeight="false" outlineLevel="0" collapsed="false">
      <c r="A669" s="76" t="s">
        <v>2063</v>
      </c>
      <c r="B669" s="49" t="s">
        <v>3190</v>
      </c>
      <c r="C669" s="49" t="s">
        <v>3191</v>
      </c>
      <c r="D669" s="49" t="s">
        <v>2570</v>
      </c>
      <c r="E669" s="77" t="s">
        <v>2571</v>
      </c>
      <c r="F669" s="49" t="s">
        <v>2097</v>
      </c>
      <c r="G669" s="49" t="s">
        <v>2097</v>
      </c>
      <c r="H669" s="51" t="n">
        <v>12</v>
      </c>
      <c r="I669" s="51" t="n">
        <v>0</v>
      </c>
      <c r="J669" s="51" t="n">
        <v>0</v>
      </c>
      <c r="K669" s="52" t="n">
        <v>0</v>
      </c>
      <c r="L669" s="53" t="n">
        <v>26.1</v>
      </c>
      <c r="M669" s="54"/>
      <c r="N669" s="51" t="n">
        <v>0.084932</v>
      </c>
      <c r="O669" s="55" t="n">
        <v>0</v>
      </c>
      <c r="P669" s="51" t="n">
        <v>12</v>
      </c>
      <c r="Q669" s="49" t="s">
        <v>2098</v>
      </c>
      <c r="R669" s="49" t="s">
        <v>2572</v>
      </c>
      <c r="S669" s="53" t="n">
        <v>0</v>
      </c>
      <c r="T669" s="51" t="n">
        <v>4</v>
      </c>
      <c r="U669" s="56" t="n">
        <f aca="false">I669*O669</f>
        <v>0</v>
      </c>
      <c r="V669" s="56" t="n">
        <f aca="false">J669*O669</f>
        <v>0</v>
      </c>
      <c r="W669" s="56" t="n">
        <f aca="false">((I669+J669)/2)*O669</f>
        <v>0</v>
      </c>
      <c r="X669" s="56" t="n">
        <f aca="false">H669*O669</f>
        <v>0</v>
      </c>
    </row>
    <row r="670" customFormat="false" ht="22.35" hidden="false" customHeight="false" outlineLevel="0" collapsed="false">
      <c r="A670" s="76" t="s">
        <v>2063</v>
      </c>
      <c r="B670" s="7" t="s">
        <v>3192</v>
      </c>
      <c r="C670" s="7" t="s">
        <v>3193</v>
      </c>
      <c r="D670" s="7" t="s">
        <v>2570</v>
      </c>
      <c r="E670" s="77" t="s">
        <v>2571</v>
      </c>
      <c r="F670" s="7" t="s">
        <v>2097</v>
      </c>
      <c r="G670" s="7" t="s">
        <v>2097</v>
      </c>
      <c r="H670" s="9" t="n">
        <v>12</v>
      </c>
      <c r="I670" s="9" t="n">
        <v>0</v>
      </c>
      <c r="J670" s="9" t="n">
        <v>0</v>
      </c>
      <c r="K670" s="52" t="n">
        <v>0</v>
      </c>
      <c r="L670" s="58" t="n">
        <v>26.1</v>
      </c>
      <c r="M670" s="59"/>
      <c r="N670" s="9" t="n">
        <v>0.052055</v>
      </c>
      <c r="O670" s="8" t="n">
        <v>0</v>
      </c>
      <c r="P670" s="9" t="n">
        <v>12</v>
      </c>
      <c r="Q670" s="7" t="s">
        <v>2098</v>
      </c>
      <c r="R670" s="7" t="s">
        <v>2572</v>
      </c>
      <c r="S670" s="58" t="n">
        <v>0</v>
      </c>
      <c r="T670" s="9" t="n">
        <v>1</v>
      </c>
      <c r="U670" s="56" t="n">
        <f aca="false">I670*O670</f>
        <v>0</v>
      </c>
      <c r="V670" s="56" t="n">
        <f aca="false">J670*O670</f>
        <v>0</v>
      </c>
      <c r="W670" s="56" t="n">
        <f aca="false">((I670+J670)/2)*O670</f>
        <v>0</v>
      </c>
      <c r="X670" s="56" t="n">
        <f aca="false">H670*O670</f>
        <v>0</v>
      </c>
    </row>
    <row r="671" customFormat="false" ht="22.35" hidden="false" customHeight="false" outlineLevel="0" collapsed="false">
      <c r="A671" s="76" t="s">
        <v>2063</v>
      </c>
      <c r="B671" s="49" t="s">
        <v>3194</v>
      </c>
      <c r="C671" s="49" t="s">
        <v>3193</v>
      </c>
      <c r="D671" s="49" t="s">
        <v>2570</v>
      </c>
      <c r="E671" s="77" t="s">
        <v>2571</v>
      </c>
      <c r="F671" s="49" t="s">
        <v>2097</v>
      </c>
      <c r="G671" s="49" t="s">
        <v>2097</v>
      </c>
      <c r="H671" s="51" t="n">
        <v>3</v>
      </c>
      <c r="I671" s="51" t="n">
        <v>0</v>
      </c>
      <c r="J671" s="51" t="n">
        <v>0</v>
      </c>
      <c r="K671" s="52" t="n">
        <v>0</v>
      </c>
      <c r="L671" s="53" t="n">
        <v>26.1</v>
      </c>
      <c r="M671" s="54"/>
      <c r="N671" s="51" t="n">
        <v>0.00137</v>
      </c>
      <c r="O671" s="55" t="n">
        <v>0</v>
      </c>
      <c r="P671" s="51" t="n">
        <v>3</v>
      </c>
      <c r="Q671" s="49" t="s">
        <v>2098</v>
      </c>
      <c r="R671" s="49" t="s">
        <v>2572</v>
      </c>
      <c r="S671" s="53" t="n">
        <v>0</v>
      </c>
      <c r="T671" s="51" t="n">
        <v>1</v>
      </c>
      <c r="U671" s="56" t="n">
        <f aca="false">I671*O671</f>
        <v>0</v>
      </c>
      <c r="V671" s="56" t="n">
        <f aca="false">J671*O671</f>
        <v>0</v>
      </c>
      <c r="W671" s="56" t="n">
        <f aca="false">((I671+J671)/2)*O671</f>
        <v>0</v>
      </c>
      <c r="X671" s="56" t="n">
        <f aca="false">H671*O671</f>
        <v>0</v>
      </c>
    </row>
    <row r="672" customFormat="false" ht="22.35" hidden="false" customHeight="false" outlineLevel="0" collapsed="false">
      <c r="A672" s="76" t="s">
        <v>2063</v>
      </c>
      <c r="B672" s="7" t="s">
        <v>3195</v>
      </c>
      <c r="C672" s="7" t="s">
        <v>3196</v>
      </c>
      <c r="D672" s="7" t="s">
        <v>2570</v>
      </c>
      <c r="E672" s="77" t="s">
        <v>2571</v>
      </c>
      <c r="F672" s="7" t="s">
        <v>2097</v>
      </c>
      <c r="G672" s="7" t="s">
        <v>2097</v>
      </c>
      <c r="H672" s="9" t="n">
        <v>12</v>
      </c>
      <c r="I672" s="9" t="n">
        <v>0</v>
      </c>
      <c r="J672" s="9" t="n">
        <v>0</v>
      </c>
      <c r="K672" s="52" t="n">
        <v>0</v>
      </c>
      <c r="L672" s="58" t="n">
        <v>26.1</v>
      </c>
      <c r="M672" s="59"/>
      <c r="N672" s="9" t="n">
        <v>0.082192</v>
      </c>
      <c r="O672" s="8" t="n">
        <v>0</v>
      </c>
      <c r="P672" s="9" t="n">
        <v>12</v>
      </c>
      <c r="Q672" s="7" t="s">
        <v>2098</v>
      </c>
      <c r="R672" s="7" t="s">
        <v>2572</v>
      </c>
      <c r="S672" s="58" t="n">
        <v>0</v>
      </c>
      <c r="T672" s="9" t="n">
        <v>1</v>
      </c>
      <c r="U672" s="56" t="n">
        <f aca="false">I672*O672</f>
        <v>0</v>
      </c>
      <c r="V672" s="56" t="n">
        <f aca="false">J672*O672</f>
        <v>0</v>
      </c>
      <c r="W672" s="56" t="n">
        <f aca="false">((I672+J672)/2)*O672</f>
        <v>0</v>
      </c>
      <c r="X672" s="56" t="n">
        <f aca="false">H672*O672</f>
        <v>0</v>
      </c>
    </row>
    <row r="673" customFormat="false" ht="22.35" hidden="false" customHeight="false" outlineLevel="0" collapsed="false">
      <c r="A673" s="76" t="s">
        <v>2063</v>
      </c>
      <c r="B673" s="49" t="s">
        <v>3197</v>
      </c>
      <c r="C673" s="49" t="s">
        <v>3196</v>
      </c>
      <c r="D673" s="49" t="s">
        <v>2570</v>
      </c>
      <c r="E673" s="77" t="s">
        <v>2571</v>
      </c>
      <c r="F673" s="49" t="s">
        <v>2097</v>
      </c>
      <c r="G673" s="49" t="s">
        <v>2097</v>
      </c>
      <c r="H673" s="51" t="n">
        <v>6</v>
      </c>
      <c r="I673" s="51" t="n">
        <v>0</v>
      </c>
      <c r="J673" s="51" t="n">
        <v>0</v>
      </c>
      <c r="K673" s="52" t="n">
        <v>0</v>
      </c>
      <c r="L673" s="53" t="n">
        <v>26.1</v>
      </c>
      <c r="M673" s="54"/>
      <c r="N673" s="51" t="n">
        <v>0.00137</v>
      </c>
      <c r="O673" s="55" t="n">
        <v>0</v>
      </c>
      <c r="P673" s="51" t="n">
        <v>6</v>
      </c>
      <c r="Q673" s="49" t="s">
        <v>2098</v>
      </c>
      <c r="R673" s="49" t="s">
        <v>2572</v>
      </c>
      <c r="S673" s="53" t="n">
        <v>0</v>
      </c>
      <c r="T673" s="51" t="n">
        <v>1</v>
      </c>
      <c r="U673" s="56" t="n">
        <f aca="false">I673*O673</f>
        <v>0</v>
      </c>
      <c r="V673" s="56" t="n">
        <f aca="false">J673*O673</f>
        <v>0</v>
      </c>
      <c r="W673" s="56" t="n">
        <f aca="false">((I673+J673)/2)*O673</f>
        <v>0</v>
      </c>
      <c r="X673" s="56" t="n">
        <f aca="false">H673*O673</f>
        <v>0</v>
      </c>
    </row>
    <row r="674" customFormat="false" ht="22.35" hidden="false" customHeight="false" outlineLevel="0" collapsed="false">
      <c r="A674" s="76" t="s">
        <v>2063</v>
      </c>
      <c r="B674" s="7" t="s">
        <v>3198</v>
      </c>
      <c r="C674" s="7" t="s">
        <v>3199</v>
      </c>
      <c r="D674" s="7" t="s">
        <v>2570</v>
      </c>
      <c r="E674" s="77" t="s">
        <v>2571</v>
      </c>
      <c r="F674" s="7" t="s">
        <v>2097</v>
      </c>
      <c r="G674" s="7" t="s">
        <v>2097</v>
      </c>
      <c r="H674" s="9" t="n">
        <v>16</v>
      </c>
      <c r="I674" s="9" t="n">
        <v>0</v>
      </c>
      <c r="J674" s="9" t="n">
        <v>0</v>
      </c>
      <c r="K674" s="52" t="n">
        <v>0</v>
      </c>
      <c r="L674" s="58" t="n">
        <v>26.1</v>
      </c>
      <c r="M674" s="59"/>
      <c r="N674" s="9" t="n">
        <v>0.252055</v>
      </c>
      <c r="O674" s="8" t="n">
        <v>0</v>
      </c>
      <c r="P674" s="9" t="n">
        <v>16</v>
      </c>
      <c r="Q674" s="7" t="s">
        <v>2098</v>
      </c>
      <c r="R674" s="7" t="s">
        <v>2572</v>
      </c>
      <c r="S674" s="58" t="n">
        <v>0</v>
      </c>
      <c r="T674" s="9" t="n">
        <v>1</v>
      </c>
      <c r="U674" s="56" t="n">
        <f aca="false">I674*O674</f>
        <v>0</v>
      </c>
      <c r="V674" s="56" t="n">
        <f aca="false">J674*O674</f>
        <v>0</v>
      </c>
      <c r="W674" s="56" t="n">
        <f aca="false">((I674+J674)/2)*O674</f>
        <v>0</v>
      </c>
      <c r="X674" s="56" t="n">
        <f aca="false">H674*O674</f>
        <v>0</v>
      </c>
    </row>
    <row r="675" customFormat="false" ht="22.35" hidden="false" customHeight="false" outlineLevel="0" collapsed="false">
      <c r="A675" s="76" t="s">
        <v>2063</v>
      </c>
      <c r="B675" s="49" t="s">
        <v>3200</v>
      </c>
      <c r="C675" s="49" t="s">
        <v>3199</v>
      </c>
      <c r="D675" s="49" t="s">
        <v>2570</v>
      </c>
      <c r="E675" s="77" t="s">
        <v>2571</v>
      </c>
      <c r="F675" s="49" t="s">
        <v>2097</v>
      </c>
      <c r="G675" s="49" t="s">
        <v>2097</v>
      </c>
      <c r="H675" s="51" t="n">
        <v>6</v>
      </c>
      <c r="I675" s="51" t="n">
        <v>0</v>
      </c>
      <c r="J675" s="51" t="n">
        <v>0</v>
      </c>
      <c r="K675" s="52" t="n">
        <v>0</v>
      </c>
      <c r="L675" s="53" t="n">
        <v>26.1</v>
      </c>
      <c r="M675" s="54"/>
      <c r="N675" s="51" t="n">
        <v>0.042466</v>
      </c>
      <c r="O675" s="55" t="n">
        <v>0</v>
      </c>
      <c r="P675" s="51" t="n">
        <v>6</v>
      </c>
      <c r="Q675" s="49" t="s">
        <v>2098</v>
      </c>
      <c r="R675" s="49" t="s">
        <v>2572</v>
      </c>
      <c r="S675" s="53" t="n">
        <v>0</v>
      </c>
      <c r="T675" s="51" t="n">
        <v>1</v>
      </c>
      <c r="U675" s="56" t="n">
        <f aca="false">I675*O675</f>
        <v>0</v>
      </c>
      <c r="V675" s="56" t="n">
        <f aca="false">J675*O675</f>
        <v>0</v>
      </c>
      <c r="W675" s="56" t="n">
        <f aca="false">((I675+J675)/2)*O675</f>
        <v>0</v>
      </c>
      <c r="X675" s="56" t="n">
        <f aca="false">H675*O675</f>
        <v>0</v>
      </c>
    </row>
    <row r="676" customFormat="false" ht="22.35" hidden="false" customHeight="false" outlineLevel="0" collapsed="false">
      <c r="A676" s="76" t="s">
        <v>2063</v>
      </c>
      <c r="B676" s="7" t="s">
        <v>3201</v>
      </c>
      <c r="C676" s="7" t="s">
        <v>3202</v>
      </c>
      <c r="D676" s="7" t="s">
        <v>2570</v>
      </c>
      <c r="E676" s="77" t="s">
        <v>2571</v>
      </c>
      <c r="F676" s="7" t="s">
        <v>2097</v>
      </c>
      <c r="G676" s="7" t="s">
        <v>2097</v>
      </c>
      <c r="H676" s="9" t="n">
        <v>64</v>
      </c>
      <c r="I676" s="9" t="n">
        <v>0</v>
      </c>
      <c r="J676" s="9" t="n">
        <v>0</v>
      </c>
      <c r="K676" s="52" t="n">
        <v>0</v>
      </c>
      <c r="L676" s="58" t="n">
        <v>26.1</v>
      </c>
      <c r="M676" s="59"/>
      <c r="N676" s="9" t="n">
        <v>0.854795</v>
      </c>
      <c r="O676" s="8" t="n">
        <v>0</v>
      </c>
      <c r="P676" s="9" t="n">
        <v>64</v>
      </c>
      <c r="Q676" s="7" t="s">
        <v>2098</v>
      </c>
      <c r="R676" s="7" t="s">
        <v>2572</v>
      </c>
      <c r="S676" s="58" t="n">
        <v>0</v>
      </c>
      <c r="T676" s="9" t="n">
        <v>1</v>
      </c>
      <c r="U676" s="56" t="n">
        <f aca="false">I676*O676</f>
        <v>0</v>
      </c>
      <c r="V676" s="56" t="n">
        <f aca="false">J676*O676</f>
        <v>0</v>
      </c>
      <c r="W676" s="56" t="n">
        <f aca="false">((I676+J676)/2)*O676</f>
        <v>0</v>
      </c>
      <c r="X676" s="56" t="n">
        <f aca="false">H676*O676</f>
        <v>0</v>
      </c>
    </row>
    <row r="677" customFormat="false" ht="22.35" hidden="false" customHeight="false" outlineLevel="0" collapsed="false">
      <c r="A677" s="76" t="s">
        <v>2063</v>
      </c>
      <c r="B677" s="49" t="s">
        <v>3203</v>
      </c>
      <c r="C677" s="49" t="s">
        <v>3202</v>
      </c>
      <c r="D677" s="49" t="s">
        <v>2570</v>
      </c>
      <c r="E677" s="77" t="s">
        <v>2571</v>
      </c>
      <c r="F677" s="49" t="s">
        <v>2097</v>
      </c>
      <c r="G677" s="49" t="s">
        <v>2097</v>
      </c>
      <c r="H677" s="51" t="n">
        <v>32</v>
      </c>
      <c r="I677" s="51" t="n">
        <v>0</v>
      </c>
      <c r="J677" s="51" t="n">
        <v>0</v>
      </c>
      <c r="K677" s="52" t="n">
        <v>0</v>
      </c>
      <c r="L677" s="53" t="n">
        <v>26.1</v>
      </c>
      <c r="M677" s="54"/>
      <c r="N677" s="51" t="n">
        <v>0.417808</v>
      </c>
      <c r="O677" s="55" t="n">
        <v>0</v>
      </c>
      <c r="P677" s="51" t="n">
        <v>32</v>
      </c>
      <c r="Q677" s="49" t="s">
        <v>2098</v>
      </c>
      <c r="R677" s="49" t="s">
        <v>2572</v>
      </c>
      <c r="S677" s="53" t="n">
        <v>0</v>
      </c>
      <c r="T677" s="51" t="n">
        <v>1</v>
      </c>
      <c r="U677" s="56" t="n">
        <f aca="false">I677*O677</f>
        <v>0</v>
      </c>
      <c r="V677" s="56" t="n">
        <f aca="false">J677*O677</f>
        <v>0</v>
      </c>
      <c r="W677" s="56" t="n">
        <f aca="false">((I677+J677)/2)*O677</f>
        <v>0</v>
      </c>
      <c r="X677" s="56" t="n">
        <f aca="false">H677*O677</f>
        <v>0</v>
      </c>
    </row>
    <row r="678" customFormat="false" ht="22.35" hidden="false" customHeight="false" outlineLevel="0" collapsed="false">
      <c r="A678" s="76" t="s">
        <v>2063</v>
      </c>
      <c r="B678" s="7" t="s">
        <v>3204</v>
      </c>
      <c r="C678" s="7" t="s">
        <v>3205</v>
      </c>
      <c r="D678" s="7" t="s">
        <v>2570</v>
      </c>
      <c r="E678" s="77" t="s">
        <v>2571</v>
      </c>
      <c r="F678" s="7" t="s">
        <v>2097</v>
      </c>
      <c r="G678" s="7" t="s">
        <v>2097</v>
      </c>
      <c r="H678" s="9" t="n">
        <v>6</v>
      </c>
      <c r="I678" s="9" t="n">
        <v>0</v>
      </c>
      <c r="J678" s="9" t="n">
        <v>0</v>
      </c>
      <c r="K678" s="52" t="n">
        <v>0</v>
      </c>
      <c r="L678" s="58" t="n">
        <v>26.1</v>
      </c>
      <c r="M678" s="59"/>
      <c r="N678" s="9" t="n">
        <v>0.117808</v>
      </c>
      <c r="O678" s="8" t="n">
        <v>0</v>
      </c>
      <c r="P678" s="9" t="n">
        <v>6</v>
      </c>
      <c r="Q678" s="7" t="s">
        <v>2098</v>
      </c>
      <c r="R678" s="7" t="s">
        <v>2572</v>
      </c>
      <c r="S678" s="58" t="n">
        <v>0</v>
      </c>
      <c r="T678" s="9" t="n">
        <v>1</v>
      </c>
      <c r="U678" s="56" t="n">
        <f aca="false">I678*O678</f>
        <v>0</v>
      </c>
      <c r="V678" s="56" t="n">
        <f aca="false">J678*O678</f>
        <v>0</v>
      </c>
      <c r="W678" s="56" t="n">
        <f aca="false">((I678+J678)/2)*O678</f>
        <v>0</v>
      </c>
      <c r="X678" s="56" t="n">
        <f aca="false">H678*O678</f>
        <v>0</v>
      </c>
    </row>
    <row r="679" customFormat="false" ht="22.35" hidden="false" customHeight="false" outlineLevel="0" collapsed="false">
      <c r="A679" s="76" t="s">
        <v>2063</v>
      </c>
      <c r="B679" s="49" t="s">
        <v>3206</v>
      </c>
      <c r="C679" s="49" t="s">
        <v>3205</v>
      </c>
      <c r="D679" s="49" t="s">
        <v>2570</v>
      </c>
      <c r="E679" s="77" t="s">
        <v>2571</v>
      </c>
      <c r="F679" s="49" t="s">
        <v>2097</v>
      </c>
      <c r="G679" s="49" t="s">
        <v>2097</v>
      </c>
      <c r="H679" s="51" t="n">
        <v>24</v>
      </c>
      <c r="I679" s="51" t="n">
        <v>0</v>
      </c>
      <c r="J679" s="51" t="n">
        <v>0</v>
      </c>
      <c r="K679" s="52" t="n">
        <v>0</v>
      </c>
      <c r="L679" s="53" t="n">
        <v>26.1</v>
      </c>
      <c r="M679" s="54"/>
      <c r="N679" s="51" t="n">
        <v>0.191781</v>
      </c>
      <c r="O679" s="55" t="n">
        <v>0</v>
      </c>
      <c r="P679" s="51" t="n">
        <v>24</v>
      </c>
      <c r="Q679" s="49" t="s">
        <v>2098</v>
      </c>
      <c r="R679" s="49" t="s">
        <v>2572</v>
      </c>
      <c r="S679" s="53" t="n">
        <v>0</v>
      </c>
      <c r="T679" s="51" t="n">
        <v>1</v>
      </c>
      <c r="U679" s="56" t="n">
        <f aca="false">I679*O679</f>
        <v>0</v>
      </c>
      <c r="V679" s="56" t="n">
        <f aca="false">J679*O679</f>
        <v>0</v>
      </c>
      <c r="W679" s="56" t="n">
        <f aca="false">((I679+J679)/2)*O679</f>
        <v>0</v>
      </c>
      <c r="X679" s="56" t="n">
        <f aca="false">H679*O679</f>
        <v>0</v>
      </c>
    </row>
    <row r="680" customFormat="false" ht="22.35" hidden="false" customHeight="false" outlineLevel="0" collapsed="false">
      <c r="A680" s="76" t="s">
        <v>2063</v>
      </c>
      <c r="B680" s="7" t="s">
        <v>3207</v>
      </c>
      <c r="C680" s="7" t="s">
        <v>3208</v>
      </c>
      <c r="D680" s="7" t="s">
        <v>2570</v>
      </c>
      <c r="E680" s="77" t="s">
        <v>2571</v>
      </c>
      <c r="F680" s="7" t="s">
        <v>2097</v>
      </c>
      <c r="G680" s="7" t="s">
        <v>2097</v>
      </c>
      <c r="H680" s="9" t="n">
        <v>8</v>
      </c>
      <c r="I680" s="9" t="n">
        <v>0</v>
      </c>
      <c r="J680" s="9" t="n">
        <v>0</v>
      </c>
      <c r="K680" s="52" t="n">
        <v>0</v>
      </c>
      <c r="L680" s="58" t="n">
        <v>26.1</v>
      </c>
      <c r="M680" s="59"/>
      <c r="N680" s="9" t="n">
        <v>0.110959</v>
      </c>
      <c r="O680" s="8" t="n">
        <v>0</v>
      </c>
      <c r="P680" s="9" t="n">
        <v>8</v>
      </c>
      <c r="Q680" s="7" t="s">
        <v>2098</v>
      </c>
      <c r="R680" s="7" t="s">
        <v>2572</v>
      </c>
      <c r="S680" s="58" t="n">
        <v>0</v>
      </c>
      <c r="T680" s="9" t="n">
        <v>1</v>
      </c>
      <c r="U680" s="56" t="n">
        <f aca="false">I680*O680</f>
        <v>0</v>
      </c>
      <c r="V680" s="56" t="n">
        <f aca="false">J680*O680</f>
        <v>0</v>
      </c>
      <c r="W680" s="56" t="n">
        <f aca="false">((I680+J680)/2)*O680</f>
        <v>0</v>
      </c>
      <c r="X680" s="56" t="n">
        <f aca="false">H680*O680</f>
        <v>0</v>
      </c>
    </row>
    <row r="681" customFormat="false" ht="22.35" hidden="false" customHeight="false" outlineLevel="0" collapsed="false">
      <c r="A681" s="76" t="s">
        <v>2063</v>
      </c>
      <c r="B681" s="49" t="s">
        <v>3209</v>
      </c>
      <c r="C681" s="49" t="s">
        <v>3210</v>
      </c>
      <c r="D681" s="49" t="s">
        <v>2570</v>
      </c>
      <c r="E681" s="77" t="s">
        <v>2571</v>
      </c>
      <c r="F681" s="49" t="s">
        <v>2097</v>
      </c>
      <c r="G681" s="49" t="s">
        <v>2097</v>
      </c>
      <c r="H681" s="51" t="n">
        <v>16</v>
      </c>
      <c r="I681" s="51" t="n">
        <v>0</v>
      </c>
      <c r="J681" s="51" t="n">
        <v>0</v>
      </c>
      <c r="K681" s="52" t="n">
        <v>0</v>
      </c>
      <c r="L681" s="53" t="n">
        <v>26.1</v>
      </c>
      <c r="M681" s="54"/>
      <c r="N681" s="51" t="n">
        <v>0.228767</v>
      </c>
      <c r="O681" s="55" t="n">
        <v>0</v>
      </c>
      <c r="P681" s="51" t="n">
        <v>16</v>
      </c>
      <c r="Q681" s="49" t="s">
        <v>2098</v>
      </c>
      <c r="R681" s="49" t="s">
        <v>2572</v>
      </c>
      <c r="S681" s="53" t="n">
        <v>0</v>
      </c>
      <c r="T681" s="51" t="n">
        <v>1</v>
      </c>
      <c r="U681" s="56" t="n">
        <f aca="false">I681*O681</f>
        <v>0</v>
      </c>
      <c r="V681" s="56" t="n">
        <f aca="false">J681*O681</f>
        <v>0</v>
      </c>
      <c r="W681" s="56" t="n">
        <f aca="false">((I681+J681)/2)*O681</f>
        <v>0</v>
      </c>
      <c r="X681" s="56" t="n">
        <f aca="false">H681*O681</f>
        <v>0</v>
      </c>
    </row>
    <row r="682" customFormat="false" ht="22.35" hidden="false" customHeight="false" outlineLevel="0" collapsed="false">
      <c r="A682" s="76" t="s">
        <v>2063</v>
      </c>
      <c r="B682" s="7" t="s">
        <v>3211</v>
      </c>
      <c r="C682" s="7" t="s">
        <v>3210</v>
      </c>
      <c r="D682" s="7" t="s">
        <v>2570</v>
      </c>
      <c r="E682" s="77" t="s">
        <v>2571</v>
      </c>
      <c r="F682" s="7" t="s">
        <v>2097</v>
      </c>
      <c r="G682" s="7" t="s">
        <v>2097</v>
      </c>
      <c r="H682" s="9" t="n">
        <v>24</v>
      </c>
      <c r="I682" s="9" t="n">
        <v>0</v>
      </c>
      <c r="J682" s="9" t="n">
        <v>0</v>
      </c>
      <c r="K682" s="52" t="n">
        <v>0</v>
      </c>
      <c r="L682" s="58" t="n">
        <v>26.1</v>
      </c>
      <c r="M682" s="59"/>
      <c r="N682" s="9" t="n">
        <v>0.224658</v>
      </c>
      <c r="O682" s="8" t="n">
        <v>0</v>
      </c>
      <c r="P682" s="9" t="n">
        <v>24</v>
      </c>
      <c r="Q682" s="7" t="s">
        <v>2098</v>
      </c>
      <c r="R682" s="7" t="s">
        <v>2572</v>
      </c>
      <c r="S682" s="58" t="n">
        <v>0</v>
      </c>
      <c r="T682" s="9" t="n">
        <v>1</v>
      </c>
      <c r="U682" s="56" t="n">
        <f aca="false">I682*O682</f>
        <v>0</v>
      </c>
      <c r="V682" s="56" t="n">
        <f aca="false">J682*O682</f>
        <v>0</v>
      </c>
      <c r="W682" s="56" t="n">
        <f aca="false">((I682+J682)/2)*O682</f>
        <v>0</v>
      </c>
      <c r="X682" s="56" t="n">
        <f aca="false">H682*O682</f>
        <v>0</v>
      </c>
    </row>
    <row r="683" customFormat="false" ht="22.35" hidden="false" customHeight="false" outlineLevel="0" collapsed="false">
      <c r="A683" s="76" t="s">
        <v>2063</v>
      </c>
      <c r="B683" s="49" t="s">
        <v>3212</v>
      </c>
      <c r="C683" s="49" t="s">
        <v>3213</v>
      </c>
      <c r="D683" s="49" t="s">
        <v>2570</v>
      </c>
      <c r="E683" s="77" t="s">
        <v>2571</v>
      </c>
      <c r="F683" s="49" t="s">
        <v>2097</v>
      </c>
      <c r="G683" s="49" t="s">
        <v>2097</v>
      </c>
      <c r="H683" s="51" t="n">
        <v>8</v>
      </c>
      <c r="I683" s="51" t="n">
        <v>0</v>
      </c>
      <c r="J683" s="51" t="n">
        <v>0</v>
      </c>
      <c r="K683" s="52" t="n">
        <v>0</v>
      </c>
      <c r="L683" s="53" t="n">
        <v>26.1</v>
      </c>
      <c r="M683" s="54"/>
      <c r="N683" s="51" t="n">
        <v>0.135616</v>
      </c>
      <c r="O683" s="55" t="n">
        <v>0</v>
      </c>
      <c r="P683" s="51" t="n">
        <v>8</v>
      </c>
      <c r="Q683" s="49" t="s">
        <v>2098</v>
      </c>
      <c r="R683" s="49" t="s">
        <v>2572</v>
      </c>
      <c r="S683" s="53" t="n">
        <v>0</v>
      </c>
      <c r="T683" s="51" t="n">
        <v>1</v>
      </c>
      <c r="U683" s="56" t="n">
        <f aca="false">I683*O683</f>
        <v>0</v>
      </c>
      <c r="V683" s="56" t="n">
        <f aca="false">J683*O683</f>
        <v>0</v>
      </c>
      <c r="W683" s="56" t="n">
        <f aca="false">((I683+J683)/2)*O683</f>
        <v>0</v>
      </c>
      <c r="X683" s="56" t="n">
        <f aca="false">H683*O683</f>
        <v>0</v>
      </c>
    </row>
    <row r="684" customFormat="false" ht="22.35" hidden="false" customHeight="false" outlineLevel="0" collapsed="false">
      <c r="A684" s="76" t="s">
        <v>2063</v>
      </c>
      <c r="B684" s="7" t="s">
        <v>3214</v>
      </c>
      <c r="C684" s="7" t="s">
        <v>3213</v>
      </c>
      <c r="D684" s="7" t="s">
        <v>2570</v>
      </c>
      <c r="E684" s="77" t="s">
        <v>2571</v>
      </c>
      <c r="F684" s="7" t="s">
        <v>2097</v>
      </c>
      <c r="G684" s="7" t="s">
        <v>2097</v>
      </c>
      <c r="H684" s="9" t="n">
        <v>2</v>
      </c>
      <c r="I684" s="9" t="n">
        <v>0</v>
      </c>
      <c r="J684" s="9" t="n">
        <v>0</v>
      </c>
      <c r="K684" s="52" t="n">
        <v>0</v>
      </c>
      <c r="L684" s="58" t="n">
        <v>26.1</v>
      </c>
      <c r="M684" s="59"/>
      <c r="N684" s="9" t="n">
        <v>0.026027</v>
      </c>
      <c r="O684" s="8" t="n">
        <v>0</v>
      </c>
      <c r="P684" s="9" t="n">
        <v>2</v>
      </c>
      <c r="Q684" s="7" t="s">
        <v>2098</v>
      </c>
      <c r="R684" s="7" t="s">
        <v>2572</v>
      </c>
      <c r="S684" s="58" t="n">
        <v>0</v>
      </c>
      <c r="T684" s="9" t="n">
        <v>1</v>
      </c>
      <c r="U684" s="56" t="n">
        <f aca="false">I684*O684</f>
        <v>0</v>
      </c>
      <c r="V684" s="56" t="n">
        <f aca="false">J684*O684</f>
        <v>0</v>
      </c>
      <c r="W684" s="56" t="n">
        <f aca="false">((I684+J684)/2)*O684</f>
        <v>0</v>
      </c>
      <c r="X684" s="56" t="n">
        <f aca="false">H684*O684</f>
        <v>0</v>
      </c>
    </row>
    <row r="685" customFormat="false" ht="22.35" hidden="false" customHeight="false" outlineLevel="0" collapsed="false">
      <c r="A685" s="76" t="s">
        <v>2063</v>
      </c>
      <c r="B685" s="49" t="s">
        <v>3215</v>
      </c>
      <c r="C685" s="49" t="s">
        <v>3216</v>
      </c>
      <c r="D685" s="49" t="s">
        <v>2570</v>
      </c>
      <c r="E685" s="77" t="s">
        <v>2571</v>
      </c>
      <c r="F685" s="49" t="s">
        <v>2097</v>
      </c>
      <c r="G685" s="49" t="s">
        <v>2097</v>
      </c>
      <c r="H685" s="51" t="n">
        <v>8</v>
      </c>
      <c r="I685" s="51" t="n">
        <v>0</v>
      </c>
      <c r="J685" s="51" t="n">
        <v>0</v>
      </c>
      <c r="K685" s="52" t="n">
        <v>0</v>
      </c>
      <c r="L685" s="53" t="n">
        <v>26.1</v>
      </c>
      <c r="M685" s="54"/>
      <c r="N685" s="51" t="n">
        <v>0.135616</v>
      </c>
      <c r="O685" s="55" t="n">
        <v>0</v>
      </c>
      <c r="P685" s="51" t="n">
        <v>8</v>
      </c>
      <c r="Q685" s="49" t="s">
        <v>2098</v>
      </c>
      <c r="R685" s="49" t="s">
        <v>2572</v>
      </c>
      <c r="S685" s="53" t="n">
        <v>0</v>
      </c>
      <c r="T685" s="51" t="n">
        <v>1</v>
      </c>
      <c r="U685" s="56" t="n">
        <f aca="false">I685*O685</f>
        <v>0</v>
      </c>
      <c r="V685" s="56" t="n">
        <f aca="false">J685*O685</f>
        <v>0</v>
      </c>
      <c r="W685" s="56" t="n">
        <f aca="false">((I685+J685)/2)*O685</f>
        <v>0</v>
      </c>
      <c r="X685" s="56" t="n">
        <f aca="false">H685*O685</f>
        <v>0</v>
      </c>
    </row>
    <row r="686" customFormat="false" ht="22.35" hidden="false" customHeight="false" outlineLevel="0" collapsed="false">
      <c r="A686" s="76" t="s">
        <v>2063</v>
      </c>
      <c r="B686" s="7" t="s">
        <v>3217</v>
      </c>
      <c r="C686" s="7" t="s">
        <v>3216</v>
      </c>
      <c r="D686" s="7" t="s">
        <v>2570</v>
      </c>
      <c r="E686" s="77" t="s">
        <v>2571</v>
      </c>
      <c r="F686" s="7" t="s">
        <v>2097</v>
      </c>
      <c r="G686" s="7" t="s">
        <v>2097</v>
      </c>
      <c r="H686" s="9" t="n">
        <v>2</v>
      </c>
      <c r="I686" s="9" t="n">
        <v>0</v>
      </c>
      <c r="J686" s="9" t="n">
        <v>0</v>
      </c>
      <c r="K686" s="52" t="n">
        <v>0</v>
      </c>
      <c r="L686" s="58" t="n">
        <v>26.1</v>
      </c>
      <c r="M686" s="59"/>
      <c r="N686" s="9" t="n">
        <v>0.026027</v>
      </c>
      <c r="O686" s="8" t="n">
        <v>0</v>
      </c>
      <c r="P686" s="9" t="n">
        <v>2</v>
      </c>
      <c r="Q686" s="7" t="s">
        <v>2098</v>
      </c>
      <c r="R686" s="7" t="s">
        <v>2572</v>
      </c>
      <c r="S686" s="58" t="n">
        <v>0</v>
      </c>
      <c r="T686" s="9" t="n">
        <v>1</v>
      </c>
      <c r="U686" s="56" t="n">
        <f aca="false">I686*O686</f>
        <v>0</v>
      </c>
      <c r="V686" s="56" t="n">
        <f aca="false">J686*O686</f>
        <v>0</v>
      </c>
      <c r="W686" s="56" t="n">
        <f aca="false">((I686+J686)/2)*O686</f>
        <v>0</v>
      </c>
      <c r="X686" s="56" t="n">
        <f aca="false">H686*O686</f>
        <v>0</v>
      </c>
    </row>
    <row r="687" customFormat="false" ht="22.35" hidden="false" customHeight="false" outlineLevel="0" collapsed="false">
      <c r="A687" s="76" t="s">
        <v>2063</v>
      </c>
      <c r="B687" s="49" t="s">
        <v>3218</v>
      </c>
      <c r="C687" s="49" t="s">
        <v>3219</v>
      </c>
      <c r="D687" s="49" t="s">
        <v>2570</v>
      </c>
      <c r="E687" s="77" t="s">
        <v>2571</v>
      </c>
      <c r="F687" s="49" t="s">
        <v>2097</v>
      </c>
      <c r="G687" s="49" t="s">
        <v>2097</v>
      </c>
      <c r="H687" s="51" t="n">
        <v>24</v>
      </c>
      <c r="I687" s="51" t="n">
        <v>0</v>
      </c>
      <c r="J687" s="51" t="n">
        <v>0</v>
      </c>
      <c r="K687" s="52" t="n">
        <v>0</v>
      </c>
      <c r="L687" s="53" t="n">
        <v>26.1</v>
      </c>
      <c r="M687" s="54"/>
      <c r="N687" s="51" t="n">
        <v>0.465753</v>
      </c>
      <c r="O687" s="55" t="n">
        <v>0</v>
      </c>
      <c r="P687" s="51" t="n">
        <v>24</v>
      </c>
      <c r="Q687" s="49" t="s">
        <v>2098</v>
      </c>
      <c r="R687" s="49" t="s">
        <v>2572</v>
      </c>
      <c r="S687" s="53" t="n">
        <v>0</v>
      </c>
      <c r="T687" s="51" t="n">
        <v>1</v>
      </c>
      <c r="U687" s="56" t="n">
        <f aca="false">I687*O687</f>
        <v>0</v>
      </c>
      <c r="V687" s="56" t="n">
        <f aca="false">J687*O687</f>
        <v>0</v>
      </c>
      <c r="W687" s="56" t="n">
        <f aca="false">((I687+J687)/2)*O687</f>
        <v>0</v>
      </c>
      <c r="X687" s="56" t="n">
        <f aca="false">H687*O687</f>
        <v>0</v>
      </c>
    </row>
    <row r="688" customFormat="false" ht="22.35" hidden="false" customHeight="false" outlineLevel="0" collapsed="false">
      <c r="A688" s="76" t="s">
        <v>2063</v>
      </c>
      <c r="B688" s="7" t="s">
        <v>3220</v>
      </c>
      <c r="C688" s="7" t="s">
        <v>3219</v>
      </c>
      <c r="D688" s="7" t="s">
        <v>2570</v>
      </c>
      <c r="E688" s="77" t="s">
        <v>2571</v>
      </c>
      <c r="F688" s="7" t="s">
        <v>2097</v>
      </c>
      <c r="G688" s="7" t="s">
        <v>2097</v>
      </c>
      <c r="H688" s="9" t="n">
        <v>16</v>
      </c>
      <c r="I688" s="9" t="n">
        <v>0</v>
      </c>
      <c r="J688" s="9" t="n">
        <v>0</v>
      </c>
      <c r="K688" s="52" t="n">
        <v>0</v>
      </c>
      <c r="L688" s="58" t="n">
        <v>26.1</v>
      </c>
      <c r="M688" s="59"/>
      <c r="N688" s="9" t="n">
        <v>0.123288</v>
      </c>
      <c r="O688" s="8" t="n">
        <v>0</v>
      </c>
      <c r="P688" s="9" t="n">
        <v>16</v>
      </c>
      <c r="Q688" s="7" t="s">
        <v>2098</v>
      </c>
      <c r="R688" s="7" t="s">
        <v>2572</v>
      </c>
      <c r="S688" s="58" t="n">
        <v>0</v>
      </c>
      <c r="T688" s="9" t="n">
        <v>1</v>
      </c>
      <c r="U688" s="56" t="n">
        <f aca="false">I688*O688</f>
        <v>0</v>
      </c>
      <c r="V688" s="56" t="n">
        <f aca="false">J688*O688</f>
        <v>0</v>
      </c>
      <c r="W688" s="56" t="n">
        <f aca="false">((I688+J688)/2)*O688</f>
        <v>0</v>
      </c>
      <c r="X688" s="56" t="n">
        <f aca="false">H688*O688</f>
        <v>0</v>
      </c>
    </row>
    <row r="689" customFormat="false" ht="22.35" hidden="false" customHeight="false" outlineLevel="0" collapsed="false">
      <c r="A689" s="76" t="s">
        <v>2063</v>
      </c>
      <c r="B689" s="49" t="s">
        <v>3221</v>
      </c>
      <c r="C689" s="49" t="s">
        <v>3222</v>
      </c>
      <c r="D689" s="49" t="s">
        <v>2570</v>
      </c>
      <c r="E689" s="77" t="s">
        <v>2571</v>
      </c>
      <c r="F689" s="49" t="s">
        <v>2097</v>
      </c>
      <c r="G689" s="49" t="s">
        <v>2097</v>
      </c>
      <c r="H689" s="51" t="n">
        <v>8</v>
      </c>
      <c r="I689" s="51" t="n">
        <v>0</v>
      </c>
      <c r="J689" s="51" t="n">
        <v>0</v>
      </c>
      <c r="K689" s="52" t="n">
        <v>0</v>
      </c>
      <c r="L689" s="53" t="n">
        <v>26.1</v>
      </c>
      <c r="M689" s="54"/>
      <c r="N689" s="51" t="n">
        <v>0.150685</v>
      </c>
      <c r="O689" s="55" t="n">
        <v>0</v>
      </c>
      <c r="P689" s="51" t="n">
        <v>8</v>
      </c>
      <c r="Q689" s="49" t="s">
        <v>2098</v>
      </c>
      <c r="R689" s="49" t="s">
        <v>2572</v>
      </c>
      <c r="S689" s="53" t="n">
        <v>0</v>
      </c>
      <c r="T689" s="51" t="n">
        <v>1</v>
      </c>
      <c r="U689" s="56" t="n">
        <f aca="false">I689*O689</f>
        <v>0</v>
      </c>
      <c r="V689" s="56" t="n">
        <f aca="false">J689*O689</f>
        <v>0</v>
      </c>
      <c r="W689" s="56" t="n">
        <f aca="false">((I689+J689)/2)*O689</f>
        <v>0</v>
      </c>
      <c r="X689" s="56" t="n">
        <f aca="false">H689*O689</f>
        <v>0</v>
      </c>
    </row>
    <row r="690" customFormat="false" ht="22.35" hidden="false" customHeight="false" outlineLevel="0" collapsed="false">
      <c r="A690" s="76" t="s">
        <v>2063</v>
      </c>
      <c r="B690" s="7" t="s">
        <v>3223</v>
      </c>
      <c r="C690" s="7" t="s">
        <v>3222</v>
      </c>
      <c r="D690" s="7" t="s">
        <v>2570</v>
      </c>
      <c r="E690" s="77" t="s">
        <v>2571</v>
      </c>
      <c r="F690" s="7" t="s">
        <v>2097</v>
      </c>
      <c r="G690" s="7" t="s">
        <v>2097</v>
      </c>
      <c r="H690" s="9" t="n">
        <v>36</v>
      </c>
      <c r="I690" s="9" t="n">
        <v>0</v>
      </c>
      <c r="J690" s="9" t="n">
        <v>0</v>
      </c>
      <c r="K690" s="52" t="n">
        <v>0</v>
      </c>
      <c r="L690" s="58" t="n">
        <v>26.1</v>
      </c>
      <c r="M690" s="59"/>
      <c r="N690" s="9" t="n">
        <v>0.446575</v>
      </c>
      <c r="O690" s="8" t="n">
        <v>0</v>
      </c>
      <c r="P690" s="9" t="n">
        <v>36</v>
      </c>
      <c r="Q690" s="7" t="s">
        <v>2098</v>
      </c>
      <c r="R690" s="7" t="s">
        <v>2572</v>
      </c>
      <c r="S690" s="58" t="n">
        <v>0</v>
      </c>
      <c r="T690" s="9" t="n">
        <v>1</v>
      </c>
      <c r="U690" s="56" t="n">
        <f aca="false">I690*O690</f>
        <v>0</v>
      </c>
      <c r="V690" s="56" t="n">
        <f aca="false">J690*O690</f>
        <v>0</v>
      </c>
      <c r="W690" s="56" t="n">
        <f aca="false">((I690+J690)/2)*O690</f>
        <v>0</v>
      </c>
      <c r="X690" s="56" t="n">
        <f aca="false">H690*O690</f>
        <v>0</v>
      </c>
    </row>
    <row r="691" customFormat="false" ht="22.35" hidden="false" customHeight="false" outlineLevel="0" collapsed="false">
      <c r="A691" s="76" t="s">
        <v>2063</v>
      </c>
      <c r="B691" s="49" t="s">
        <v>3224</v>
      </c>
      <c r="C691" s="49" t="s">
        <v>3225</v>
      </c>
      <c r="D691" s="49" t="s">
        <v>2570</v>
      </c>
      <c r="E691" s="77" t="s">
        <v>2571</v>
      </c>
      <c r="F691" s="49" t="s">
        <v>2097</v>
      </c>
      <c r="G691" s="49" t="s">
        <v>2097</v>
      </c>
      <c r="H691" s="51" t="n">
        <v>18</v>
      </c>
      <c r="I691" s="51" t="n">
        <v>0</v>
      </c>
      <c r="J691" s="51" t="n">
        <v>0</v>
      </c>
      <c r="K691" s="52" t="n">
        <v>0</v>
      </c>
      <c r="L691" s="53" t="n">
        <v>26.1</v>
      </c>
      <c r="M691" s="54"/>
      <c r="N691" s="51" t="n">
        <v>0.227397</v>
      </c>
      <c r="O691" s="55" t="n">
        <v>0</v>
      </c>
      <c r="P691" s="51" t="n">
        <v>18</v>
      </c>
      <c r="Q691" s="49" t="s">
        <v>2098</v>
      </c>
      <c r="R691" s="49" t="s">
        <v>2572</v>
      </c>
      <c r="S691" s="53" t="n">
        <v>0</v>
      </c>
      <c r="T691" s="51" t="n">
        <v>1</v>
      </c>
      <c r="U691" s="56" t="n">
        <f aca="false">I691*O691</f>
        <v>0</v>
      </c>
      <c r="V691" s="56" t="n">
        <f aca="false">J691*O691</f>
        <v>0</v>
      </c>
      <c r="W691" s="56" t="n">
        <f aca="false">((I691+J691)/2)*O691</f>
        <v>0</v>
      </c>
      <c r="X691" s="56" t="n">
        <f aca="false">H691*O691</f>
        <v>0</v>
      </c>
    </row>
    <row r="692" customFormat="false" ht="22.35" hidden="false" customHeight="false" outlineLevel="0" collapsed="false">
      <c r="A692" s="76" t="s">
        <v>2063</v>
      </c>
      <c r="B692" s="7" t="s">
        <v>3226</v>
      </c>
      <c r="C692" s="7" t="s">
        <v>3227</v>
      </c>
      <c r="D692" s="7" t="s">
        <v>2570</v>
      </c>
      <c r="E692" s="77" t="s">
        <v>2571</v>
      </c>
      <c r="F692" s="7" t="s">
        <v>2097</v>
      </c>
      <c r="G692" s="7" t="s">
        <v>2097</v>
      </c>
      <c r="H692" s="9" t="n">
        <v>48</v>
      </c>
      <c r="I692" s="9" t="n">
        <v>0</v>
      </c>
      <c r="J692" s="9" t="n">
        <v>0</v>
      </c>
      <c r="K692" s="52" t="n">
        <v>0</v>
      </c>
      <c r="L692" s="58" t="n">
        <v>26.1</v>
      </c>
      <c r="M692" s="59"/>
      <c r="N692" s="9" t="n">
        <v>0.69589</v>
      </c>
      <c r="O692" s="8" t="n">
        <v>0</v>
      </c>
      <c r="P692" s="9" t="n">
        <v>48</v>
      </c>
      <c r="Q692" s="7" t="s">
        <v>2098</v>
      </c>
      <c r="R692" s="7" t="s">
        <v>2572</v>
      </c>
      <c r="S692" s="58" t="n">
        <v>0</v>
      </c>
      <c r="T692" s="9" t="n">
        <v>1</v>
      </c>
      <c r="U692" s="56" t="n">
        <f aca="false">I692*O692</f>
        <v>0</v>
      </c>
      <c r="V692" s="56" t="n">
        <f aca="false">J692*O692</f>
        <v>0</v>
      </c>
      <c r="W692" s="56" t="n">
        <f aca="false">((I692+J692)/2)*O692</f>
        <v>0</v>
      </c>
      <c r="X692" s="56" t="n">
        <f aca="false">H692*O692</f>
        <v>0</v>
      </c>
    </row>
    <row r="693" customFormat="false" ht="22.35" hidden="false" customHeight="false" outlineLevel="0" collapsed="false">
      <c r="A693" s="76" t="s">
        <v>2063</v>
      </c>
      <c r="B693" s="49" t="s">
        <v>3228</v>
      </c>
      <c r="C693" s="49" t="s">
        <v>3229</v>
      </c>
      <c r="D693" s="49" t="s">
        <v>2570</v>
      </c>
      <c r="E693" s="77" t="s">
        <v>2571</v>
      </c>
      <c r="F693" s="49" t="s">
        <v>2097</v>
      </c>
      <c r="G693" s="49" t="s">
        <v>2097</v>
      </c>
      <c r="H693" s="51" t="n">
        <v>36</v>
      </c>
      <c r="I693" s="51" t="n">
        <v>0</v>
      </c>
      <c r="J693" s="51" t="n">
        <v>0</v>
      </c>
      <c r="K693" s="52" t="n">
        <v>0</v>
      </c>
      <c r="L693" s="53" t="n">
        <v>26.1</v>
      </c>
      <c r="M693" s="54"/>
      <c r="N693" s="51" t="n">
        <v>0.583562</v>
      </c>
      <c r="O693" s="55" t="n">
        <v>0</v>
      </c>
      <c r="P693" s="51" t="n">
        <v>36</v>
      </c>
      <c r="Q693" s="49" t="s">
        <v>2098</v>
      </c>
      <c r="R693" s="49" t="s">
        <v>2572</v>
      </c>
      <c r="S693" s="53" t="n">
        <v>0</v>
      </c>
      <c r="T693" s="51" t="n">
        <v>1</v>
      </c>
      <c r="U693" s="56" t="n">
        <f aca="false">I693*O693</f>
        <v>0</v>
      </c>
      <c r="V693" s="56" t="n">
        <f aca="false">J693*O693</f>
        <v>0</v>
      </c>
      <c r="W693" s="56" t="n">
        <f aca="false">((I693+J693)/2)*O693</f>
        <v>0</v>
      </c>
      <c r="X693" s="56" t="n">
        <f aca="false">H693*O693</f>
        <v>0</v>
      </c>
    </row>
    <row r="694" customFormat="false" ht="22.35" hidden="false" customHeight="false" outlineLevel="0" collapsed="false">
      <c r="A694" s="76" t="s">
        <v>2063</v>
      </c>
      <c r="B694" s="7" t="s">
        <v>3230</v>
      </c>
      <c r="C694" s="7" t="s">
        <v>3231</v>
      </c>
      <c r="D694" s="7" t="s">
        <v>2570</v>
      </c>
      <c r="E694" s="77" t="s">
        <v>2571</v>
      </c>
      <c r="F694" s="7" t="s">
        <v>2097</v>
      </c>
      <c r="G694" s="7" t="s">
        <v>2097</v>
      </c>
      <c r="H694" s="9" t="n">
        <v>12</v>
      </c>
      <c r="I694" s="9" t="n">
        <v>0</v>
      </c>
      <c r="J694" s="9" t="n">
        <v>0</v>
      </c>
      <c r="K694" s="52" t="n">
        <v>0</v>
      </c>
      <c r="L694" s="58" t="n">
        <v>16.3</v>
      </c>
      <c r="M694" s="59" t="n">
        <v>97.5</v>
      </c>
      <c r="N694" s="9" t="n">
        <v>0.173973</v>
      </c>
      <c r="O694" s="8" t="n">
        <v>0</v>
      </c>
      <c r="P694" s="9" t="n">
        <v>12</v>
      </c>
      <c r="Q694" s="7" t="s">
        <v>2098</v>
      </c>
      <c r="R694" s="7" t="s">
        <v>2572</v>
      </c>
      <c r="S694" s="58" t="n">
        <v>0</v>
      </c>
      <c r="T694" s="9" t="n">
        <v>1</v>
      </c>
      <c r="U694" s="56" t="n">
        <f aca="false">I694*O694</f>
        <v>0</v>
      </c>
      <c r="V694" s="56" t="n">
        <f aca="false">J694*O694</f>
        <v>0</v>
      </c>
      <c r="W694" s="56" t="n">
        <f aca="false">((I694+J694)/2)*O694</f>
        <v>0</v>
      </c>
      <c r="X694" s="56" t="n">
        <f aca="false">H694*O694</f>
        <v>0</v>
      </c>
    </row>
    <row r="695" customFormat="false" ht="22.35" hidden="false" customHeight="false" outlineLevel="0" collapsed="false">
      <c r="A695" s="76" t="s">
        <v>2063</v>
      </c>
      <c r="B695" s="49" t="s">
        <v>3232</v>
      </c>
      <c r="C695" s="49" t="s">
        <v>3233</v>
      </c>
      <c r="D695" s="49" t="s">
        <v>2570</v>
      </c>
      <c r="E695" s="77" t="s">
        <v>2571</v>
      </c>
      <c r="F695" s="49" t="s">
        <v>2097</v>
      </c>
      <c r="G695" s="49" t="s">
        <v>2097</v>
      </c>
      <c r="H695" s="51" t="n">
        <v>64</v>
      </c>
      <c r="I695" s="51" t="n">
        <v>0</v>
      </c>
      <c r="J695" s="51" t="n">
        <v>0</v>
      </c>
      <c r="K695" s="52" t="n">
        <v>0</v>
      </c>
      <c r="L695" s="53" t="n">
        <v>16.2</v>
      </c>
      <c r="M695" s="54" t="n">
        <v>93.1</v>
      </c>
      <c r="N695" s="51" t="n">
        <v>0.782192</v>
      </c>
      <c r="O695" s="55" t="n">
        <v>0</v>
      </c>
      <c r="P695" s="51" t="n">
        <v>64</v>
      </c>
      <c r="Q695" s="49" t="s">
        <v>2098</v>
      </c>
      <c r="R695" s="49" t="s">
        <v>2572</v>
      </c>
      <c r="S695" s="53" t="n">
        <v>0</v>
      </c>
      <c r="T695" s="51" t="n">
        <v>1</v>
      </c>
      <c r="U695" s="56" t="n">
        <f aca="false">I695*O695</f>
        <v>0</v>
      </c>
      <c r="V695" s="56" t="n">
        <f aca="false">J695*O695</f>
        <v>0</v>
      </c>
      <c r="W695" s="56" t="n">
        <f aca="false">((I695+J695)/2)*O695</f>
        <v>0</v>
      </c>
      <c r="X695" s="56" t="n">
        <f aca="false">H695*O695</f>
        <v>0</v>
      </c>
    </row>
    <row r="696" customFormat="false" ht="22.35" hidden="false" customHeight="false" outlineLevel="0" collapsed="false">
      <c r="A696" s="76" t="s">
        <v>2063</v>
      </c>
      <c r="B696" s="7" t="s">
        <v>3234</v>
      </c>
      <c r="C696" s="7" t="s">
        <v>3235</v>
      </c>
      <c r="D696" s="7" t="s">
        <v>2570</v>
      </c>
      <c r="E696" s="77" t="s">
        <v>2571</v>
      </c>
      <c r="F696" s="7" t="s">
        <v>2097</v>
      </c>
      <c r="G696" s="7" t="s">
        <v>2097</v>
      </c>
      <c r="H696" s="9" t="n">
        <v>16</v>
      </c>
      <c r="I696" s="9" t="n">
        <v>0</v>
      </c>
      <c r="J696" s="9" t="n">
        <v>0</v>
      </c>
      <c r="K696" s="52" t="n">
        <v>0</v>
      </c>
      <c r="L696" s="58" t="n">
        <v>26.1</v>
      </c>
      <c r="M696" s="59"/>
      <c r="N696" s="9" t="n">
        <v>0.279452</v>
      </c>
      <c r="O696" s="8" t="n">
        <v>0</v>
      </c>
      <c r="P696" s="9" t="n">
        <v>16</v>
      </c>
      <c r="Q696" s="7" t="s">
        <v>2098</v>
      </c>
      <c r="R696" s="7" t="s">
        <v>2572</v>
      </c>
      <c r="S696" s="58" t="n">
        <v>0</v>
      </c>
      <c r="T696" s="9" t="n">
        <v>1</v>
      </c>
      <c r="U696" s="56" t="n">
        <f aca="false">I696*O696</f>
        <v>0</v>
      </c>
      <c r="V696" s="56" t="n">
        <f aca="false">J696*O696</f>
        <v>0</v>
      </c>
      <c r="W696" s="56" t="n">
        <f aca="false">((I696+J696)/2)*O696</f>
        <v>0</v>
      </c>
      <c r="X696" s="56" t="n">
        <f aca="false">H696*O696</f>
        <v>0</v>
      </c>
    </row>
    <row r="697" customFormat="false" ht="22.35" hidden="false" customHeight="false" outlineLevel="0" collapsed="false">
      <c r="A697" s="76" t="s">
        <v>2063</v>
      </c>
      <c r="B697" s="49" t="s">
        <v>3236</v>
      </c>
      <c r="C697" s="49" t="s">
        <v>3237</v>
      </c>
      <c r="D697" s="49" t="s">
        <v>2570</v>
      </c>
      <c r="E697" s="77" t="s">
        <v>2571</v>
      </c>
      <c r="F697" s="49" t="s">
        <v>2097</v>
      </c>
      <c r="G697" s="49" t="s">
        <v>2097</v>
      </c>
      <c r="H697" s="51" t="n">
        <v>16</v>
      </c>
      <c r="I697" s="51" t="n">
        <v>0</v>
      </c>
      <c r="J697" s="51" t="n">
        <v>0</v>
      </c>
      <c r="K697" s="52" t="n">
        <v>0</v>
      </c>
      <c r="L697" s="53" t="n">
        <v>26.1</v>
      </c>
      <c r="M697" s="54"/>
      <c r="N697" s="51" t="n">
        <v>0.279452</v>
      </c>
      <c r="O697" s="55" t="n">
        <v>0</v>
      </c>
      <c r="P697" s="51" t="n">
        <v>16</v>
      </c>
      <c r="Q697" s="49" t="s">
        <v>2098</v>
      </c>
      <c r="R697" s="49" t="s">
        <v>2572</v>
      </c>
      <c r="S697" s="53" t="n">
        <v>0</v>
      </c>
      <c r="T697" s="51" t="n">
        <v>1</v>
      </c>
      <c r="U697" s="56" t="n">
        <f aca="false">I697*O697</f>
        <v>0</v>
      </c>
      <c r="V697" s="56" t="n">
        <f aca="false">J697*O697</f>
        <v>0</v>
      </c>
      <c r="W697" s="56" t="n">
        <f aca="false">((I697+J697)/2)*O697</f>
        <v>0</v>
      </c>
      <c r="X697" s="56" t="n">
        <f aca="false">H697*O697</f>
        <v>0</v>
      </c>
    </row>
    <row r="698" customFormat="false" ht="22.35" hidden="false" customHeight="false" outlineLevel="0" collapsed="false">
      <c r="A698" s="76" t="s">
        <v>2063</v>
      </c>
      <c r="B698" s="7" t="s">
        <v>3238</v>
      </c>
      <c r="C698" s="7" t="s">
        <v>3239</v>
      </c>
      <c r="D698" s="7" t="s">
        <v>2570</v>
      </c>
      <c r="E698" s="77" t="s">
        <v>2571</v>
      </c>
      <c r="F698" s="7" t="s">
        <v>2097</v>
      </c>
      <c r="G698" s="7" t="s">
        <v>2097</v>
      </c>
      <c r="H698" s="9" t="n">
        <v>48</v>
      </c>
      <c r="I698" s="9" t="n">
        <v>0</v>
      </c>
      <c r="J698" s="9" t="n">
        <v>0</v>
      </c>
      <c r="K698" s="52" t="n">
        <v>0</v>
      </c>
      <c r="L698" s="58" t="n">
        <v>26.1</v>
      </c>
      <c r="M698" s="59"/>
      <c r="N698" s="9" t="n">
        <v>0.50137</v>
      </c>
      <c r="O698" s="8" t="n">
        <v>0</v>
      </c>
      <c r="P698" s="9" t="n">
        <v>48</v>
      </c>
      <c r="Q698" s="7" t="s">
        <v>2098</v>
      </c>
      <c r="R698" s="7" t="s">
        <v>2572</v>
      </c>
      <c r="S698" s="58" t="n">
        <v>0</v>
      </c>
      <c r="T698" s="9" t="n">
        <v>1</v>
      </c>
      <c r="U698" s="56" t="n">
        <f aca="false">I698*O698</f>
        <v>0</v>
      </c>
      <c r="V698" s="56" t="n">
        <f aca="false">J698*O698</f>
        <v>0</v>
      </c>
      <c r="W698" s="56" t="n">
        <f aca="false">((I698+J698)/2)*O698</f>
        <v>0</v>
      </c>
      <c r="X698" s="56" t="n">
        <f aca="false">H698*O698</f>
        <v>0</v>
      </c>
    </row>
    <row r="699" customFormat="false" ht="22.35" hidden="false" customHeight="false" outlineLevel="0" collapsed="false">
      <c r="A699" s="76" t="s">
        <v>2063</v>
      </c>
      <c r="B699" s="49" t="s">
        <v>3240</v>
      </c>
      <c r="C699" s="49" t="s">
        <v>3241</v>
      </c>
      <c r="D699" s="49" t="s">
        <v>2570</v>
      </c>
      <c r="E699" s="77" t="s">
        <v>2571</v>
      </c>
      <c r="F699" s="49" t="s">
        <v>2097</v>
      </c>
      <c r="G699" s="49" t="s">
        <v>2097</v>
      </c>
      <c r="H699" s="51" t="n">
        <v>288</v>
      </c>
      <c r="I699" s="51" t="n">
        <v>0</v>
      </c>
      <c r="J699" s="51" t="n">
        <v>0</v>
      </c>
      <c r="K699" s="52" t="n">
        <v>0</v>
      </c>
      <c r="L699" s="53" t="n">
        <v>26.1</v>
      </c>
      <c r="M699" s="54"/>
      <c r="N699" s="51" t="n">
        <v>3.565753</v>
      </c>
      <c r="O699" s="55" t="n">
        <v>0</v>
      </c>
      <c r="P699" s="51" t="n">
        <v>288</v>
      </c>
      <c r="Q699" s="49" t="s">
        <v>2098</v>
      </c>
      <c r="R699" s="49" t="s">
        <v>2572</v>
      </c>
      <c r="S699" s="53" t="n">
        <v>0</v>
      </c>
      <c r="T699" s="51" t="n">
        <v>1</v>
      </c>
      <c r="U699" s="56" t="n">
        <f aca="false">I699*O699</f>
        <v>0</v>
      </c>
      <c r="V699" s="56" t="n">
        <f aca="false">J699*O699</f>
        <v>0</v>
      </c>
      <c r="W699" s="56" t="n">
        <f aca="false">((I699+J699)/2)*O699</f>
        <v>0</v>
      </c>
      <c r="X699" s="56" t="n">
        <f aca="false">H699*O699</f>
        <v>0</v>
      </c>
    </row>
    <row r="700" customFormat="false" ht="22.35" hidden="false" customHeight="false" outlineLevel="0" collapsed="false">
      <c r="A700" s="76" t="s">
        <v>2063</v>
      </c>
      <c r="B700" s="7" t="s">
        <v>3242</v>
      </c>
      <c r="C700" s="7" t="s">
        <v>3243</v>
      </c>
      <c r="D700" s="7" t="s">
        <v>2570</v>
      </c>
      <c r="E700" s="77" t="s">
        <v>2571</v>
      </c>
      <c r="F700" s="7" t="s">
        <v>2097</v>
      </c>
      <c r="G700" s="7" t="s">
        <v>2097</v>
      </c>
      <c r="H700" s="9" t="n">
        <v>6</v>
      </c>
      <c r="I700" s="9" t="n">
        <v>0</v>
      </c>
      <c r="J700" s="9" t="n">
        <v>0</v>
      </c>
      <c r="K700" s="52" t="n">
        <v>0</v>
      </c>
      <c r="L700" s="58" t="n">
        <v>26.1</v>
      </c>
      <c r="M700" s="59"/>
      <c r="N700" s="9" t="n">
        <v>0.006849</v>
      </c>
      <c r="O700" s="8" t="n">
        <v>0</v>
      </c>
      <c r="P700" s="9" t="n">
        <v>6</v>
      </c>
      <c r="Q700" s="7" t="s">
        <v>2098</v>
      </c>
      <c r="R700" s="7" t="s">
        <v>2572</v>
      </c>
      <c r="S700" s="58" t="n">
        <v>0</v>
      </c>
      <c r="T700" s="9" t="n">
        <v>1</v>
      </c>
      <c r="U700" s="56" t="n">
        <f aca="false">I700*O700</f>
        <v>0</v>
      </c>
      <c r="V700" s="56" t="n">
        <f aca="false">J700*O700</f>
        <v>0</v>
      </c>
      <c r="W700" s="56" t="n">
        <f aca="false">((I700+J700)/2)*O700</f>
        <v>0</v>
      </c>
      <c r="X700" s="56" t="n">
        <f aca="false">H700*O700</f>
        <v>0</v>
      </c>
    </row>
    <row r="701" customFormat="false" ht="22.35" hidden="false" customHeight="false" outlineLevel="0" collapsed="false">
      <c r="A701" s="76" t="s">
        <v>2063</v>
      </c>
      <c r="B701" s="49" t="s">
        <v>3244</v>
      </c>
      <c r="C701" s="49" t="s">
        <v>3245</v>
      </c>
      <c r="D701" s="49" t="s">
        <v>2570</v>
      </c>
      <c r="E701" s="77" t="s">
        <v>2571</v>
      </c>
      <c r="F701" s="49" t="s">
        <v>2097</v>
      </c>
      <c r="G701" s="49" t="s">
        <v>2097</v>
      </c>
      <c r="H701" s="51" t="n">
        <v>12</v>
      </c>
      <c r="I701" s="51" t="n">
        <v>0</v>
      </c>
      <c r="J701" s="51" t="n">
        <v>0</v>
      </c>
      <c r="K701" s="52" t="n">
        <v>0</v>
      </c>
      <c r="L701" s="53" t="n">
        <v>26.1</v>
      </c>
      <c r="M701" s="54"/>
      <c r="N701" s="51" t="n">
        <v>0.136986</v>
      </c>
      <c r="O701" s="55" t="n">
        <v>0</v>
      </c>
      <c r="P701" s="51" t="n">
        <v>12</v>
      </c>
      <c r="Q701" s="49" t="s">
        <v>2098</v>
      </c>
      <c r="R701" s="49" t="s">
        <v>2572</v>
      </c>
      <c r="S701" s="53" t="n">
        <v>0</v>
      </c>
      <c r="T701" s="51" t="n">
        <v>1</v>
      </c>
      <c r="U701" s="56" t="n">
        <f aca="false">I701*O701</f>
        <v>0</v>
      </c>
      <c r="V701" s="56" t="n">
        <f aca="false">J701*O701</f>
        <v>0</v>
      </c>
      <c r="W701" s="56" t="n">
        <f aca="false">((I701+J701)/2)*O701</f>
        <v>0</v>
      </c>
      <c r="X701" s="56" t="n">
        <f aca="false">H701*O701</f>
        <v>0</v>
      </c>
    </row>
    <row r="702" customFormat="false" ht="22.35" hidden="false" customHeight="false" outlineLevel="0" collapsed="false">
      <c r="A702" s="76" t="s">
        <v>2063</v>
      </c>
      <c r="B702" s="7" t="s">
        <v>3246</v>
      </c>
      <c r="C702" s="7" t="s">
        <v>3247</v>
      </c>
      <c r="D702" s="7" t="s">
        <v>2570</v>
      </c>
      <c r="E702" s="77" t="s">
        <v>2571</v>
      </c>
      <c r="F702" s="7" t="s">
        <v>2097</v>
      </c>
      <c r="G702" s="7" t="s">
        <v>2097</v>
      </c>
      <c r="H702" s="9" t="n">
        <v>96</v>
      </c>
      <c r="I702" s="9" t="n">
        <v>0</v>
      </c>
      <c r="J702" s="9" t="n">
        <v>0</v>
      </c>
      <c r="K702" s="52" t="n">
        <v>0</v>
      </c>
      <c r="L702" s="58" t="n">
        <v>26.1</v>
      </c>
      <c r="M702" s="59"/>
      <c r="N702" s="9" t="n">
        <v>0.894521</v>
      </c>
      <c r="O702" s="8" t="n">
        <v>0</v>
      </c>
      <c r="P702" s="9" t="n">
        <v>96</v>
      </c>
      <c r="Q702" s="7" t="s">
        <v>2098</v>
      </c>
      <c r="R702" s="7" t="s">
        <v>2572</v>
      </c>
      <c r="S702" s="58" t="n">
        <v>0</v>
      </c>
      <c r="T702" s="9" t="n">
        <v>1</v>
      </c>
      <c r="U702" s="56" t="n">
        <f aca="false">I702*O702</f>
        <v>0</v>
      </c>
      <c r="V702" s="56" t="n">
        <f aca="false">J702*O702</f>
        <v>0</v>
      </c>
      <c r="W702" s="56" t="n">
        <f aca="false">((I702+J702)/2)*O702</f>
        <v>0</v>
      </c>
      <c r="X702" s="56" t="n">
        <f aca="false">H702*O702</f>
        <v>0</v>
      </c>
    </row>
    <row r="703" customFormat="false" ht="22.35" hidden="false" customHeight="false" outlineLevel="0" collapsed="false">
      <c r="A703" s="76" t="s">
        <v>2063</v>
      </c>
      <c r="B703" s="49" t="s">
        <v>3248</v>
      </c>
      <c r="C703" s="49" t="s">
        <v>3249</v>
      </c>
      <c r="D703" s="49" t="s">
        <v>2570</v>
      </c>
      <c r="E703" s="77" t="s">
        <v>2571</v>
      </c>
      <c r="F703" s="49" t="s">
        <v>2097</v>
      </c>
      <c r="G703" s="49" t="s">
        <v>2097</v>
      </c>
      <c r="H703" s="51" t="n">
        <v>12</v>
      </c>
      <c r="I703" s="51" t="n">
        <v>0</v>
      </c>
      <c r="J703" s="51" t="n">
        <v>0</v>
      </c>
      <c r="K703" s="52" t="n">
        <v>0</v>
      </c>
      <c r="L703" s="53" t="n">
        <v>26.1</v>
      </c>
      <c r="M703" s="54"/>
      <c r="N703" s="51" t="n">
        <v>0.09589</v>
      </c>
      <c r="O703" s="55" t="n">
        <v>0</v>
      </c>
      <c r="P703" s="51" t="n">
        <v>12</v>
      </c>
      <c r="Q703" s="49" t="s">
        <v>2098</v>
      </c>
      <c r="R703" s="49" t="s">
        <v>2572</v>
      </c>
      <c r="S703" s="53" t="n">
        <v>0</v>
      </c>
      <c r="T703" s="51" t="n">
        <v>1</v>
      </c>
      <c r="U703" s="56" t="n">
        <f aca="false">I703*O703</f>
        <v>0</v>
      </c>
      <c r="V703" s="56" t="n">
        <f aca="false">J703*O703</f>
        <v>0</v>
      </c>
      <c r="W703" s="56" t="n">
        <f aca="false">((I703+J703)/2)*O703</f>
        <v>0</v>
      </c>
      <c r="X703" s="56" t="n">
        <f aca="false">H703*O703</f>
        <v>0</v>
      </c>
    </row>
    <row r="704" customFormat="false" ht="22.35" hidden="false" customHeight="false" outlineLevel="0" collapsed="false">
      <c r="A704" s="76" t="s">
        <v>2063</v>
      </c>
      <c r="B704" s="7" t="s">
        <v>3250</v>
      </c>
      <c r="C704" s="7" t="s">
        <v>3251</v>
      </c>
      <c r="D704" s="7" t="s">
        <v>2570</v>
      </c>
      <c r="E704" s="77" t="s">
        <v>2571</v>
      </c>
      <c r="F704" s="7" t="s">
        <v>2097</v>
      </c>
      <c r="G704" s="7" t="s">
        <v>2097</v>
      </c>
      <c r="H704" s="9" t="n">
        <v>8</v>
      </c>
      <c r="I704" s="9" t="n">
        <v>0</v>
      </c>
      <c r="J704" s="9" t="n">
        <v>0</v>
      </c>
      <c r="K704" s="52" t="n">
        <v>0</v>
      </c>
      <c r="L704" s="58" t="n">
        <v>26.1</v>
      </c>
      <c r="M704" s="59"/>
      <c r="N704" s="9" t="n">
        <v>0.00137</v>
      </c>
      <c r="O704" s="8" t="n">
        <v>0</v>
      </c>
      <c r="P704" s="9" t="n">
        <v>8</v>
      </c>
      <c r="Q704" s="7" t="s">
        <v>2098</v>
      </c>
      <c r="R704" s="7" t="s">
        <v>2572</v>
      </c>
      <c r="S704" s="58" t="n">
        <v>0</v>
      </c>
      <c r="T704" s="9" t="n">
        <v>1</v>
      </c>
      <c r="U704" s="56" t="n">
        <f aca="false">I704*O704</f>
        <v>0</v>
      </c>
      <c r="V704" s="56" t="n">
        <f aca="false">J704*O704</f>
        <v>0</v>
      </c>
      <c r="W704" s="56" t="n">
        <f aca="false">((I704+J704)/2)*O704</f>
        <v>0</v>
      </c>
      <c r="X704" s="56" t="n">
        <f aca="false">H704*O704</f>
        <v>0</v>
      </c>
    </row>
    <row r="705" customFormat="false" ht="22.35" hidden="false" customHeight="false" outlineLevel="0" collapsed="false">
      <c r="A705" s="76" t="s">
        <v>2063</v>
      </c>
      <c r="B705" s="49" t="s">
        <v>3252</v>
      </c>
      <c r="C705" s="49" t="s">
        <v>3253</v>
      </c>
      <c r="D705" s="49" t="s">
        <v>2570</v>
      </c>
      <c r="E705" s="77" t="s">
        <v>2571</v>
      </c>
      <c r="F705" s="49" t="s">
        <v>2097</v>
      </c>
      <c r="G705" s="49" t="s">
        <v>2097</v>
      </c>
      <c r="H705" s="51" t="n">
        <v>16</v>
      </c>
      <c r="I705" s="51" t="n">
        <v>0</v>
      </c>
      <c r="J705" s="51" t="n">
        <v>0</v>
      </c>
      <c r="K705" s="52" t="n">
        <v>0</v>
      </c>
      <c r="L705" s="53" t="n">
        <v>49.6</v>
      </c>
      <c r="M705" s="54" t="n">
        <v>100</v>
      </c>
      <c r="N705" s="51" t="n">
        <v>0.217808</v>
      </c>
      <c r="O705" s="55" t="n">
        <v>0</v>
      </c>
      <c r="P705" s="51" t="n">
        <v>16</v>
      </c>
      <c r="Q705" s="49" t="s">
        <v>2098</v>
      </c>
      <c r="R705" s="49" t="s">
        <v>2572</v>
      </c>
      <c r="S705" s="53" t="n">
        <v>0</v>
      </c>
      <c r="T705" s="51" t="n">
        <v>1</v>
      </c>
      <c r="U705" s="56" t="n">
        <f aca="false">I705*O705</f>
        <v>0</v>
      </c>
      <c r="V705" s="56" t="n">
        <f aca="false">J705*O705</f>
        <v>0</v>
      </c>
      <c r="W705" s="56" t="n">
        <f aca="false">((I705+J705)/2)*O705</f>
        <v>0</v>
      </c>
      <c r="X705" s="56" t="n">
        <f aca="false">H705*O705</f>
        <v>0</v>
      </c>
    </row>
    <row r="706" customFormat="false" ht="22.35" hidden="false" customHeight="false" outlineLevel="0" collapsed="false">
      <c r="A706" s="76" t="s">
        <v>2063</v>
      </c>
      <c r="B706" s="7" t="s">
        <v>3254</v>
      </c>
      <c r="C706" s="7" t="s">
        <v>3255</v>
      </c>
      <c r="D706" s="7" t="s">
        <v>2570</v>
      </c>
      <c r="E706" s="77" t="s">
        <v>2571</v>
      </c>
      <c r="F706" s="7" t="s">
        <v>2097</v>
      </c>
      <c r="G706" s="7" t="s">
        <v>2097</v>
      </c>
      <c r="H706" s="9" t="n">
        <v>24</v>
      </c>
      <c r="I706" s="9" t="n">
        <v>0</v>
      </c>
      <c r="J706" s="9" t="n">
        <v>0</v>
      </c>
      <c r="K706" s="52" t="n">
        <v>0</v>
      </c>
      <c r="L706" s="58" t="n">
        <v>33</v>
      </c>
      <c r="M706" s="59" t="n">
        <v>100</v>
      </c>
      <c r="N706" s="9" t="n">
        <v>0.315068</v>
      </c>
      <c r="O706" s="8" t="n">
        <v>0</v>
      </c>
      <c r="P706" s="9" t="n">
        <v>24</v>
      </c>
      <c r="Q706" s="7" t="s">
        <v>2098</v>
      </c>
      <c r="R706" s="7" t="s">
        <v>2572</v>
      </c>
      <c r="S706" s="58" t="n">
        <v>0</v>
      </c>
      <c r="T706" s="9" t="n">
        <v>96</v>
      </c>
      <c r="U706" s="56" t="n">
        <f aca="false">I706*O706</f>
        <v>0</v>
      </c>
      <c r="V706" s="56" t="n">
        <f aca="false">J706*O706</f>
        <v>0</v>
      </c>
      <c r="W706" s="56" t="n">
        <f aca="false">((I706+J706)/2)*O706</f>
        <v>0</v>
      </c>
      <c r="X706" s="56" t="n">
        <f aca="false">H706*O706</f>
        <v>0</v>
      </c>
    </row>
    <row r="707" customFormat="false" ht="22.35" hidden="false" customHeight="false" outlineLevel="0" collapsed="false">
      <c r="A707" s="76" t="s">
        <v>2063</v>
      </c>
      <c r="B707" s="49" t="s">
        <v>3256</v>
      </c>
      <c r="C707" s="49" t="s">
        <v>3257</v>
      </c>
      <c r="D707" s="49" t="s">
        <v>2570</v>
      </c>
      <c r="E707" s="77" t="s">
        <v>2571</v>
      </c>
      <c r="F707" s="49" t="s">
        <v>2097</v>
      </c>
      <c r="G707" s="49" t="s">
        <v>2097</v>
      </c>
      <c r="H707" s="51" t="n">
        <v>48</v>
      </c>
      <c r="I707" s="51" t="n">
        <v>0</v>
      </c>
      <c r="J707" s="51" t="n">
        <v>0</v>
      </c>
      <c r="K707" s="52" t="n">
        <v>0</v>
      </c>
      <c r="L707" s="53" t="n">
        <v>37.1</v>
      </c>
      <c r="M707" s="54" t="n">
        <v>100</v>
      </c>
      <c r="N707" s="51" t="n">
        <v>0.569863</v>
      </c>
      <c r="O707" s="55" t="n">
        <v>0</v>
      </c>
      <c r="P707" s="51" t="n">
        <v>48</v>
      </c>
      <c r="Q707" s="49" t="s">
        <v>2098</v>
      </c>
      <c r="R707" s="49" t="s">
        <v>2572</v>
      </c>
      <c r="S707" s="53" t="n">
        <v>0</v>
      </c>
      <c r="T707" s="51" t="n">
        <v>1</v>
      </c>
      <c r="U707" s="56" t="n">
        <f aca="false">I707*O707</f>
        <v>0</v>
      </c>
      <c r="V707" s="56" t="n">
        <f aca="false">J707*O707</f>
        <v>0</v>
      </c>
      <c r="W707" s="56" t="n">
        <f aca="false">((I707+J707)/2)*O707</f>
        <v>0</v>
      </c>
      <c r="X707" s="56" t="n">
        <f aca="false">H707*O707</f>
        <v>0</v>
      </c>
    </row>
    <row r="708" customFormat="false" ht="22.35" hidden="false" customHeight="false" outlineLevel="0" collapsed="false">
      <c r="A708" s="76" t="s">
        <v>2063</v>
      </c>
      <c r="B708" s="7" t="s">
        <v>3258</v>
      </c>
      <c r="C708" s="7" t="s">
        <v>3259</v>
      </c>
      <c r="D708" s="7" t="s">
        <v>2570</v>
      </c>
      <c r="E708" s="77" t="s">
        <v>2571</v>
      </c>
      <c r="F708" s="7" t="s">
        <v>2097</v>
      </c>
      <c r="G708" s="7" t="s">
        <v>2097</v>
      </c>
      <c r="H708" s="9" t="n">
        <v>12</v>
      </c>
      <c r="I708" s="9" t="n">
        <v>0</v>
      </c>
      <c r="J708" s="9" t="n">
        <v>0</v>
      </c>
      <c r="K708" s="52" t="n">
        <v>0</v>
      </c>
      <c r="L708" s="58" t="n">
        <v>26.1</v>
      </c>
      <c r="M708" s="59"/>
      <c r="N708" s="9" t="n">
        <v>0.193151</v>
      </c>
      <c r="O708" s="8" t="n">
        <v>0</v>
      </c>
      <c r="P708" s="9" t="n">
        <v>12</v>
      </c>
      <c r="Q708" s="7" t="s">
        <v>2098</v>
      </c>
      <c r="R708" s="7" t="s">
        <v>2572</v>
      </c>
      <c r="S708" s="58" t="n">
        <v>0</v>
      </c>
      <c r="T708" s="9" t="n">
        <v>1</v>
      </c>
      <c r="U708" s="56" t="n">
        <f aca="false">I708*O708</f>
        <v>0</v>
      </c>
      <c r="V708" s="56" t="n">
        <f aca="false">J708*O708</f>
        <v>0</v>
      </c>
      <c r="W708" s="56" t="n">
        <f aca="false">((I708+J708)/2)*O708</f>
        <v>0</v>
      </c>
      <c r="X708" s="56" t="n">
        <f aca="false">H708*O708</f>
        <v>0</v>
      </c>
    </row>
    <row r="709" customFormat="false" ht="22.35" hidden="false" customHeight="false" outlineLevel="0" collapsed="false">
      <c r="A709" s="76" t="s">
        <v>2063</v>
      </c>
      <c r="B709" s="49" t="s">
        <v>3260</v>
      </c>
      <c r="C709" s="49" t="s">
        <v>3261</v>
      </c>
      <c r="D709" s="49" t="s">
        <v>2570</v>
      </c>
      <c r="E709" s="77" t="s">
        <v>2571</v>
      </c>
      <c r="F709" s="49" t="s">
        <v>2097</v>
      </c>
      <c r="G709" s="49" t="s">
        <v>2097</v>
      </c>
      <c r="H709" s="51" t="n">
        <v>1</v>
      </c>
      <c r="I709" s="51" t="n">
        <v>0</v>
      </c>
      <c r="J709" s="51" t="n">
        <v>0</v>
      </c>
      <c r="K709" s="52" t="n">
        <v>0</v>
      </c>
      <c r="L709" s="53" t="n">
        <v>4.2</v>
      </c>
      <c r="M709" s="54" t="n">
        <v>100</v>
      </c>
      <c r="N709" s="51" t="n">
        <v>0</v>
      </c>
      <c r="O709" s="55" t="n">
        <v>0</v>
      </c>
      <c r="P709" s="51" t="n">
        <v>1</v>
      </c>
      <c r="Q709" s="49" t="s">
        <v>2098</v>
      </c>
      <c r="R709" s="49" t="s">
        <v>2572</v>
      </c>
      <c r="S709" s="53" t="n">
        <v>0</v>
      </c>
      <c r="T709" s="51" t="n">
        <v>1</v>
      </c>
      <c r="U709" s="56" t="n">
        <f aca="false">I709*O709</f>
        <v>0</v>
      </c>
      <c r="V709" s="56" t="n">
        <f aca="false">J709*O709</f>
        <v>0</v>
      </c>
      <c r="W709" s="56" t="n">
        <f aca="false">((I709+J709)/2)*O709</f>
        <v>0</v>
      </c>
      <c r="X709" s="56" t="n">
        <f aca="false">H709*O709</f>
        <v>0</v>
      </c>
    </row>
    <row r="710" customFormat="false" ht="22.35" hidden="false" customHeight="false" outlineLevel="0" collapsed="false">
      <c r="A710" s="76" t="s">
        <v>2063</v>
      </c>
      <c r="B710" s="7" t="s">
        <v>3262</v>
      </c>
      <c r="C710" s="7" t="s">
        <v>3263</v>
      </c>
      <c r="D710" s="7" t="s">
        <v>2570</v>
      </c>
      <c r="E710" s="77" t="s">
        <v>2571</v>
      </c>
      <c r="F710" s="7" t="s">
        <v>2097</v>
      </c>
      <c r="G710" s="7" t="s">
        <v>2097</v>
      </c>
      <c r="H710" s="9" t="n">
        <v>376</v>
      </c>
      <c r="I710" s="9" t="n">
        <v>0</v>
      </c>
      <c r="J710" s="9" t="n">
        <v>0</v>
      </c>
      <c r="K710" s="52" t="n">
        <v>0</v>
      </c>
      <c r="L710" s="58" t="n">
        <v>26.1</v>
      </c>
      <c r="M710" s="59"/>
      <c r="N710" s="9" t="n">
        <v>7.646575</v>
      </c>
      <c r="O710" s="8" t="n">
        <v>0</v>
      </c>
      <c r="P710" s="9" t="n">
        <v>376</v>
      </c>
      <c r="Q710" s="7" t="s">
        <v>2098</v>
      </c>
      <c r="R710" s="7" t="s">
        <v>2572</v>
      </c>
      <c r="S710" s="58" t="n">
        <v>0</v>
      </c>
      <c r="T710" s="9" t="n">
        <v>1</v>
      </c>
      <c r="U710" s="56" t="n">
        <f aca="false">I710*O710</f>
        <v>0</v>
      </c>
      <c r="V710" s="56" t="n">
        <f aca="false">J710*O710</f>
        <v>0</v>
      </c>
      <c r="W710" s="56" t="n">
        <f aca="false">((I710+J710)/2)*O710</f>
        <v>0</v>
      </c>
      <c r="X710" s="56" t="n">
        <f aca="false">H710*O710</f>
        <v>0</v>
      </c>
    </row>
    <row r="711" customFormat="false" ht="22.35" hidden="false" customHeight="false" outlineLevel="0" collapsed="false">
      <c r="A711" s="76" t="s">
        <v>2063</v>
      </c>
      <c r="B711" s="49" t="s">
        <v>3264</v>
      </c>
      <c r="C711" s="49" t="s">
        <v>3263</v>
      </c>
      <c r="D711" s="49" t="s">
        <v>2570</v>
      </c>
      <c r="E711" s="77" t="s">
        <v>2571</v>
      </c>
      <c r="F711" s="49" t="s">
        <v>2097</v>
      </c>
      <c r="G711" s="49" t="s">
        <v>2097</v>
      </c>
      <c r="H711" s="51" t="n">
        <v>120</v>
      </c>
      <c r="I711" s="51" t="n">
        <v>0</v>
      </c>
      <c r="J711" s="51" t="n">
        <v>0</v>
      </c>
      <c r="K711" s="52" t="n">
        <v>0</v>
      </c>
      <c r="L711" s="53" t="n">
        <v>26.1</v>
      </c>
      <c r="M711" s="54"/>
      <c r="N711" s="51" t="n">
        <v>2.071233</v>
      </c>
      <c r="O711" s="55" t="n">
        <v>0</v>
      </c>
      <c r="P711" s="51" t="n">
        <v>120</v>
      </c>
      <c r="Q711" s="49" t="s">
        <v>2098</v>
      </c>
      <c r="R711" s="49" t="s">
        <v>2572</v>
      </c>
      <c r="S711" s="53" t="n">
        <v>0</v>
      </c>
      <c r="T711" s="51" t="n">
        <v>1</v>
      </c>
      <c r="U711" s="56" t="n">
        <f aca="false">I711*O711</f>
        <v>0</v>
      </c>
      <c r="V711" s="56" t="n">
        <f aca="false">J711*O711</f>
        <v>0</v>
      </c>
      <c r="W711" s="56" t="n">
        <f aca="false">((I711+J711)/2)*O711</f>
        <v>0</v>
      </c>
      <c r="X711" s="56" t="n">
        <f aca="false">H711*O711</f>
        <v>0</v>
      </c>
    </row>
    <row r="712" customFormat="false" ht="22.35" hidden="false" customHeight="false" outlineLevel="0" collapsed="false">
      <c r="A712" s="76" t="s">
        <v>2063</v>
      </c>
      <c r="B712" s="7" t="s">
        <v>3265</v>
      </c>
      <c r="C712" s="7" t="s">
        <v>3266</v>
      </c>
      <c r="D712" s="7" t="s">
        <v>2570</v>
      </c>
      <c r="E712" s="77" t="s">
        <v>2571</v>
      </c>
      <c r="F712" s="7" t="s">
        <v>2097</v>
      </c>
      <c r="G712" s="7" t="s">
        <v>2097</v>
      </c>
      <c r="H712" s="9" t="n">
        <v>376</v>
      </c>
      <c r="I712" s="9" t="n">
        <v>0</v>
      </c>
      <c r="J712" s="9" t="n">
        <v>0</v>
      </c>
      <c r="K712" s="52" t="n">
        <v>0</v>
      </c>
      <c r="L712" s="58" t="n">
        <v>26.1</v>
      </c>
      <c r="M712" s="59"/>
      <c r="N712" s="9" t="n">
        <v>7.724658</v>
      </c>
      <c r="O712" s="8" t="n">
        <v>0</v>
      </c>
      <c r="P712" s="9" t="n">
        <v>376</v>
      </c>
      <c r="Q712" s="7" t="s">
        <v>2098</v>
      </c>
      <c r="R712" s="7" t="s">
        <v>2572</v>
      </c>
      <c r="S712" s="58" t="n">
        <v>0</v>
      </c>
      <c r="T712" s="9" t="n">
        <v>1</v>
      </c>
      <c r="U712" s="56" t="n">
        <f aca="false">I712*O712</f>
        <v>0</v>
      </c>
      <c r="V712" s="56" t="n">
        <f aca="false">J712*O712</f>
        <v>0</v>
      </c>
      <c r="W712" s="56" t="n">
        <f aca="false">((I712+J712)/2)*O712</f>
        <v>0</v>
      </c>
      <c r="X712" s="56" t="n">
        <f aca="false">H712*O712</f>
        <v>0</v>
      </c>
    </row>
    <row r="713" customFormat="false" ht="22.35" hidden="false" customHeight="false" outlineLevel="0" collapsed="false">
      <c r="A713" s="76" t="s">
        <v>2063</v>
      </c>
      <c r="B713" s="49" t="s">
        <v>3267</v>
      </c>
      <c r="C713" s="49" t="s">
        <v>3266</v>
      </c>
      <c r="D713" s="49" t="s">
        <v>2570</v>
      </c>
      <c r="E713" s="77" t="s">
        <v>2571</v>
      </c>
      <c r="F713" s="49" t="s">
        <v>2097</v>
      </c>
      <c r="G713" s="49" t="s">
        <v>2097</v>
      </c>
      <c r="H713" s="51" t="n">
        <v>112</v>
      </c>
      <c r="I713" s="51" t="n">
        <v>0</v>
      </c>
      <c r="J713" s="51" t="n">
        <v>0</v>
      </c>
      <c r="K713" s="52" t="n">
        <v>0</v>
      </c>
      <c r="L713" s="53" t="n">
        <v>26.1</v>
      </c>
      <c r="M713" s="54"/>
      <c r="N713" s="51" t="n">
        <v>2.075342</v>
      </c>
      <c r="O713" s="55" t="n">
        <v>0</v>
      </c>
      <c r="P713" s="51" t="n">
        <v>112</v>
      </c>
      <c r="Q713" s="49" t="s">
        <v>2098</v>
      </c>
      <c r="R713" s="49" t="s">
        <v>2572</v>
      </c>
      <c r="S713" s="53" t="n">
        <v>0</v>
      </c>
      <c r="T713" s="51" t="n">
        <v>1</v>
      </c>
      <c r="U713" s="56" t="n">
        <f aca="false">I713*O713</f>
        <v>0</v>
      </c>
      <c r="V713" s="56" t="n">
        <f aca="false">J713*O713</f>
        <v>0</v>
      </c>
      <c r="W713" s="56" t="n">
        <f aca="false">((I713+J713)/2)*O713</f>
        <v>0</v>
      </c>
      <c r="X713" s="56" t="n">
        <f aca="false">H713*O713</f>
        <v>0</v>
      </c>
    </row>
    <row r="714" customFormat="false" ht="22.35" hidden="false" customHeight="false" outlineLevel="0" collapsed="false">
      <c r="A714" s="76" t="s">
        <v>2063</v>
      </c>
      <c r="B714" s="7" t="s">
        <v>3268</v>
      </c>
      <c r="C714" s="7" t="s">
        <v>3269</v>
      </c>
      <c r="D714" s="7" t="s">
        <v>2570</v>
      </c>
      <c r="E714" s="77" t="s">
        <v>2571</v>
      </c>
      <c r="F714" s="7" t="s">
        <v>2097</v>
      </c>
      <c r="G714" s="7" t="s">
        <v>2097</v>
      </c>
      <c r="H714" s="9" t="n">
        <v>432</v>
      </c>
      <c r="I714" s="9" t="n">
        <v>0</v>
      </c>
      <c r="J714" s="9" t="n">
        <v>0</v>
      </c>
      <c r="K714" s="52" t="n">
        <v>0</v>
      </c>
      <c r="L714" s="58" t="n">
        <v>26.1</v>
      </c>
      <c r="M714" s="59"/>
      <c r="N714" s="9" t="n">
        <v>7.771233</v>
      </c>
      <c r="O714" s="8" t="n">
        <v>0</v>
      </c>
      <c r="P714" s="9" t="n">
        <v>432</v>
      </c>
      <c r="Q714" s="7" t="s">
        <v>2098</v>
      </c>
      <c r="R714" s="7" t="s">
        <v>2572</v>
      </c>
      <c r="S714" s="58" t="n">
        <v>0</v>
      </c>
      <c r="T714" s="9" t="n">
        <v>1</v>
      </c>
      <c r="U714" s="56" t="n">
        <f aca="false">I714*O714</f>
        <v>0</v>
      </c>
      <c r="V714" s="56" t="n">
        <f aca="false">J714*O714</f>
        <v>0</v>
      </c>
      <c r="W714" s="56" t="n">
        <f aca="false">((I714+J714)/2)*O714</f>
        <v>0</v>
      </c>
      <c r="X714" s="56" t="n">
        <f aca="false">H714*O714</f>
        <v>0</v>
      </c>
    </row>
    <row r="715" customFormat="false" ht="22.35" hidden="false" customHeight="false" outlineLevel="0" collapsed="false">
      <c r="A715" s="76" t="s">
        <v>2063</v>
      </c>
      <c r="B715" s="49" t="s">
        <v>3270</v>
      </c>
      <c r="C715" s="49" t="s">
        <v>3269</v>
      </c>
      <c r="D715" s="49" t="s">
        <v>2570</v>
      </c>
      <c r="E715" s="77" t="s">
        <v>2571</v>
      </c>
      <c r="F715" s="49" t="s">
        <v>2097</v>
      </c>
      <c r="G715" s="49" t="s">
        <v>2097</v>
      </c>
      <c r="H715" s="51" t="n">
        <v>144</v>
      </c>
      <c r="I715" s="51" t="n">
        <v>0</v>
      </c>
      <c r="J715" s="51" t="n">
        <v>0</v>
      </c>
      <c r="K715" s="52" t="n">
        <v>0</v>
      </c>
      <c r="L715" s="53" t="n">
        <v>26.1</v>
      </c>
      <c r="M715" s="54"/>
      <c r="N715" s="51" t="n">
        <v>2.013699</v>
      </c>
      <c r="O715" s="55" t="n">
        <v>0</v>
      </c>
      <c r="P715" s="51" t="n">
        <v>144</v>
      </c>
      <c r="Q715" s="49" t="s">
        <v>2098</v>
      </c>
      <c r="R715" s="49" t="s">
        <v>2572</v>
      </c>
      <c r="S715" s="53" t="n">
        <v>0</v>
      </c>
      <c r="T715" s="51" t="n">
        <v>1</v>
      </c>
      <c r="U715" s="56" t="n">
        <f aca="false">I715*O715</f>
        <v>0</v>
      </c>
      <c r="V715" s="56" t="n">
        <f aca="false">J715*O715</f>
        <v>0</v>
      </c>
      <c r="W715" s="56" t="n">
        <f aca="false">((I715+J715)/2)*O715</f>
        <v>0</v>
      </c>
      <c r="X715" s="56" t="n">
        <f aca="false">H715*O715</f>
        <v>0</v>
      </c>
    </row>
    <row r="716" customFormat="false" ht="22.35" hidden="false" customHeight="false" outlineLevel="0" collapsed="false">
      <c r="A716" s="76" t="s">
        <v>2063</v>
      </c>
      <c r="B716" s="7" t="s">
        <v>3271</v>
      </c>
      <c r="C716" s="7" t="s">
        <v>3272</v>
      </c>
      <c r="D716" s="7" t="s">
        <v>2570</v>
      </c>
      <c r="E716" s="77" t="s">
        <v>2571</v>
      </c>
      <c r="F716" s="7" t="s">
        <v>2097</v>
      </c>
      <c r="G716" s="7" t="s">
        <v>2097</v>
      </c>
      <c r="H716" s="9" t="n">
        <v>144</v>
      </c>
      <c r="I716" s="9" t="n">
        <v>0</v>
      </c>
      <c r="J716" s="9" t="n">
        <v>0</v>
      </c>
      <c r="K716" s="52" t="n">
        <v>0</v>
      </c>
      <c r="L716" s="58" t="n">
        <v>26.1</v>
      </c>
      <c r="M716" s="59"/>
      <c r="N716" s="9" t="n">
        <v>1.717808</v>
      </c>
      <c r="O716" s="8" t="n">
        <v>0</v>
      </c>
      <c r="P716" s="9" t="n">
        <v>144</v>
      </c>
      <c r="Q716" s="7" t="s">
        <v>2098</v>
      </c>
      <c r="R716" s="7" t="s">
        <v>2572</v>
      </c>
      <c r="S716" s="58" t="n">
        <v>0</v>
      </c>
      <c r="T716" s="9" t="n">
        <v>48</v>
      </c>
      <c r="U716" s="56" t="n">
        <f aca="false">I716*O716</f>
        <v>0</v>
      </c>
      <c r="V716" s="56" t="n">
        <f aca="false">J716*O716</f>
        <v>0</v>
      </c>
      <c r="W716" s="56" t="n">
        <f aca="false">((I716+J716)/2)*O716</f>
        <v>0</v>
      </c>
      <c r="X716" s="56" t="n">
        <f aca="false">H716*O716</f>
        <v>0</v>
      </c>
    </row>
    <row r="717" customFormat="false" ht="22.35" hidden="false" customHeight="false" outlineLevel="0" collapsed="false">
      <c r="A717" s="76" t="s">
        <v>2063</v>
      </c>
      <c r="B717" s="49" t="s">
        <v>3273</v>
      </c>
      <c r="C717" s="49" t="s">
        <v>3272</v>
      </c>
      <c r="D717" s="49" t="s">
        <v>2570</v>
      </c>
      <c r="E717" s="77" t="s">
        <v>2571</v>
      </c>
      <c r="F717" s="49" t="s">
        <v>2097</v>
      </c>
      <c r="G717" s="49" t="s">
        <v>2097</v>
      </c>
      <c r="H717" s="51" t="n">
        <v>12</v>
      </c>
      <c r="I717" s="51" t="n">
        <v>0</v>
      </c>
      <c r="J717" s="51" t="n">
        <v>0</v>
      </c>
      <c r="K717" s="52" t="n">
        <v>0</v>
      </c>
      <c r="L717" s="53" t="n">
        <v>26.1</v>
      </c>
      <c r="M717" s="54"/>
      <c r="N717" s="51" t="n">
        <v>0.145205</v>
      </c>
      <c r="O717" s="55" t="n">
        <v>0</v>
      </c>
      <c r="P717" s="51" t="n">
        <v>12</v>
      </c>
      <c r="Q717" s="49" t="s">
        <v>2098</v>
      </c>
      <c r="R717" s="49" t="s">
        <v>2572</v>
      </c>
      <c r="S717" s="53" t="n">
        <v>0</v>
      </c>
      <c r="T717" s="51" t="n">
        <v>12</v>
      </c>
      <c r="U717" s="56" t="n">
        <f aca="false">I717*O717</f>
        <v>0</v>
      </c>
      <c r="V717" s="56" t="n">
        <f aca="false">J717*O717</f>
        <v>0</v>
      </c>
      <c r="W717" s="56" t="n">
        <f aca="false">((I717+J717)/2)*O717</f>
        <v>0</v>
      </c>
      <c r="X717" s="56" t="n">
        <f aca="false">H717*O717</f>
        <v>0</v>
      </c>
    </row>
    <row r="718" customFormat="false" ht="22.35" hidden="false" customHeight="false" outlineLevel="0" collapsed="false">
      <c r="A718" s="76" t="s">
        <v>2063</v>
      </c>
      <c r="B718" s="7" t="s">
        <v>3274</v>
      </c>
      <c r="C718" s="7" t="s">
        <v>3275</v>
      </c>
      <c r="D718" s="7" t="s">
        <v>2570</v>
      </c>
      <c r="E718" s="77" t="s">
        <v>2571</v>
      </c>
      <c r="F718" s="7" t="s">
        <v>2097</v>
      </c>
      <c r="G718" s="7" t="s">
        <v>2097</v>
      </c>
      <c r="H718" s="9" t="n">
        <v>288</v>
      </c>
      <c r="I718" s="9" t="n">
        <v>0</v>
      </c>
      <c r="J718" s="9" t="n">
        <v>0</v>
      </c>
      <c r="K718" s="52" t="n">
        <v>0</v>
      </c>
      <c r="L718" s="58" t="n">
        <v>26.1</v>
      </c>
      <c r="M718" s="59"/>
      <c r="N718" s="9" t="n">
        <v>4.932877</v>
      </c>
      <c r="O718" s="8" t="n">
        <v>0</v>
      </c>
      <c r="P718" s="9" t="n">
        <v>288</v>
      </c>
      <c r="Q718" s="7" t="s">
        <v>2098</v>
      </c>
      <c r="R718" s="7" t="s">
        <v>2572</v>
      </c>
      <c r="S718" s="58" t="n">
        <v>0</v>
      </c>
      <c r="T718" s="9" t="n">
        <v>48</v>
      </c>
      <c r="U718" s="56" t="n">
        <f aca="false">I718*O718</f>
        <v>0</v>
      </c>
      <c r="V718" s="56" t="n">
        <f aca="false">J718*O718</f>
        <v>0</v>
      </c>
      <c r="W718" s="56" t="n">
        <f aca="false">((I718+J718)/2)*O718</f>
        <v>0</v>
      </c>
      <c r="X718" s="56" t="n">
        <f aca="false">H718*O718</f>
        <v>0</v>
      </c>
    </row>
    <row r="719" customFormat="false" ht="22.35" hidden="false" customHeight="false" outlineLevel="0" collapsed="false">
      <c r="A719" s="76" t="s">
        <v>2063</v>
      </c>
      <c r="B719" s="49" t="s">
        <v>3276</v>
      </c>
      <c r="C719" s="49" t="s">
        <v>3275</v>
      </c>
      <c r="D719" s="49" t="s">
        <v>2570</v>
      </c>
      <c r="E719" s="77" t="s">
        <v>2571</v>
      </c>
      <c r="F719" s="49" t="s">
        <v>2097</v>
      </c>
      <c r="G719" s="49" t="s">
        <v>2097</v>
      </c>
      <c r="H719" s="51" t="n">
        <v>96</v>
      </c>
      <c r="I719" s="51" t="n">
        <v>0</v>
      </c>
      <c r="J719" s="51" t="n">
        <v>0</v>
      </c>
      <c r="K719" s="52" t="n">
        <v>0</v>
      </c>
      <c r="L719" s="53" t="n">
        <v>26.1</v>
      </c>
      <c r="M719" s="54"/>
      <c r="N719" s="51" t="n">
        <v>1.445205</v>
      </c>
      <c r="O719" s="55" t="n">
        <v>0</v>
      </c>
      <c r="P719" s="51" t="n">
        <v>96</v>
      </c>
      <c r="Q719" s="49" t="s">
        <v>2098</v>
      </c>
      <c r="R719" s="49" t="s">
        <v>2572</v>
      </c>
      <c r="S719" s="53" t="n">
        <v>0</v>
      </c>
      <c r="T719" s="51" t="n">
        <v>24</v>
      </c>
      <c r="U719" s="56" t="n">
        <f aca="false">I719*O719</f>
        <v>0</v>
      </c>
      <c r="V719" s="56" t="n">
        <f aca="false">J719*O719</f>
        <v>0</v>
      </c>
      <c r="W719" s="56" t="n">
        <f aca="false">((I719+J719)/2)*O719</f>
        <v>0</v>
      </c>
      <c r="X719" s="56" t="n">
        <f aca="false">H719*O719</f>
        <v>0</v>
      </c>
    </row>
    <row r="720" customFormat="false" ht="22.35" hidden="false" customHeight="false" outlineLevel="0" collapsed="false">
      <c r="A720" s="76" t="s">
        <v>2063</v>
      </c>
      <c r="B720" s="7" t="s">
        <v>3277</v>
      </c>
      <c r="C720" s="7" t="s">
        <v>3278</v>
      </c>
      <c r="D720" s="7" t="s">
        <v>2570</v>
      </c>
      <c r="E720" s="77" t="s">
        <v>2571</v>
      </c>
      <c r="F720" s="7" t="s">
        <v>2097</v>
      </c>
      <c r="G720" s="7" t="s">
        <v>2097</v>
      </c>
      <c r="H720" s="9" t="n">
        <v>120</v>
      </c>
      <c r="I720" s="9" t="n">
        <v>0</v>
      </c>
      <c r="J720" s="9" t="n">
        <v>0</v>
      </c>
      <c r="K720" s="52" t="n">
        <v>0</v>
      </c>
      <c r="L720" s="58" t="n">
        <v>26.1</v>
      </c>
      <c r="M720" s="59"/>
      <c r="N720" s="9" t="n">
        <v>1.808219</v>
      </c>
      <c r="O720" s="8" t="n">
        <v>0</v>
      </c>
      <c r="P720" s="9" t="n">
        <v>120</v>
      </c>
      <c r="Q720" s="7" t="s">
        <v>2098</v>
      </c>
      <c r="R720" s="7" t="s">
        <v>2572</v>
      </c>
      <c r="S720" s="58" t="n">
        <v>0</v>
      </c>
      <c r="T720" s="9" t="n">
        <v>1</v>
      </c>
      <c r="U720" s="56" t="n">
        <f aca="false">I720*O720</f>
        <v>0</v>
      </c>
      <c r="V720" s="56" t="n">
        <f aca="false">J720*O720</f>
        <v>0</v>
      </c>
      <c r="W720" s="56" t="n">
        <f aca="false">((I720+J720)/2)*O720</f>
        <v>0</v>
      </c>
      <c r="X720" s="56" t="n">
        <f aca="false">H720*O720</f>
        <v>0</v>
      </c>
    </row>
    <row r="721" customFormat="false" ht="22.35" hidden="false" customHeight="false" outlineLevel="0" collapsed="false">
      <c r="A721" s="76" t="s">
        <v>2063</v>
      </c>
      <c r="B721" s="49" t="s">
        <v>3279</v>
      </c>
      <c r="C721" s="49" t="s">
        <v>3278</v>
      </c>
      <c r="D721" s="49" t="s">
        <v>2570</v>
      </c>
      <c r="E721" s="77" t="s">
        <v>2571</v>
      </c>
      <c r="F721" s="49" t="s">
        <v>2097</v>
      </c>
      <c r="G721" s="49" t="s">
        <v>2097</v>
      </c>
      <c r="H721" s="51" t="n">
        <v>32</v>
      </c>
      <c r="I721" s="51" t="n">
        <v>0</v>
      </c>
      <c r="J721" s="51" t="n">
        <v>0</v>
      </c>
      <c r="K721" s="52" t="n">
        <v>0</v>
      </c>
      <c r="L721" s="53" t="n">
        <v>26.1</v>
      </c>
      <c r="M721" s="54"/>
      <c r="N721" s="51" t="n">
        <v>0.582192</v>
      </c>
      <c r="O721" s="55" t="n">
        <v>0</v>
      </c>
      <c r="P721" s="51" t="n">
        <v>32</v>
      </c>
      <c r="Q721" s="49" t="s">
        <v>2098</v>
      </c>
      <c r="R721" s="49" t="s">
        <v>2572</v>
      </c>
      <c r="S721" s="53" t="n">
        <v>0</v>
      </c>
      <c r="T721" s="51" t="n">
        <v>1</v>
      </c>
      <c r="U721" s="56" t="n">
        <f aca="false">I721*O721</f>
        <v>0</v>
      </c>
      <c r="V721" s="56" t="n">
        <f aca="false">J721*O721</f>
        <v>0</v>
      </c>
      <c r="W721" s="56" t="n">
        <f aca="false">((I721+J721)/2)*O721</f>
        <v>0</v>
      </c>
      <c r="X721" s="56" t="n">
        <f aca="false">H721*O721</f>
        <v>0</v>
      </c>
    </row>
    <row r="722" customFormat="false" ht="22.35" hidden="false" customHeight="false" outlineLevel="0" collapsed="false">
      <c r="A722" s="76" t="s">
        <v>2063</v>
      </c>
      <c r="B722" s="7" t="s">
        <v>3280</v>
      </c>
      <c r="C722" s="7" t="s">
        <v>3281</v>
      </c>
      <c r="D722" s="7" t="s">
        <v>2570</v>
      </c>
      <c r="E722" s="77" t="s">
        <v>2571</v>
      </c>
      <c r="F722" s="7" t="s">
        <v>2097</v>
      </c>
      <c r="G722" s="7" t="s">
        <v>2097</v>
      </c>
      <c r="H722" s="9" t="n">
        <v>120</v>
      </c>
      <c r="I722" s="9" t="n">
        <v>0</v>
      </c>
      <c r="J722" s="9" t="n">
        <v>0</v>
      </c>
      <c r="K722" s="52" t="n">
        <v>0</v>
      </c>
      <c r="L722" s="58" t="n">
        <v>26.1</v>
      </c>
      <c r="M722" s="59"/>
      <c r="N722" s="9" t="n">
        <v>1.836986</v>
      </c>
      <c r="O722" s="8" t="n">
        <v>0</v>
      </c>
      <c r="P722" s="9" t="n">
        <v>120</v>
      </c>
      <c r="Q722" s="7" t="s">
        <v>2098</v>
      </c>
      <c r="R722" s="7" t="s">
        <v>2572</v>
      </c>
      <c r="S722" s="58" t="n">
        <v>0</v>
      </c>
      <c r="T722" s="9" t="n">
        <v>1</v>
      </c>
      <c r="U722" s="56" t="n">
        <f aca="false">I722*O722</f>
        <v>0</v>
      </c>
      <c r="V722" s="56" t="n">
        <f aca="false">J722*O722</f>
        <v>0</v>
      </c>
      <c r="W722" s="56" t="n">
        <f aca="false">((I722+J722)/2)*O722</f>
        <v>0</v>
      </c>
      <c r="X722" s="56" t="n">
        <f aca="false">H722*O722</f>
        <v>0</v>
      </c>
    </row>
    <row r="723" customFormat="false" ht="22.35" hidden="false" customHeight="false" outlineLevel="0" collapsed="false">
      <c r="A723" s="76" t="s">
        <v>2063</v>
      </c>
      <c r="B723" s="49" t="s">
        <v>3282</v>
      </c>
      <c r="C723" s="49" t="s">
        <v>3281</v>
      </c>
      <c r="D723" s="49" t="s">
        <v>2570</v>
      </c>
      <c r="E723" s="77" t="s">
        <v>2571</v>
      </c>
      <c r="F723" s="49" t="s">
        <v>2097</v>
      </c>
      <c r="G723" s="49" t="s">
        <v>2097</v>
      </c>
      <c r="H723" s="51" t="n">
        <v>36</v>
      </c>
      <c r="I723" s="51" t="n">
        <v>0</v>
      </c>
      <c r="J723" s="51" t="n">
        <v>0</v>
      </c>
      <c r="K723" s="52" t="n">
        <v>0</v>
      </c>
      <c r="L723" s="53" t="n">
        <v>26.1</v>
      </c>
      <c r="M723" s="54"/>
      <c r="N723" s="51" t="n">
        <v>0.594521</v>
      </c>
      <c r="O723" s="55" t="n">
        <v>0</v>
      </c>
      <c r="P723" s="51" t="n">
        <v>36</v>
      </c>
      <c r="Q723" s="49" t="s">
        <v>2098</v>
      </c>
      <c r="R723" s="49" t="s">
        <v>2572</v>
      </c>
      <c r="S723" s="53" t="n">
        <v>0</v>
      </c>
      <c r="T723" s="51" t="n">
        <v>1</v>
      </c>
      <c r="U723" s="56" t="n">
        <f aca="false">I723*O723</f>
        <v>0</v>
      </c>
      <c r="V723" s="56" t="n">
        <f aca="false">J723*O723</f>
        <v>0</v>
      </c>
      <c r="W723" s="56" t="n">
        <f aca="false">((I723+J723)/2)*O723</f>
        <v>0</v>
      </c>
      <c r="X723" s="56" t="n">
        <f aca="false">H723*O723</f>
        <v>0</v>
      </c>
    </row>
    <row r="724" customFormat="false" ht="22.35" hidden="false" customHeight="false" outlineLevel="0" collapsed="false">
      <c r="A724" s="76" t="s">
        <v>2063</v>
      </c>
      <c r="B724" s="7" t="s">
        <v>3283</v>
      </c>
      <c r="C724" s="7" t="s">
        <v>3284</v>
      </c>
      <c r="D724" s="7" t="s">
        <v>2570</v>
      </c>
      <c r="E724" s="77" t="s">
        <v>2571</v>
      </c>
      <c r="F724" s="7" t="s">
        <v>2097</v>
      </c>
      <c r="G724" s="7" t="s">
        <v>2097</v>
      </c>
      <c r="H724" s="9" t="n">
        <v>144</v>
      </c>
      <c r="I724" s="9" t="n">
        <v>0</v>
      </c>
      <c r="J724" s="9" t="n">
        <v>0</v>
      </c>
      <c r="K724" s="52" t="n">
        <v>0</v>
      </c>
      <c r="L724" s="58" t="n">
        <v>26.1</v>
      </c>
      <c r="M724" s="59"/>
      <c r="N724" s="9" t="n">
        <v>1.861644</v>
      </c>
      <c r="O724" s="8" t="n">
        <v>0</v>
      </c>
      <c r="P724" s="9" t="n">
        <v>144</v>
      </c>
      <c r="Q724" s="7" t="s">
        <v>2098</v>
      </c>
      <c r="R724" s="7" t="s">
        <v>2572</v>
      </c>
      <c r="S724" s="58" t="n">
        <v>0</v>
      </c>
      <c r="T724" s="9" t="n">
        <v>1</v>
      </c>
      <c r="U724" s="56" t="n">
        <f aca="false">I724*O724</f>
        <v>0</v>
      </c>
      <c r="V724" s="56" t="n">
        <f aca="false">J724*O724</f>
        <v>0</v>
      </c>
      <c r="W724" s="56" t="n">
        <f aca="false">((I724+J724)/2)*O724</f>
        <v>0</v>
      </c>
      <c r="X724" s="56" t="n">
        <f aca="false">H724*O724</f>
        <v>0</v>
      </c>
    </row>
    <row r="725" customFormat="false" ht="22.35" hidden="false" customHeight="false" outlineLevel="0" collapsed="false">
      <c r="A725" s="76" t="s">
        <v>2063</v>
      </c>
      <c r="B725" s="49" t="s">
        <v>3285</v>
      </c>
      <c r="C725" s="49" t="s">
        <v>3284</v>
      </c>
      <c r="D725" s="49" t="s">
        <v>2570</v>
      </c>
      <c r="E725" s="77" t="s">
        <v>2571</v>
      </c>
      <c r="F725" s="49" t="s">
        <v>2097</v>
      </c>
      <c r="G725" s="49" t="s">
        <v>2097</v>
      </c>
      <c r="H725" s="51" t="n">
        <v>32</v>
      </c>
      <c r="I725" s="51" t="n">
        <v>0</v>
      </c>
      <c r="J725" s="51" t="n">
        <v>0</v>
      </c>
      <c r="K725" s="52" t="n">
        <v>0</v>
      </c>
      <c r="L725" s="53" t="n">
        <v>26.1</v>
      </c>
      <c r="M725" s="54"/>
      <c r="N725" s="51" t="n">
        <v>0.571233</v>
      </c>
      <c r="O725" s="55" t="n">
        <v>0</v>
      </c>
      <c r="P725" s="51" t="n">
        <v>32</v>
      </c>
      <c r="Q725" s="49" t="s">
        <v>2098</v>
      </c>
      <c r="R725" s="49" t="s">
        <v>2572</v>
      </c>
      <c r="S725" s="53" t="n">
        <v>0</v>
      </c>
      <c r="T725" s="51" t="n">
        <v>1</v>
      </c>
      <c r="U725" s="56" t="n">
        <f aca="false">I725*O725</f>
        <v>0</v>
      </c>
      <c r="V725" s="56" t="n">
        <f aca="false">J725*O725</f>
        <v>0</v>
      </c>
      <c r="W725" s="56" t="n">
        <f aca="false">((I725+J725)/2)*O725</f>
        <v>0</v>
      </c>
      <c r="X725" s="56" t="n">
        <f aca="false">H725*O725</f>
        <v>0</v>
      </c>
    </row>
    <row r="726" customFormat="false" ht="22.35" hidden="false" customHeight="false" outlineLevel="0" collapsed="false">
      <c r="A726" s="76" t="s">
        <v>2063</v>
      </c>
      <c r="B726" s="7" t="s">
        <v>3286</v>
      </c>
      <c r="C726" s="7" t="s">
        <v>3287</v>
      </c>
      <c r="D726" s="7" t="s">
        <v>2570</v>
      </c>
      <c r="E726" s="77" t="s">
        <v>2571</v>
      </c>
      <c r="F726" s="7" t="s">
        <v>2097</v>
      </c>
      <c r="G726" s="7" t="s">
        <v>2097</v>
      </c>
      <c r="H726" s="9" t="n">
        <v>24</v>
      </c>
      <c r="I726" s="9" t="n">
        <v>0</v>
      </c>
      <c r="J726" s="9" t="n">
        <v>0</v>
      </c>
      <c r="K726" s="52" t="n">
        <v>0</v>
      </c>
      <c r="L726" s="58" t="n">
        <v>26.1</v>
      </c>
      <c r="M726" s="59"/>
      <c r="N726" s="9" t="n">
        <v>0.368493</v>
      </c>
      <c r="O726" s="8" t="n">
        <v>0</v>
      </c>
      <c r="P726" s="9" t="n">
        <v>24</v>
      </c>
      <c r="Q726" s="7" t="s">
        <v>2098</v>
      </c>
      <c r="R726" s="7" t="s">
        <v>2572</v>
      </c>
      <c r="S726" s="58" t="n">
        <v>0</v>
      </c>
      <c r="T726" s="9" t="n">
        <v>4</v>
      </c>
      <c r="U726" s="56" t="n">
        <f aca="false">I726*O726</f>
        <v>0</v>
      </c>
      <c r="V726" s="56" t="n">
        <f aca="false">J726*O726</f>
        <v>0</v>
      </c>
      <c r="W726" s="56" t="n">
        <f aca="false">((I726+J726)/2)*O726</f>
        <v>0</v>
      </c>
      <c r="X726" s="56" t="n">
        <f aca="false">H726*O726</f>
        <v>0</v>
      </c>
    </row>
    <row r="727" customFormat="false" ht="22.35" hidden="false" customHeight="false" outlineLevel="0" collapsed="false">
      <c r="A727" s="76" t="s">
        <v>2063</v>
      </c>
      <c r="B727" s="49" t="s">
        <v>3288</v>
      </c>
      <c r="C727" s="49" t="s">
        <v>3287</v>
      </c>
      <c r="D727" s="49" t="s">
        <v>2570</v>
      </c>
      <c r="E727" s="77" t="s">
        <v>2571</v>
      </c>
      <c r="F727" s="49" t="s">
        <v>2097</v>
      </c>
      <c r="G727" s="49" t="s">
        <v>2097</v>
      </c>
      <c r="H727" s="51" t="n">
        <v>96</v>
      </c>
      <c r="I727" s="51" t="n">
        <v>0</v>
      </c>
      <c r="J727" s="51" t="n">
        <v>0</v>
      </c>
      <c r="K727" s="52" t="n">
        <v>0</v>
      </c>
      <c r="L727" s="53" t="n">
        <v>26.1</v>
      </c>
      <c r="M727" s="54"/>
      <c r="N727" s="51" t="n">
        <v>1.4</v>
      </c>
      <c r="O727" s="55" t="n">
        <v>0</v>
      </c>
      <c r="P727" s="51" t="n">
        <v>96</v>
      </c>
      <c r="Q727" s="49" t="s">
        <v>2098</v>
      </c>
      <c r="R727" s="49" t="s">
        <v>2572</v>
      </c>
      <c r="S727" s="53" t="n">
        <v>0</v>
      </c>
      <c r="T727" s="51" t="n">
        <v>24</v>
      </c>
      <c r="U727" s="56" t="n">
        <f aca="false">I727*O727</f>
        <v>0</v>
      </c>
      <c r="V727" s="56" t="n">
        <f aca="false">J727*O727</f>
        <v>0</v>
      </c>
      <c r="W727" s="56" t="n">
        <f aca="false">((I727+J727)/2)*O727</f>
        <v>0</v>
      </c>
      <c r="X727" s="56" t="n">
        <f aca="false">H727*O727</f>
        <v>0</v>
      </c>
    </row>
    <row r="728" customFormat="false" ht="22.35" hidden="false" customHeight="false" outlineLevel="0" collapsed="false">
      <c r="A728" s="76" t="s">
        <v>2063</v>
      </c>
      <c r="B728" s="7" t="s">
        <v>3289</v>
      </c>
      <c r="C728" s="7" t="s">
        <v>3290</v>
      </c>
      <c r="D728" s="7" t="s">
        <v>2570</v>
      </c>
      <c r="E728" s="77" t="s">
        <v>2571</v>
      </c>
      <c r="F728" s="7" t="s">
        <v>2097</v>
      </c>
      <c r="G728" s="7" t="s">
        <v>2097</v>
      </c>
      <c r="H728" s="9" t="n">
        <v>9</v>
      </c>
      <c r="I728" s="9" t="n">
        <v>0</v>
      </c>
      <c r="J728" s="9" t="n">
        <v>0</v>
      </c>
      <c r="K728" s="52" t="n">
        <v>0</v>
      </c>
      <c r="L728" s="58" t="n">
        <v>26.1</v>
      </c>
      <c r="M728" s="59"/>
      <c r="N728" s="9" t="n">
        <v>0.164384</v>
      </c>
      <c r="O728" s="8" t="n">
        <v>0</v>
      </c>
      <c r="P728" s="9" t="n">
        <v>9</v>
      </c>
      <c r="Q728" s="7" t="s">
        <v>2098</v>
      </c>
      <c r="R728" s="7" t="s">
        <v>2572</v>
      </c>
      <c r="S728" s="58" t="n">
        <v>0</v>
      </c>
      <c r="T728" s="9" t="n">
        <v>4</v>
      </c>
      <c r="U728" s="56" t="n">
        <f aca="false">I728*O728</f>
        <v>0</v>
      </c>
      <c r="V728" s="56" t="n">
        <f aca="false">J728*O728</f>
        <v>0</v>
      </c>
      <c r="W728" s="56" t="n">
        <f aca="false">((I728+J728)/2)*O728</f>
        <v>0</v>
      </c>
      <c r="X728" s="56" t="n">
        <f aca="false">H728*O728</f>
        <v>0</v>
      </c>
    </row>
    <row r="729" customFormat="false" ht="22.35" hidden="false" customHeight="false" outlineLevel="0" collapsed="false">
      <c r="A729" s="76" t="s">
        <v>2063</v>
      </c>
      <c r="B729" s="49" t="s">
        <v>3291</v>
      </c>
      <c r="C729" s="49" t="s">
        <v>3290</v>
      </c>
      <c r="D729" s="49" t="s">
        <v>2570</v>
      </c>
      <c r="E729" s="77" t="s">
        <v>2571</v>
      </c>
      <c r="F729" s="49" t="s">
        <v>2097</v>
      </c>
      <c r="G729" s="49" t="s">
        <v>2097</v>
      </c>
      <c r="H729" s="51" t="n">
        <v>84</v>
      </c>
      <c r="I729" s="51" t="n">
        <v>0</v>
      </c>
      <c r="J729" s="51" t="n">
        <v>0</v>
      </c>
      <c r="K729" s="52" t="n">
        <v>0</v>
      </c>
      <c r="L729" s="53" t="n">
        <v>26.1</v>
      </c>
      <c r="M729" s="54"/>
      <c r="N729" s="51" t="n">
        <v>0.373973</v>
      </c>
      <c r="O729" s="55" t="n">
        <v>0</v>
      </c>
      <c r="P729" s="51" t="n">
        <v>84</v>
      </c>
      <c r="Q729" s="49" t="s">
        <v>2098</v>
      </c>
      <c r="R729" s="49" t="s">
        <v>2572</v>
      </c>
      <c r="S729" s="53" t="n">
        <v>0</v>
      </c>
      <c r="T729" s="51" t="n">
        <v>12</v>
      </c>
      <c r="U729" s="56" t="n">
        <f aca="false">I729*O729</f>
        <v>0</v>
      </c>
      <c r="V729" s="56" t="n">
        <f aca="false">J729*O729</f>
        <v>0</v>
      </c>
      <c r="W729" s="56" t="n">
        <f aca="false">((I729+J729)/2)*O729</f>
        <v>0</v>
      </c>
      <c r="X729" s="56" t="n">
        <f aca="false">H729*O729</f>
        <v>0</v>
      </c>
    </row>
    <row r="730" customFormat="false" ht="22.35" hidden="false" customHeight="false" outlineLevel="0" collapsed="false">
      <c r="A730" s="76" t="s">
        <v>2063</v>
      </c>
      <c r="B730" s="7" t="s">
        <v>3292</v>
      </c>
      <c r="C730" s="7" t="s">
        <v>3293</v>
      </c>
      <c r="D730" s="7" t="s">
        <v>2570</v>
      </c>
      <c r="E730" s="77" t="s">
        <v>2571</v>
      </c>
      <c r="F730" s="7" t="s">
        <v>2097</v>
      </c>
      <c r="G730" s="7" t="s">
        <v>2097</v>
      </c>
      <c r="H730" s="9" t="n">
        <v>48</v>
      </c>
      <c r="I730" s="9" t="n">
        <v>0</v>
      </c>
      <c r="J730" s="9" t="n">
        <v>0</v>
      </c>
      <c r="K730" s="52" t="n">
        <v>0</v>
      </c>
      <c r="L730" s="58" t="n">
        <v>26.1</v>
      </c>
      <c r="M730" s="59"/>
      <c r="N730" s="9" t="n">
        <v>1.880822</v>
      </c>
      <c r="O730" s="8" t="n">
        <v>0</v>
      </c>
      <c r="P730" s="9" t="n">
        <v>48</v>
      </c>
      <c r="Q730" s="7" t="s">
        <v>2098</v>
      </c>
      <c r="R730" s="7" t="s">
        <v>2572</v>
      </c>
      <c r="S730" s="58" t="n">
        <v>0</v>
      </c>
      <c r="T730" s="9" t="n">
        <v>1</v>
      </c>
      <c r="U730" s="56" t="n">
        <f aca="false">I730*O730</f>
        <v>0</v>
      </c>
      <c r="V730" s="56" t="n">
        <f aca="false">J730*O730</f>
        <v>0</v>
      </c>
      <c r="W730" s="56" t="n">
        <f aca="false">((I730+J730)/2)*O730</f>
        <v>0</v>
      </c>
      <c r="X730" s="56" t="n">
        <f aca="false">H730*O730</f>
        <v>0</v>
      </c>
    </row>
    <row r="731" customFormat="false" ht="22.35" hidden="false" customHeight="false" outlineLevel="0" collapsed="false">
      <c r="A731" s="76" t="s">
        <v>2063</v>
      </c>
      <c r="B731" s="49" t="s">
        <v>3294</v>
      </c>
      <c r="C731" s="49" t="s">
        <v>3293</v>
      </c>
      <c r="D731" s="49" t="s">
        <v>2570</v>
      </c>
      <c r="E731" s="77" t="s">
        <v>2571</v>
      </c>
      <c r="F731" s="49" t="s">
        <v>2097</v>
      </c>
      <c r="G731" s="49" t="s">
        <v>2097</v>
      </c>
      <c r="H731" s="51" t="n">
        <v>48</v>
      </c>
      <c r="I731" s="51" t="n">
        <v>0</v>
      </c>
      <c r="J731" s="51" t="n">
        <v>0</v>
      </c>
      <c r="K731" s="52" t="n">
        <v>0</v>
      </c>
      <c r="L731" s="53" t="n">
        <v>26.1</v>
      </c>
      <c r="M731" s="54"/>
      <c r="N731" s="51" t="n">
        <v>1.461644</v>
      </c>
      <c r="O731" s="55" t="n">
        <v>0</v>
      </c>
      <c r="P731" s="51" t="n">
        <v>48</v>
      </c>
      <c r="Q731" s="49" t="s">
        <v>2098</v>
      </c>
      <c r="R731" s="49" t="s">
        <v>2572</v>
      </c>
      <c r="S731" s="53" t="n">
        <v>0</v>
      </c>
      <c r="T731" s="51" t="n">
        <v>1</v>
      </c>
      <c r="U731" s="56" t="n">
        <f aca="false">I731*O731</f>
        <v>0</v>
      </c>
      <c r="V731" s="56" t="n">
        <f aca="false">J731*O731</f>
        <v>0</v>
      </c>
      <c r="W731" s="56" t="n">
        <f aca="false">((I731+J731)/2)*O731</f>
        <v>0</v>
      </c>
      <c r="X731" s="56" t="n">
        <f aca="false">H731*O731</f>
        <v>0</v>
      </c>
    </row>
    <row r="732" customFormat="false" ht="22.35" hidden="false" customHeight="false" outlineLevel="0" collapsed="false">
      <c r="A732" s="76" t="s">
        <v>2063</v>
      </c>
      <c r="B732" s="7" t="s">
        <v>3295</v>
      </c>
      <c r="C732" s="7" t="s">
        <v>3296</v>
      </c>
      <c r="D732" s="7" t="s">
        <v>2570</v>
      </c>
      <c r="E732" s="77" t="s">
        <v>2571</v>
      </c>
      <c r="F732" s="7" t="s">
        <v>2097</v>
      </c>
      <c r="G732" s="7" t="s">
        <v>2097</v>
      </c>
      <c r="H732" s="9" t="n">
        <v>12</v>
      </c>
      <c r="I732" s="9" t="n">
        <v>0</v>
      </c>
      <c r="J732" s="9" t="n">
        <v>0</v>
      </c>
      <c r="K732" s="52" t="n">
        <v>0</v>
      </c>
      <c r="L732" s="58" t="n">
        <v>26.1</v>
      </c>
      <c r="M732" s="59"/>
      <c r="N732" s="9" t="n">
        <v>0.342466</v>
      </c>
      <c r="O732" s="8" t="n">
        <v>0</v>
      </c>
      <c r="P732" s="9" t="n">
        <v>12</v>
      </c>
      <c r="Q732" s="7" t="s">
        <v>2098</v>
      </c>
      <c r="R732" s="7" t="s">
        <v>2572</v>
      </c>
      <c r="S732" s="58" t="n">
        <v>0</v>
      </c>
      <c r="T732" s="9" t="n">
        <v>1</v>
      </c>
      <c r="U732" s="56" t="n">
        <f aca="false">I732*O732</f>
        <v>0</v>
      </c>
      <c r="V732" s="56" t="n">
        <f aca="false">J732*O732</f>
        <v>0</v>
      </c>
      <c r="W732" s="56" t="n">
        <f aca="false">((I732+J732)/2)*O732</f>
        <v>0</v>
      </c>
      <c r="X732" s="56" t="n">
        <f aca="false">H732*O732</f>
        <v>0</v>
      </c>
    </row>
    <row r="733" customFormat="false" ht="22.35" hidden="false" customHeight="false" outlineLevel="0" collapsed="false">
      <c r="A733" s="76" t="s">
        <v>2063</v>
      </c>
      <c r="B733" s="49" t="s">
        <v>3297</v>
      </c>
      <c r="C733" s="49" t="s">
        <v>3296</v>
      </c>
      <c r="D733" s="49" t="s">
        <v>2570</v>
      </c>
      <c r="E733" s="77" t="s">
        <v>2571</v>
      </c>
      <c r="F733" s="49" t="s">
        <v>2097</v>
      </c>
      <c r="G733" s="49" t="s">
        <v>2097</v>
      </c>
      <c r="H733" s="51" t="n">
        <v>24</v>
      </c>
      <c r="I733" s="51" t="n">
        <v>0</v>
      </c>
      <c r="J733" s="51" t="n">
        <v>0</v>
      </c>
      <c r="K733" s="52" t="n">
        <v>0</v>
      </c>
      <c r="L733" s="53" t="n">
        <v>26.1</v>
      </c>
      <c r="M733" s="54"/>
      <c r="N733" s="51" t="n">
        <v>0.861644</v>
      </c>
      <c r="O733" s="55" t="n">
        <v>0</v>
      </c>
      <c r="P733" s="51" t="n">
        <v>24</v>
      </c>
      <c r="Q733" s="49" t="s">
        <v>2098</v>
      </c>
      <c r="R733" s="49" t="s">
        <v>2572</v>
      </c>
      <c r="S733" s="53" t="n">
        <v>0</v>
      </c>
      <c r="T733" s="51" t="n">
        <v>1</v>
      </c>
      <c r="U733" s="56" t="n">
        <f aca="false">I733*O733</f>
        <v>0</v>
      </c>
      <c r="V733" s="56" t="n">
        <f aca="false">J733*O733</f>
        <v>0</v>
      </c>
      <c r="W733" s="56" t="n">
        <f aca="false">((I733+J733)/2)*O733</f>
        <v>0</v>
      </c>
      <c r="X733" s="56" t="n">
        <f aca="false">H733*O733</f>
        <v>0</v>
      </c>
    </row>
    <row r="734" customFormat="false" ht="22.35" hidden="false" customHeight="false" outlineLevel="0" collapsed="false">
      <c r="A734" s="76" t="s">
        <v>2063</v>
      </c>
      <c r="B734" s="7" t="s">
        <v>3298</v>
      </c>
      <c r="C734" s="7" t="s">
        <v>3296</v>
      </c>
      <c r="D734" s="7" t="s">
        <v>2570</v>
      </c>
      <c r="E734" s="77" t="s">
        <v>2571</v>
      </c>
      <c r="F734" s="7" t="s">
        <v>2097</v>
      </c>
      <c r="G734" s="7" t="s">
        <v>2097</v>
      </c>
      <c r="H734" s="9" t="n">
        <v>12</v>
      </c>
      <c r="I734" s="9" t="n">
        <v>0</v>
      </c>
      <c r="J734" s="9" t="n">
        <v>0</v>
      </c>
      <c r="K734" s="52" t="n">
        <v>0</v>
      </c>
      <c r="L734" s="58" t="n">
        <v>26.1</v>
      </c>
      <c r="M734" s="59"/>
      <c r="N734" s="9" t="n">
        <v>0.445205</v>
      </c>
      <c r="O734" s="8" t="n">
        <v>0</v>
      </c>
      <c r="P734" s="9" t="n">
        <v>12</v>
      </c>
      <c r="Q734" s="7" t="s">
        <v>2098</v>
      </c>
      <c r="R734" s="7" t="s">
        <v>2572</v>
      </c>
      <c r="S734" s="58" t="n">
        <v>0</v>
      </c>
      <c r="T734" s="9" t="n">
        <v>1</v>
      </c>
      <c r="U734" s="56" t="n">
        <f aca="false">I734*O734</f>
        <v>0</v>
      </c>
      <c r="V734" s="56" t="n">
        <f aca="false">J734*O734</f>
        <v>0</v>
      </c>
      <c r="W734" s="56" t="n">
        <f aca="false">((I734+J734)/2)*O734</f>
        <v>0</v>
      </c>
      <c r="X734" s="56" t="n">
        <f aca="false">H734*O734</f>
        <v>0</v>
      </c>
    </row>
    <row r="735" customFormat="false" ht="22.35" hidden="false" customHeight="false" outlineLevel="0" collapsed="false">
      <c r="A735" s="76" t="s">
        <v>2063</v>
      </c>
      <c r="B735" s="49" t="s">
        <v>3299</v>
      </c>
      <c r="C735" s="49" t="s">
        <v>3300</v>
      </c>
      <c r="D735" s="49" t="s">
        <v>2570</v>
      </c>
      <c r="E735" s="77" t="s">
        <v>2571</v>
      </c>
      <c r="F735" s="49" t="s">
        <v>2097</v>
      </c>
      <c r="G735" s="49" t="s">
        <v>2097</v>
      </c>
      <c r="H735" s="51" t="n">
        <v>24</v>
      </c>
      <c r="I735" s="51" t="n">
        <v>0</v>
      </c>
      <c r="J735" s="51" t="n">
        <v>0</v>
      </c>
      <c r="K735" s="52" t="n">
        <v>0</v>
      </c>
      <c r="L735" s="53" t="n">
        <v>26.1</v>
      </c>
      <c r="M735" s="54"/>
      <c r="N735" s="51" t="n">
        <v>0.564384</v>
      </c>
      <c r="O735" s="55" t="n">
        <v>0</v>
      </c>
      <c r="P735" s="51" t="n">
        <v>24</v>
      </c>
      <c r="Q735" s="49" t="s">
        <v>2098</v>
      </c>
      <c r="R735" s="49" t="s">
        <v>2572</v>
      </c>
      <c r="S735" s="53" t="n">
        <v>0</v>
      </c>
      <c r="T735" s="51" t="n">
        <v>1</v>
      </c>
      <c r="U735" s="56" t="n">
        <f aca="false">I735*O735</f>
        <v>0</v>
      </c>
      <c r="V735" s="56" t="n">
        <f aca="false">J735*O735</f>
        <v>0</v>
      </c>
      <c r="W735" s="56" t="n">
        <f aca="false">((I735+J735)/2)*O735</f>
        <v>0</v>
      </c>
      <c r="X735" s="56" t="n">
        <f aca="false">H735*O735</f>
        <v>0</v>
      </c>
    </row>
    <row r="736" customFormat="false" ht="22.35" hidden="false" customHeight="false" outlineLevel="0" collapsed="false">
      <c r="A736" s="76" t="s">
        <v>2063</v>
      </c>
      <c r="B736" s="7" t="s">
        <v>3301</v>
      </c>
      <c r="C736" s="7" t="s">
        <v>3300</v>
      </c>
      <c r="D736" s="7" t="s">
        <v>2570</v>
      </c>
      <c r="E736" s="77" t="s">
        <v>2571</v>
      </c>
      <c r="F736" s="7" t="s">
        <v>2097</v>
      </c>
      <c r="G736" s="7" t="s">
        <v>2097</v>
      </c>
      <c r="H736" s="9" t="n">
        <v>16</v>
      </c>
      <c r="I736" s="9" t="n">
        <v>0</v>
      </c>
      <c r="J736" s="9" t="n">
        <v>0</v>
      </c>
      <c r="K736" s="52" t="n">
        <v>0</v>
      </c>
      <c r="L736" s="58" t="n">
        <v>26.1</v>
      </c>
      <c r="M736" s="59"/>
      <c r="N736" s="9" t="n">
        <v>0.484932</v>
      </c>
      <c r="O736" s="8" t="n">
        <v>0</v>
      </c>
      <c r="P736" s="9" t="n">
        <v>16</v>
      </c>
      <c r="Q736" s="7" t="s">
        <v>2098</v>
      </c>
      <c r="R736" s="7" t="s">
        <v>2572</v>
      </c>
      <c r="S736" s="58" t="n">
        <v>0</v>
      </c>
      <c r="T736" s="9" t="n">
        <v>1</v>
      </c>
      <c r="U736" s="56" t="n">
        <f aca="false">I736*O736</f>
        <v>0</v>
      </c>
      <c r="V736" s="56" t="n">
        <f aca="false">J736*O736</f>
        <v>0</v>
      </c>
      <c r="W736" s="56" t="n">
        <f aca="false">((I736+J736)/2)*O736</f>
        <v>0</v>
      </c>
      <c r="X736" s="56" t="n">
        <f aca="false">H736*O736</f>
        <v>0</v>
      </c>
    </row>
    <row r="737" customFormat="false" ht="22.35" hidden="false" customHeight="false" outlineLevel="0" collapsed="false">
      <c r="A737" s="76" t="s">
        <v>2063</v>
      </c>
      <c r="B737" s="49" t="s">
        <v>3302</v>
      </c>
      <c r="C737" s="49" t="s">
        <v>3303</v>
      </c>
      <c r="D737" s="49" t="s">
        <v>2570</v>
      </c>
      <c r="E737" s="77" t="s">
        <v>2571</v>
      </c>
      <c r="F737" s="49" t="s">
        <v>2097</v>
      </c>
      <c r="G737" s="49" t="s">
        <v>2097</v>
      </c>
      <c r="H737" s="51" t="n">
        <v>6</v>
      </c>
      <c r="I737" s="51" t="n">
        <v>0</v>
      </c>
      <c r="J737" s="51" t="n">
        <v>0</v>
      </c>
      <c r="K737" s="52" t="n">
        <v>0</v>
      </c>
      <c r="L737" s="53" t="n">
        <v>26.1</v>
      </c>
      <c r="M737" s="54"/>
      <c r="N737" s="51" t="n">
        <v>0.09726</v>
      </c>
      <c r="O737" s="55" t="n">
        <v>0</v>
      </c>
      <c r="P737" s="51" t="n">
        <v>6</v>
      </c>
      <c r="Q737" s="49" t="s">
        <v>2098</v>
      </c>
      <c r="R737" s="49" t="s">
        <v>2572</v>
      </c>
      <c r="S737" s="53" t="n">
        <v>0</v>
      </c>
      <c r="T737" s="51" t="n">
        <v>4</v>
      </c>
      <c r="U737" s="56" t="n">
        <f aca="false">I737*O737</f>
        <v>0</v>
      </c>
      <c r="V737" s="56" t="n">
        <f aca="false">J737*O737</f>
        <v>0</v>
      </c>
      <c r="W737" s="56" t="n">
        <f aca="false">((I737+J737)/2)*O737</f>
        <v>0</v>
      </c>
      <c r="X737" s="56" t="n">
        <f aca="false">H737*O737</f>
        <v>0</v>
      </c>
    </row>
    <row r="738" customFormat="false" ht="22.35" hidden="false" customHeight="false" outlineLevel="0" collapsed="false">
      <c r="A738" s="76" t="s">
        <v>2063</v>
      </c>
      <c r="B738" s="7" t="s">
        <v>3304</v>
      </c>
      <c r="C738" s="7" t="s">
        <v>3303</v>
      </c>
      <c r="D738" s="7" t="s">
        <v>2570</v>
      </c>
      <c r="E738" s="77" t="s">
        <v>2571</v>
      </c>
      <c r="F738" s="7" t="s">
        <v>2097</v>
      </c>
      <c r="G738" s="7" t="s">
        <v>2097</v>
      </c>
      <c r="H738" s="9" t="n">
        <v>8</v>
      </c>
      <c r="I738" s="9" t="n">
        <v>0</v>
      </c>
      <c r="J738" s="9" t="n">
        <v>0</v>
      </c>
      <c r="K738" s="52" t="n">
        <v>0</v>
      </c>
      <c r="L738" s="58" t="n">
        <v>26.1</v>
      </c>
      <c r="M738" s="59"/>
      <c r="N738" s="9" t="n">
        <v>0.093151</v>
      </c>
      <c r="O738" s="8" t="n">
        <v>0</v>
      </c>
      <c r="P738" s="9" t="n">
        <v>8</v>
      </c>
      <c r="Q738" s="7" t="s">
        <v>2098</v>
      </c>
      <c r="R738" s="7" t="s">
        <v>2572</v>
      </c>
      <c r="S738" s="58" t="n">
        <v>0</v>
      </c>
      <c r="T738" s="9" t="n">
        <v>4</v>
      </c>
      <c r="U738" s="56" t="n">
        <f aca="false">I738*O738</f>
        <v>0</v>
      </c>
      <c r="V738" s="56" t="n">
        <f aca="false">J738*O738</f>
        <v>0</v>
      </c>
      <c r="W738" s="56" t="n">
        <f aca="false">((I738+J738)/2)*O738</f>
        <v>0</v>
      </c>
      <c r="X738" s="56" t="n">
        <f aca="false">H738*O738</f>
        <v>0</v>
      </c>
    </row>
    <row r="739" customFormat="false" ht="22.35" hidden="false" customHeight="false" outlineLevel="0" collapsed="false">
      <c r="A739" s="76" t="s">
        <v>2063</v>
      </c>
      <c r="B739" s="49" t="s">
        <v>3305</v>
      </c>
      <c r="C739" s="49" t="s">
        <v>3303</v>
      </c>
      <c r="D739" s="49" t="s">
        <v>2570</v>
      </c>
      <c r="E739" s="77" t="s">
        <v>2571</v>
      </c>
      <c r="F739" s="49" t="s">
        <v>2097</v>
      </c>
      <c r="G739" s="49" t="s">
        <v>2097</v>
      </c>
      <c r="H739" s="51" t="n">
        <v>48</v>
      </c>
      <c r="I739" s="51" t="n">
        <v>0</v>
      </c>
      <c r="J739" s="51" t="n">
        <v>0</v>
      </c>
      <c r="K739" s="52" t="n">
        <v>0</v>
      </c>
      <c r="L739" s="53" t="n">
        <v>26.1</v>
      </c>
      <c r="M739" s="54"/>
      <c r="N739" s="51" t="n">
        <v>0.50411</v>
      </c>
      <c r="O739" s="55" t="n">
        <v>0</v>
      </c>
      <c r="P739" s="51" t="n">
        <v>48</v>
      </c>
      <c r="Q739" s="49" t="s">
        <v>2098</v>
      </c>
      <c r="R739" s="49" t="s">
        <v>2572</v>
      </c>
      <c r="S739" s="53" t="n">
        <v>0</v>
      </c>
      <c r="T739" s="51" t="n">
        <v>1</v>
      </c>
      <c r="U739" s="56" t="n">
        <f aca="false">I739*O739</f>
        <v>0</v>
      </c>
      <c r="V739" s="56" t="n">
        <f aca="false">J739*O739</f>
        <v>0</v>
      </c>
      <c r="W739" s="56" t="n">
        <f aca="false">((I739+J739)/2)*O739</f>
        <v>0</v>
      </c>
      <c r="X739" s="56" t="n">
        <f aca="false">H739*O739</f>
        <v>0</v>
      </c>
    </row>
    <row r="740" customFormat="false" ht="22.35" hidden="false" customHeight="false" outlineLevel="0" collapsed="false">
      <c r="A740" s="76" t="s">
        <v>2063</v>
      </c>
      <c r="B740" s="7" t="s">
        <v>3306</v>
      </c>
      <c r="C740" s="7" t="s">
        <v>3307</v>
      </c>
      <c r="D740" s="7" t="s">
        <v>2570</v>
      </c>
      <c r="E740" s="77" t="s">
        <v>2571</v>
      </c>
      <c r="F740" s="7" t="s">
        <v>2097</v>
      </c>
      <c r="G740" s="7" t="s">
        <v>2097</v>
      </c>
      <c r="H740" s="9" t="n">
        <v>16</v>
      </c>
      <c r="I740" s="9" t="n">
        <v>0</v>
      </c>
      <c r="J740" s="9" t="n">
        <v>0</v>
      </c>
      <c r="K740" s="52" t="n">
        <v>0</v>
      </c>
      <c r="L740" s="58" t="n">
        <v>26.1</v>
      </c>
      <c r="M740" s="59"/>
      <c r="N740" s="9" t="n">
        <v>0.173973</v>
      </c>
      <c r="O740" s="8" t="n">
        <v>0</v>
      </c>
      <c r="P740" s="9" t="n">
        <v>16</v>
      </c>
      <c r="Q740" s="7" t="s">
        <v>2098</v>
      </c>
      <c r="R740" s="7" t="s">
        <v>2572</v>
      </c>
      <c r="S740" s="58" t="n">
        <v>0</v>
      </c>
      <c r="T740" s="9" t="n">
        <v>4</v>
      </c>
      <c r="U740" s="56" t="n">
        <f aca="false">I740*O740</f>
        <v>0</v>
      </c>
      <c r="V740" s="56" t="n">
        <f aca="false">J740*O740</f>
        <v>0</v>
      </c>
      <c r="W740" s="56" t="n">
        <f aca="false">((I740+J740)/2)*O740</f>
        <v>0</v>
      </c>
      <c r="X740" s="56" t="n">
        <f aca="false">H740*O740</f>
        <v>0</v>
      </c>
    </row>
    <row r="741" customFormat="false" ht="22.35" hidden="false" customHeight="false" outlineLevel="0" collapsed="false">
      <c r="A741" s="76" t="s">
        <v>2063</v>
      </c>
      <c r="B741" s="49" t="s">
        <v>3308</v>
      </c>
      <c r="C741" s="49" t="s">
        <v>3307</v>
      </c>
      <c r="D741" s="49" t="s">
        <v>2570</v>
      </c>
      <c r="E741" s="77" t="s">
        <v>2571</v>
      </c>
      <c r="F741" s="49" t="s">
        <v>2097</v>
      </c>
      <c r="G741" s="49" t="s">
        <v>2097</v>
      </c>
      <c r="H741" s="51" t="n">
        <v>6</v>
      </c>
      <c r="I741" s="51" t="n">
        <v>0</v>
      </c>
      <c r="J741" s="51" t="n">
        <v>0</v>
      </c>
      <c r="K741" s="52" t="n">
        <v>0</v>
      </c>
      <c r="L741" s="53" t="n">
        <v>26.1</v>
      </c>
      <c r="M741" s="54"/>
      <c r="N741" s="51" t="n">
        <v>0.090411</v>
      </c>
      <c r="O741" s="55" t="n">
        <v>0</v>
      </c>
      <c r="P741" s="51" t="n">
        <v>6</v>
      </c>
      <c r="Q741" s="49" t="s">
        <v>2098</v>
      </c>
      <c r="R741" s="49" t="s">
        <v>2572</v>
      </c>
      <c r="S741" s="53" t="n">
        <v>0</v>
      </c>
      <c r="T741" s="51" t="n">
        <v>4</v>
      </c>
      <c r="U741" s="56" t="n">
        <f aca="false">I741*O741</f>
        <v>0</v>
      </c>
      <c r="V741" s="56" t="n">
        <f aca="false">J741*O741</f>
        <v>0</v>
      </c>
      <c r="W741" s="56" t="n">
        <f aca="false">((I741+J741)/2)*O741</f>
        <v>0</v>
      </c>
      <c r="X741" s="56" t="n">
        <f aca="false">H741*O741</f>
        <v>0</v>
      </c>
    </row>
    <row r="742" customFormat="false" ht="22.35" hidden="false" customHeight="false" outlineLevel="0" collapsed="false">
      <c r="A742" s="76" t="s">
        <v>2063</v>
      </c>
      <c r="B742" s="7" t="s">
        <v>3309</v>
      </c>
      <c r="C742" s="7" t="s">
        <v>3310</v>
      </c>
      <c r="D742" s="7" t="s">
        <v>2570</v>
      </c>
      <c r="E742" s="77" t="s">
        <v>2571</v>
      </c>
      <c r="F742" s="7" t="s">
        <v>2097</v>
      </c>
      <c r="G742" s="7" t="s">
        <v>2097</v>
      </c>
      <c r="H742" s="9" t="n">
        <v>36</v>
      </c>
      <c r="I742" s="9" t="n">
        <v>0</v>
      </c>
      <c r="J742" s="9" t="n">
        <v>0</v>
      </c>
      <c r="K742" s="52" t="n">
        <v>0</v>
      </c>
      <c r="L742" s="58" t="n">
        <v>26.1</v>
      </c>
      <c r="M742" s="59"/>
      <c r="N742" s="9" t="n">
        <v>0.073973</v>
      </c>
      <c r="O742" s="8" t="n">
        <v>0</v>
      </c>
      <c r="P742" s="9" t="n">
        <v>36</v>
      </c>
      <c r="Q742" s="7" t="s">
        <v>2098</v>
      </c>
      <c r="R742" s="7" t="s">
        <v>2572</v>
      </c>
      <c r="S742" s="58" t="n">
        <v>0</v>
      </c>
      <c r="T742" s="9" t="n">
        <v>1</v>
      </c>
      <c r="U742" s="56" t="n">
        <f aca="false">I742*O742</f>
        <v>0</v>
      </c>
      <c r="V742" s="56" t="n">
        <f aca="false">J742*O742</f>
        <v>0</v>
      </c>
      <c r="W742" s="56" t="n">
        <f aca="false">((I742+J742)/2)*O742</f>
        <v>0</v>
      </c>
      <c r="X742" s="56" t="n">
        <f aca="false">H742*O742</f>
        <v>0</v>
      </c>
    </row>
    <row r="743" customFormat="false" ht="22.35" hidden="false" customHeight="false" outlineLevel="0" collapsed="false">
      <c r="A743" s="76" t="s">
        <v>2063</v>
      </c>
      <c r="B743" s="49" t="s">
        <v>3311</v>
      </c>
      <c r="C743" s="49" t="s">
        <v>3312</v>
      </c>
      <c r="D743" s="49" t="s">
        <v>2570</v>
      </c>
      <c r="E743" s="77" t="s">
        <v>2571</v>
      </c>
      <c r="F743" s="49" t="s">
        <v>2097</v>
      </c>
      <c r="G743" s="49" t="s">
        <v>2097</v>
      </c>
      <c r="H743" s="51" t="n">
        <v>12</v>
      </c>
      <c r="I743" s="51" t="n">
        <v>0</v>
      </c>
      <c r="J743" s="51" t="n">
        <v>0</v>
      </c>
      <c r="K743" s="52" t="n">
        <v>0</v>
      </c>
      <c r="L743" s="53" t="n">
        <v>26.1</v>
      </c>
      <c r="M743" s="54"/>
      <c r="N743" s="51" t="n">
        <v>0.10411</v>
      </c>
      <c r="O743" s="55" t="n">
        <v>0</v>
      </c>
      <c r="P743" s="51" t="n">
        <v>12</v>
      </c>
      <c r="Q743" s="49" t="s">
        <v>2098</v>
      </c>
      <c r="R743" s="49" t="s">
        <v>2572</v>
      </c>
      <c r="S743" s="53" t="n">
        <v>0</v>
      </c>
      <c r="T743" s="51" t="n">
        <v>1</v>
      </c>
      <c r="U743" s="56" t="n">
        <f aca="false">I743*O743</f>
        <v>0</v>
      </c>
      <c r="V743" s="56" t="n">
        <f aca="false">J743*O743</f>
        <v>0</v>
      </c>
      <c r="W743" s="56" t="n">
        <f aca="false">((I743+J743)/2)*O743</f>
        <v>0</v>
      </c>
      <c r="X743" s="56" t="n">
        <f aca="false">H743*O743</f>
        <v>0</v>
      </c>
    </row>
    <row r="744" customFormat="false" ht="22.35" hidden="false" customHeight="false" outlineLevel="0" collapsed="false">
      <c r="A744" s="76" t="s">
        <v>2063</v>
      </c>
      <c r="B744" s="7" t="s">
        <v>3313</v>
      </c>
      <c r="C744" s="7" t="s">
        <v>3314</v>
      </c>
      <c r="D744" s="7" t="s">
        <v>2570</v>
      </c>
      <c r="E744" s="77" t="s">
        <v>2571</v>
      </c>
      <c r="F744" s="7" t="s">
        <v>2097</v>
      </c>
      <c r="G744" s="7" t="s">
        <v>2097</v>
      </c>
      <c r="H744" s="9" t="n">
        <v>16</v>
      </c>
      <c r="I744" s="9" t="n">
        <v>0</v>
      </c>
      <c r="J744" s="9" t="n">
        <v>0</v>
      </c>
      <c r="K744" s="52" t="n">
        <v>0</v>
      </c>
      <c r="L744" s="58" t="n">
        <v>26.1</v>
      </c>
      <c r="M744" s="59"/>
      <c r="N744" s="9" t="n">
        <v>0.115068</v>
      </c>
      <c r="O744" s="8" t="n">
        <v>0</v>
      </c>
      <c r="P744" s="9" t="n">
        <v>16</v>
      </c>
      <c r="Q744" s="7" t="s">
        <v>2098</v>
      </c>
      <c r="R744" s="7" t="s">
        <v>2572</v>
      </c>
      <c r="S744" s="58" t="n">
        <v>0</v>
      </c>
      <c r="T744" s="9" t="n">
        <v>1</v>
      </c>
      <c r="U744" s="56" t="n">
        <f aca="false">I744*O744</f>
        <v>0</v>
      </c>
      <c r="V744" s="56" t="n">
        <f aca="false">J744*O744</f>
        <v>0</v>
      </c>
      <c r="W744" s="56" t="n">
        <f aca="false">((I744+J744)/2)*O744</f>
        <v>0</v>
      </c>
      <c r="X744" s="56" t="n">
        <f aca="false">H744*O744</f>
        <v>0</v>
      </c>
    </row>
    <row r="745" customFormat="false" ht="22.35" hidden="false" customHeight="false" outlineLevel="0" collapsed="false">
      <c r="A745" s="76" t="s">
        <v>2063</v>
      </c>
      <c r="B745" s="49" t="s">
        <v>3315</v>
      </c>
      <c r="C745" s="49" t="s">
        <v>3314</v>
      </c>
      <c r="D745" s="49" t="s">
        <v>2570</v>
      </c>
      <c r="E745" s="77" t="s">
        <v>2571</v>
      </c>
      <c r="F745" s="49" t="s">
        <v>2097</v>
      </c>
      <c r="G745" s="49" t="s">
        <v>2097</v>
      </c>
      <c r="H745" s="51" t="n">
        <v>10</v>
      </c>
      <c r="I745" s="51" t="n">
        <v>0</v>
      </c>
      <c r="J745" s="51" t="n">
        <v>0</v>
      </c>
      <c r="K745" s="52" t="n">
        <v>0</v>
      </c>
      <c r="L745" s="53" t="n">
        <v>26.1</v>
      </c>
      <c r="M745" s="54"/>
      <c r="N745" s="51" t="n">
        <v>0.138356</v>
      </c>
      <c r="O745" s="55" t="n">
        <v>0</v>
      </c>
      <c r="P745" s="51" t="n">
        <v>10</v>
      </c>
      <c r="Q745" s="49" t="s">
        <v>2098</v>
      </c>
      <c r="R745" s="49" t="s">
        <v>2572</v>
      </c>
      <c r="S745" s="53" t="n">
        <v>0</v>
      </c>
      <c r="T745" s="51" t="n">
        <v>1</v>
      </c>
      <c r="U745" s="56" t="n">
        <f aca="false">I745*O745</f>
        <v>0</v>
      </c>
      <c r="V745" s="56" t="n">
        <f aca="false">J745*O745</f>
        <v>0</v>
      </c>
      <c r="W745" s="56" t="n">
        <f aca="false">((I745+J745)/2)*O745</f>
        <v>0</v>
      </c>
      <c r="X745" s="56" t="n">
        <f aca="false">H745*O745</f>
        <v>0</v>
      </c>
    </row>
    <row r="746" customFormat="false" ht="22.35" hidden="false" customHeight="false" outlineLevel="0" collapsed="false">
      <c r="A746" s="76" t="s">
        <v>2063</v>
      </c>
      <c r="B746" s="7" t="s">
        <v>3316</v>
      </c>
      <c r="C746" s="7" t="s">
        <v>3317</v>
      </c>
      <c r="D746" s="7" t="s">
        <v>2570</v>
      </c>
      <c r="E746" s="77" t="s">
        <v>2571</v>
      </c>
      <c r="F746" s="7" t="s">
        <v>2097</v>
      </c>
      <c r="G746" s="7" t="s">
        <v>2097</v>
      </c>
      <c r="H746" s="9" t="n">
        <v>32</v>
      </c>
      <c r="I746" s="9" t="n">
        <v>0</v>
      </c>
      <c r="J746" s="9" t="n">
        <v>0</v>
      </c>
      <c r="K746" s="52" t="n">
        <v>0</v>
      </c>
      <c r="L746" s="58" t="n">
        <v>26.1</v>
      </c>
      <c r="M746" s="59"/>
      <c r="N746" s="9" t="n">
        <v>0.323288</v>
      </c>
      <c r="O746" s="8" t="n">
        <v>0</v>
      </c>
      <c r="P746" s="9" t="n">
        <v>32</v>
      </c>
      <c r="Q746" s="7" t="s">
        <v>2098</v>
      </c>
      <c r="R746" s="7" t="s">
        <v>2572</v>
      </c>
      <c r="S746" s="58" t="n">
        <v>0</v>
      </c>
      <c r="T746" s="9" t="n">
        <v>1</v>
      </c>
      <c r="U746" s="56" t="n">
        <f aca="false">I746*O746</f>
        <v>0</v>
      </c>
      <c r="V746" s="56" t="n">
        <f aca="false">J746*O746</f>
        <v>0</v>
      </c>
      <c r="W746" s="56" t="n">
        <f aca="false">((I746+J746)/2)*O746</f>
        <v>0</v>
      </c>
      <c r="X746" s="56" t="n">
        <f aca="false">H746*O746</f>
        <v>0</v>
      </c>
    </row>
    <row r="747" customFormat="false" ht="22.35" hidden="false" customHeight="false" outlineLevel="0" collapsed="false">
      <c r="A747" s="76" t="s">
        <v>2063</v>
      </c>
      <c r="B747" s="49" t="s">
        <v>3318</v>
      </c>
      <c r="C747" s="49" t="s">
        <v>3317</v>
      </c>
      <c r="D747" s="49" t="s">
        <v>2570</v>
      </c>
      <c r="E747" s="77" t="s">
        <v>2571</v>
      </c>
      <c r="F747" s="49" t="s">
        <v>2097</v>
      </c>
      <c r="G747" s="49" t="s">
        <v>2097</v>
      </c>
      <c r="H747" s="51" t="n">
        <v>16</v>
      </c>
      <c r="I747" s="51" t="n">
        <v>0</v>
      </c>
      <c r="J747" s="51" t="n">
        <v>0</v>
      </c>
      <c r="K747" s="52" t="n">
        <v>0</v>
      </c>
      <c r="L747" s="53" t="n">
        <v>26.1</v>
      </c>
      <c r="M747" s="54"/>
      <c r="N747" s="51" t="n">
        <v>0.178082</v>
      </c>
      <c r="O747" s="55" t="n">
        <v>0</v>
      </c>
      <c r="P747" s="51" t="n">
        <v>16</v>
      </c>
      <c r="Q747" s="49" t="s">
        <v>2098</v>
      </c>
      <c r="R747" s="49" t="s">
        <v>2572</v>
      </c>
      <c r="S747" s="53" t="n">
        <v>0</v>
      </c>
      <c r="T747" s="51" t="n">
        <v>1</v>
      </c>
      <c r="U747" s="56" t="n">
        <f aca="false">I747*O747</f>
        <v>0</v>
      </c>
      <c r="V747" s="56" t="n">
        <f aca="false">J747*O747</f>
        <v>0</v>
      </c>
      <c r="W747" s="56" t="n">
        <f aca="false">((I747+J747)/2)*O747</f>
        <v>0</v>
      </c>
      <c r="X747" s="56" t="n">
        <f aca="false">H747*O747</f>
        <v>0</v>
      </c>
    </row>
    <row r="748" customFormat="false" ht="22.35" hidden="false" customHeight="false" outlineLevel="0" collapsed="false">
      <c r="A748" s="76" t="s">
        <v>2063</v>
      </c>
      <c r="B748" s="7" t="s">
        <v>3319</v>
      </c>
      <c r="C748" s="7" t="s">
        <v>3320</v>
      </c>
      <c r="D748" s="7" t="s">
        <v>2570</v>
      </c>
      <c r="E748" s="77" t="s">
        <v>2571</v>
      </c>
      <c r="F748" s="7" t="s">
        <v>2097</v>
      </c>
      <c r="G748" s="7" t="s">
        <v>2097</v>
      </c>
      <c r="H748" s="9" t="n">
        <v>8</v>
      </c>
      <c r="I748" s="9" t="n">
        <v>0</v>
      </c>
      <c r="J748" s="9" t="n">
        <v>0</v>
      </c>
      <c r="K748" s="52" t="n">
        <v>0</v>
      </c>
      <c r="L748" s="58" t="n">
        <v>26.1</v>
      </c>
      <c r="M748" s="59"/>
      <c r="N748" s="9" t="n">
        <v>0.158904</v>
      </c>
      <c r="O748" s="8" t="n">
        <v>0</v>
      </c>
      <c r="P748" s="9" t="n">
        <v>8</v>
      </c>
      <c r="Q748" s="7" t="s">
        <v>2098</v>
      </c>
      <c r="R748" s="7" t="s">
        <v>2572</v>
      </c>
      <c r="S748" s="58" t="n">
        <v>0</v>
      </c>
      <c r="T748" s="9" t="n">
        <v>1</v>
      </c>
      <c r="U748" s="56" t="n">
        <f aca="false">I748*O748</f>
        <v>0</v>
      </c>
      <c r="V748" s="56" t="n">
        <f aca="false">J748*O748</f>
        <v>0</v>
      </c>
      <c r="W748" s="56" t="n">
        <f aca="false">((I748+J748)/2)*O748</f>
        <v>0</v>
      </c>
      <c r="X748" s="56" t="n">
        <f aca="false">H748*O748</f>
        <v>0</v>
      </c>
    </row>
    <row r="749" customFormat="false" ht="22.35" hidden="false" customHeight="false" outlineLevel="0" collapsed="false">
      <c r="A749" s="76" t="s">
        <v>2063</v>
      </c>
      <c r="B749" s="49" t="s">
        <v>3321</v>
      </c>
      <c r="C749" s="49" t="s">
        <v>3322</v>
      </c>
      <c r="D749" s="49" t="s">
        <v>2570</v>
      </c>
      <c r="E749" s="77" t="s">
        <v>2571</v>
      </c>
      <c r="F749" s="49" t="s">
        <v>2097</v>
      </c>
      <c r="G749" s="49" t="s">
        <v>2097</v>
      </c>
      <c r="H749" s="51" t="n">
        <v>16</v>
      </c>
      <c r="I749" s="51" t="n">
        <v>0</v>
      </c>
      <c r="J749" s="51" t="n">
        <v>0</v>
      </c>
      <c r="K749" s="52" t="n">
        <v>0</v>
      </c>
      <c r="L749" s="53" t="n">
        <v>26.1</v>
      </c>
      <c r="M749" s="54"/>
      <c r="N749" s="51" t="n">
        <v>0.173973</v>
      </c>
      <c r="O749" s="55" t="n">
        <v>0</v>
      </c>
      <c r="P749" s="51" t="n">
        <v>16</v>
      </c>
      <c r="Q749" s="49" t="s">
        <v>2098</v>
      </c>
      <c r="R749" s="49" t="s">
        <v>2572</v>
      </c>
      <c r="S749" s="53" t="n">
        <v>0</v>
      </c>
      <c r="T749" s="51" t="n">
        <v>1</v>
      </c>
      <c r="U749" s="56" t="n">
        <f aca="false">I749*O749</f>
        <v>0</v>
      </c>
      <c r="V749" s="56" t="n">
        <f aca="false">J749*O749</f>
        <v>0</v>
      </c>
      <c r="W749" s="56" t="n">
        <f aca="false">((I749+J749)/2)*O749</f>
        <v>0</v>
      </c>
      <c r="X749" s="56" t="n">
        <f aca="false">H749*O749</f>
        <v>0</v>
      </c>
    </row>
    <row r="750" customFormat="false" ht="22.35" hidden="false" customHeight="false" outlineLevel="0" collapsed="false">
      <c r="A750" s="76" t="s">
        <v>2063</v>
      </c>
      <c r="B750" s="7" t="s">
        <v>3323</v>
      </c>
      <c r="C750" s="7" t="s">
        <v>3324</v>
      </c>
      <c r="D750" s="7" t="s">
        <v>2570</v>
      </c>
      <c r="E750" s="77" t="s">
        <v>2571</v>
      </c>
      <c r="F750" s="7" t="s">
        <v>2097</v>
      </c>
      <c r="G750" s="7" t="s">
        <v>2097</v>
      </c>
      <c r="H750" s="9" t="n">
        <v>8</v>
      </c>
      <c r="I750" s="9" t="n">
        <v>0</v>
      </c>
      <c r="J750" s="9" t="n">
        <v>0</v>
      </c>
      <c r="K750" s="52" t="n">
        <v>0</v>
      </c>
      <c r="L750" s="58" t="n">
        <v>26.1</v>
      </c>
      <c r="M750" s="59"/>
      <c r="N750" s="9" t="n">
        <v>0.145205</v>
      </c>
      <c r="O750" s="8" t="n">
        <v>0</v>
      </c>
      <c r="P750" s="9" t="n">
        <v>8</v>
      </c>
      <c r="Q750" s="7" t="s">
        <v>2098</v>
      </c>
      <c r="R750" s="7" t="s">
        <v>2572</v>
      </c>
      <c r="S750" s="58" t="n">
        <v>0</v>
      </c>
      <c r="T750" s="9" t="n">
        <v>4</v>
      </c>
      <c r="U750" s="56" t="n">
        <f aca="false">I750*O750</f>
        <v>0</v>
      </c>
      <c r="V750" s="56" t="n">
        <f aca="false">J750*O750</f>
        <v>0</v>
      </c>
      <c r="W750" s="56" t="n">
        <f aca="false">((I750+J750)/2)*O750</f>
        <v>0</v>
      </c>
      <c r="X750" s="56" t="n">
        <f aca="false">H750*O750</f>
        <v>0</v>
      </c>
    </row>
    <row r="751" customFormat="false" ht="22.35" hidden="false" customHeight="false" outlineLevel="0" collapsed="false">
      <c r="A751" s="76" t="s">
        <v>2063</v>
      </c>
      <c r="B751" s="49" t="s">
        <v>3325</v>
      </c>
      <c r="C751" s="49" t="s">
        <v>3324</v>
      </c>
      <c r="D751" s="49" t="s">
        <v>2570</v>
      </c>
      <c r="E751" s="77" t="s">
        <v>2571</v>
      </c>
      <c r="F751" s="49" t="s">
        <v>2097</v>
      </c>
      <c r="G751" s="49" t="s">
        <v>2097</v>
      </c>
      <c r="H751" s="51" t="n">
        <v>4</v>
      </c>
      <c r="I751" s="51" t="n">
        <v>0</v>
      </c>
      <c r="J751" s="51" t="n">
        <v>0</v>
      </c>
      <c r="K751" s="52" t="n">
        <v>0</v>
      </c>
      <c r="L751" s="53" t="n">
        <v>26.1</v>
      </c>
      <c r="M751" s="54"/>
      <c r="N751" s="51" t="n">
        <v>0.057534</v>
      </c>
      <c r="O751" s="55" t="n">
        <v>0</v>
      </c>
      <c r="P751" s="51" t="n">
        <v>4</v>
      </c>
      <c r="Q751" s="49" t="s">
        <v>2098</v>
      </c>
      <c r="R751" s="49" t="s">
        <v>2572</v>
      </c>
      <c r="S751" s="53" t="n">
        <v>0</v>
      </c>
      <c r="T751" s="51" t="n">
        <v>3</v>
      </c>
      <c r="U751" s="56" t="n">
        <f aca="false">I751*O751</f>
        <v>0</v>
      </c>
      <c r="V751" s="56" t="n">
        <f aca="false">J751*O751</f>
        <v>0</v>
      </c>
      <c r="W751" s="56" t="n">
        <f aca="false">((I751+J751)/2)*O751</f>
        <v>0</v>
      </c>
      <c r="X751" s="56" t="n">
        <f aca="false">H751*O751</f>
        <v>0</v>
      </c>
    </row>
    <row r="752" customFormat="false" ht="22.35" hidden="false" customHeight="false" outlineLevel="0" collapsed="false">
      <c r="A752" s="76" t="s">
        <v>2063</v>
      </c>
      <c r="B752" s="7" t="s">
        <v>3326</v>
      </c>
      <c r="C752" s="7" t="s">
        <v>3327</v>
      </c>
      <c r="D752" s="7" t="s">
        <v>2570</v>
      </c>
      <c r="E752" s="77" t="s">
        <v>2571</v>
      </c>
      <c r="F752" s="7" t="s">
        <v>2097</v>
      </c>
      <c r="G752" s="7" t="s">
        <v>2097</v>
      </c>
      <c r="H752" s="9" t="n">
        <v>16</v>
      </c>
      <c r="I752" s="9" t="n">
        <v>0</v>
      </c>
      <c r="J752" s="9" t="n">
        <v>0</v>
      </c>
      <c r="K752" s="52" t="n">
        <v>0</v>
      </c>
      <c r="L752" s="58" t="n">
        <v>26.1</v>
      </c>
      <c r="M752" s="59"/>
      <c r="N752" s="9" t="n">
        <v>0.269863</v>
      </c>
      <c r="O752" s="8" t="n">
        <v>0</v>
      </c>
      <c r="P752" s="9" t="n">
        <v>16</v>
      </c>
      <c r="Q752" s="7" t="s">
        <v>2098</v>
      </c>
      <c r="R752" s="7" t="s">
        <v>2572</v>
      </c>
      <c r="S752" s="58" t="n">
        <v>0</v>
      </c>
      <c r="T752" s="9" t="n">
        <v>1</v>
      </c>
      <c r="U752" s="56" t="n">
        <f aca="false">I752*O752</f>
        <v>0</v>
      </c>
      <c r="V752" s="56" t="n">
        <f aca="false">J752*O752</f>
        <v>0</v>
      </c>
      <c r="W752" s="56" t="n">
        <f aca="false">((I752+J752)/2)*O752</f>
        <v>0</v>
      </c>
      <c r="X752" s="56" t="n">
        <f aca="false">H752*O752</f>
        <v>0</v>
      </c>
    </row>
    <row r="753" customFormat="false" ht="22.35" hidden="false" customHeight="false" outlineLevel="0" collapsed="false">
      <c r="A753" s="76" t="s">
        <v>2063</v>
      </c>
      <c r="B753" s="49" t="s">
        <v>3328</v>
      </c>
      <c r="C753" s="49" t="s">
        <v>3327</v>
      </c>
      <c r="D753" s="49" t="s">
        <v>2570</v>
      </c>
      <c r="E753" s="77" t="s">
        <v>2571</v>
      </c>
      <c r="F753" s="49" t="s">
        <v>2097</v>
      </c>
      <c r="G753" s="49" t="s">
        <v>2097</v>
      </c>
      <c r="H753" s="51" t="n">
        <v>6</v>
      </c>
      <c r="I753" s="51" t="n">
        <v>0</v>
      </c>
      <c r="J753" s="51" t="n">
        <v>0</v>
      </c>
      <c r="K753" s="52" t="n">
        <v>0</v>
      </c>
      <c r="L753" s="53" t="n">
        <v>26.1</v>
      </c>
      <c r="M753" s="54"/>
      <c r="N753" s="51" t="n">
        <v>0.09863</v>
      </c>
      <c r="O753" s="55" t="n">
        <v>0</v>
      </c>
      <c r="P753" s="51" t="n">
        <v>6</v>
      </c>
      <c r="Q753" s="49" t="s">
        <v>2098</v>
      </c>
      <c r="R753" s="49" t="s">
        <v>2572</v>
      </c>
      <c r="S753" s="53" t="n">
        <v>0</v>
      </c>
      <c r="T753" s="51" t="n">
        <v>1</v>
      </c>
      <c r="U753" s="56" t="n">
        <f aca="false">I753*O753</f>
        <v>0</v>
      </c>
      <c r="V753" s="56" t="n">
        <f aca="false">J753*O753</f>
        <v>0</v>
      </c>
      <c r="W753" s="56" t="n">
        <f aca="false">((I753+J753)/2)*O753</f>
        <v>0</v>
      </c>
      <c r="X753" s="56" t="n">
        <f aca="false">H753*O753</f>
        <v>0</v>
      </c>
    </row>
    <row r="754" customFormat="false" ht="22.35" hidden="false" customHeight="false" outlineLevel="0" collapsed="false">
      <c r="A754" s="76" t="s">
        <v>2063</v>
      </c>
      <c r="B754" s="7" t="s">
        <v>3329</v>
      </c>
      <c r="C754" s="7" t="s">
        <v>3327</v>
      </c>
      <c r="D754" s="7" t="s">
        <v>2570</v>
      </c>
      <c r="E754" s="77" t="s">
        <v>2571</v>
      </c>
      <c r="F754" s="7" t="s">
        <v>2097</v>
      </c>
      <c r="G754" s="7" t="s">
        <v>2097</v>
      </c>
      <c r="H754" s="9" t="n">
        <v>24</v>
      </c>
      <c r="I754" s="9" t="n">
        <v>0</v>
      </c>
      <c r="J754" s="9" t="n">
        <v>0</v>
      </c>
      <c r="K754" s="52" t="n">
        <v>0</v>
      </c>
      <c r="L754" s="58" t="n">
        <v>26.1</v>
      </c>
      <c r="M754" s="59"/>
      <c r="N754" s="9" t="n">
        <v>0.30411</v>
      </c>
      <c r="O754" s="8" t="n">
        <v>0</v>
      </c>
      <c r="P754" s="9" t="n">
        <v>24</v>
      </c>
      <c r="Q754" s="7" t="s">
        <v>2098</v>
      </c>
      <c r="R754" s="7" t="s">
        <v>2572</v>
      </c>
      <c r="S754" s="58" t="n">
        <v>0</v>
      </c>
      <c r="T754" s="9" t="n">
        <v>1</v>
      </c>
      <c r="U754" s="56" t="n">
        <f aca="false">I754*O754</f>
        <v>0</v>
      </c>
      <c r="V754" s="56" t="n">
        <f aca="false">J754*O754</f>
        <v>0</v>
      </c>
      <c r="W754" s="56" t="n">
        <f aca="false">((I754+J754)/2)*O754</f>
        <v>0</v>
      </c>
      <c r="X754" s="56" t="n">
        <f aca="false">H754*O754</f>
        <v>0</v>
      </c>
    </row>
    <row r="755" customFormat="false" ht="22.35" hidden="false" customHeight="false" outlineLevel="0" collapsed="false">
      <c r="A755" s="76" t="s">
        <v>2063</v>
      </c>
      <c r="B755" s="49" t="s">
        <v>3330</v>
      </c>
      <c r="C755" s="49" t="s">
        <v>3327</v>
      </c>
      <c r="D755" s="49" t="s">
        <v>2570</v>
      </c>
      <c r="E755" s="77" t="s">
        <v>2571</v>
      </c>
      <c r="F755" s="49" t="s">
        <v>2097</v>
      </c>
      <c r="G755" s="49" t="s">
        <v>2097</v>
      </c>
      <c r="H755" s="51" t="n">
        <v>72</v>
      </c>
      <c r="I755" s="51" t="n">
        <v>0</v>
      </c>
      <c r="J755" s="51" t="n">
        <v>0</v>
      </c>
      <c r="K755" s="52" t="n">
        <v>0</v>
      </c>
      <c r="L755" s="53" t="n">
        <v>26.1</v>
      </c>
      <c r="M755" s="54"/>
      <c r="N755" s="51" t="n">
        <v>0.817808</v>
      </c>
      <c r="O755" s="55" t="n">
        <v>0</v>
      </c>
      <c r="P755" s="51" t="n">
        <v>72</v>
      </c>
      <c r="Q755" s="49" t="s">
        <v>2098</v>
      </c>
      <c r="R755" s="49" t="s">
        <v>2572</v>
      </c>
      <c r="S755" s="53" t="n">
        <v>0</v>
      </c>
      <c r="T755" s="51" t="n">
        <v>1</v>
      </c>
      <c r="U755" s="56" t="n">
        <f aca="false">I755*O755</f>
        <v>0</v>
      </c>
      <c r="V755" s="56" t="n">
        <f aca="false">J755*O755</f>
        <v>0</v>
      </c>
      <c r="W755" s="56" t="n">
        <f aca="false">((I755+J755)/2)*O755</f>
        <v>0</v>
      </c>
      <c r="X755" s="56" t="n">
        <f aca="false">H755*O755</f>
        <v>0</v>
      </c>
    </row>
    <row r="756" customFormat="false" ht="22.35" hidden="false" customHeight="false" outlineLevel="0" collapsed="false">
      <c r="A756" s="76" t="s">
        <v>2063</v>
      </c>
      <c r="B756" s="7" t="s">
        <v>3331</v>
      </c>
      <c r="C756" s="7" t="s">
        <v>3327</v>
      </c>
      <c r="D756" s="7" t="s">
        <v>2570</v>
      </c>
      <c r="E756" s="77" t="s">
        <v>2571</v>
      </c>
      <c r="F756" s="7" t="s">
        <v>2097</v>
      </c>
      <c r="G756" s="7" t="s">
        <v>2097</v>
      </c>
      <c r="H756" s="9" t="n">
        <v>24</v>
      </c>
      <c r="I756" s="9" t="n">
        <v>0</v>
      </c>
      <c r="J756" s="9" t="n">
        <v>0</v>
      </c>
      <c r="K756" s="52" t="n">
        <v>0</v>
      </c>
      <c r="L756" s="58" t="n">
        <v>26.1</v>
      </c>
      <c r="M756" s="59"/>
      <c r="N756" s="9" t="n">
        <v>0.341096</v>
      </c>
      <c r="O756" s="8" t="n">
        <v>0</v>
      </c>
      <c r="P756" s="9" t="n">
        <v>24</v>
      </c>
      <c r="Q756" s="7" t="s">
        <v>2098</v>
      </c>
      <c r="R756" s="7" t="s">
        <v>2572</v>
      </c>
      <c r="S756" s="58" t="n">
        <v>0</v>
      </c>
      <c r="T756" s="9" t="n">
        <v>1</v>
      </c>
      <c r="U756" s="56" t="n">
        <f aca="false">I756*O756</f>
        <v>0</v>
      </c>
      <c r="V756" s="56" t="n">
        <f aca="false">J756*O756</f>
        <v>0</v>
      </c>
      <c r="W756" s="56" t="n">
        <f aca="false">((I756+J756)/2)*O756</f>
        <v>0</v>
      </c>
      <c r="X756" s="56" t="n">
        <f aca="false">H756*O756</f>
        <v>0</v>
      </c>
    </row>
    <row r="757" customFormat="false" ht="22.35" hidden="false" customHeight="false" outlineLevel="0" collapsed="false">
      <c r="A757" s="76" t="s">
        <v>2063</v>
      </c>
      <c r="B757" s="49" t="s">
        <v>3332</v>
      </c>
      <c r="C757" s="49" t="s">
        <v>3333</v>
      </c>
      <c r="D757" s="49" t="s">
        <v>2570</v>
      </c>
      <c r="E757" s="77" t="s">
        <v>2571</v>
      </c>
      <c r="F757" s="49" t="s">
        <v>2097</v>
      </c>
      <c r="G757" s="49" t="s">
        <v>2097</v>
      </c>
      <c r="H757" s="51" t="n">
        <v>6</v>
      </c>
      <c r="I757" s="51" t="n">
        <v>0</v>
      </c>
      <c r="J757" s="51" t="n">
        <v>0</v>
      </c>
      <c r="K757" s="52" t="n">
        <v>0</v>
      </c>
      <c r="L757" s="53" t="n">
        <v>26.1</v>
      </c>
      <c r="M757" s="54"/>
      <c r="N757" s="51" t="n">
        <v>0.089041</v>
      </c>
      <c r="O757" s="55" t="n">
        <v>0</v>
      </c>
      <c r="P757" s="51" t="n">
        <v>6</v>
      </c>
      <c r="Q757" s="49" t="s">
        <v>2098</v>
      </c>
      <c r="R757" s="49" t="s">
        <v>2572</v>
      </c>
      <c r="S757" s="53" t="n">
        <v>0</v>
      </c>
      <c r="T757" s="51" t="n">
        <v>1</v>
      </c>
      <c r="U757" s="56" t="n">
        <f aca="false">I757*O757</f>
        <v>0</v>
      </c>
      <c r="V757" s="56" t="n">
        <f aca="false">J757*O757</f>
        <v>0</v>
      </c>
      <c r="W757" s="56" t="n">
        <f aca="false">((I757+J757)/2)*O757</f>
        <v>0</v>
      </c>
      <c r="X757" s="56" t="n">
        <f aca="false">H757*O757</f>
        <v>0</v>
      </c>
    </row>
    <row r="758" customFormat="false" ht="22.35" hidden="false" customHeight="false" outlineLevel="0" collapsed="false">
      <c r="A758" s="76" t="s">
        <v>2063</v>
      </c>
      <c r="B758" s="7" t="s">
        <v>3334</v>
      </c>
      <c r="C758" s="7" t="s">
        <v>3335</v>
      </c>
      <c r="D758" s="7" t="s">
        <v>2570</v>
      </c>
      <c r="E758" s="77" t="s">
        <v>2571</v>
      </c>
      <c r="F758" s="7" t="s">
        <v>2097</v>
      </c>
      <c r="G758" s="7" t="s">
        <v>2097</v>
      </c>
      <c r="H758" s="9" t="n">
        <v>32</v>
      </c>
      <c r="I758" s="9" t="n">
        <v>0</v>
      </c>
      <c r="J758" s="9" t="n">
        <v>0</v>
      </c>
      <c r="K758" s="52" t="n">
        <v>0</v>
      </c>
      <c r="L758" s="58" t="n">
        <v>26.1</v>
      </c>
      <c r="M758" s="59"/>
      <c r="N758" s="9" t="n">
        <v>0.417808</v>
      </c>
      <c r="O758" s="8" t="n">
        <v>0</v>
      </c>
      <c r="P758" s="9" t="n">
        <v>32</v>
      </c>
      <c r="Q758" s="7" t="s">
        <v>2098</v>
      </c>
      <c r="R758" s="7" t="s">
        <v>2572</v>
      </c>
      <c r="S758" s="58" t="n">
        <v>0</v>
      </c>
      <c r="T758" s="9" t="n">
        <v>1</v>
      </c>
      <c r="U758" s="56" t="n">
        <f aca="false">I758*O758</f>
        <v>0</v>
      </c>
      <c r="V758" s="56" t="n">
        <f aca="false">J758*O758</f>
        <v>0</v>
      </c>
      <c r="W758" s="56" t="n">
        <f aca="false">((I758+J758)/2)*O758</f>
        <v>0</v>
      </c>
      <c r="X758" s="56" t="n">
        <f aca="false">H758*O758</f>
        <v>0</v>
      </c>
    </row>
    <row r="759" customFormat="false" ht="22.35" hidden="false" customHeight="false" outlineLevel="0" collapsed="false">
      <c r="A759" s="76" t="s">
        <v>2063</v>
      </c>
      <c r="B759" s="49" t="s">
        <v>3336</v>
      </c>
      <c r="C759" s="49" t="s">
        <v>3335</v>
      </c>
      <c r="D759" s="49" t="s">
        <v>2570</v>
      </c>
      <c r="E759" s="77" t="s">
        <v>2571</v>
      </c>
      <c r="F759" s="49" t="s">
        <v>2097</v>
      </c>
      <c r="G759" s="49" t="s">
        <v>2097</v>
      </c>
      <c r="H759" s="51" t="n">
        <v>12</v>
      </c>
      <c r="I759" s="51" t="n">
        <v>0</v>
      </c>
      <c r="J759" s="51" t="n">
        <v>0</v>
      </c>
      <c r="K759" s="52" t="n">
        <v>0</v>
      </c>
      <c r="L759" s="53" t="n">
        <v>26.1</v>
      </c>
      <c r="M759" s="54"/>
      <c r="N759" s="51" t="n">
        <v>0.146575</v>
      </c>
      <c r="O759" s="55" t="n">
        <v>0</v>
      </c>
      <c r="P759" s="51" t="n">
        <v>12</v>
      </c>
      <c r="Q759" s="49" t="s">
        <v>2098</v>
      </c>
      <c r="R759" s="49" t="s">
        <v>2572</v>
      </c>
      <c r="S759" s="53" t="n">
        <v>0</v>
      </c>
      <c r="T759" s="51" t="n">
        <v>1</v>
      </c>
      <c r="U759" s="56" t="n">
        <f aca="false">I759*O759</f>
        <v>0</v>
      </c>
      <c r="V759" s="56" t="n">
        <f aca="false">J759*O759</f>
        <v>0</v>
      </c>
      <c r="W759" s="56" t="n">
        <f aca="false">((I759+J759)/2)*O759</f>
        <v>0</v>
      </c>
      <c r="X759" s="56" t="n">
        <f aca="false">H759*O759</f>
        <v>0</v>
      </c>
    </row>
    <row r="760" customFormat="false" ht="22.35" hidden="false" customHeight="false" outlineLevel="0" collapsed="false">
      <c r="A760" s="76" t="s">
        <v>2063</v>
      </c>
      <c r="B760" s="7" t="s">
        <v>3337</v>
      </c>
      <c r="C760" s="7" t="s">
        <v>3338</v>
      </c>
      <c r="D760" s="7" t="s">
        <v>2570</v>
      </c>
      <c r="E760" s="77" t="s">
        <v>2571</v>
      </c>
      <c r="F760" s="7" t="s">
        <v>2097</v>
      </c>
      <c r="G760" s="7" t="s">
        <v>2097</v>
      </c>
      <c r="H760" s="9" t="n">
        <v>32</v>
      </c>
      <c r="I760" s="9" t="n">
        <v>0</v>
      </c>
      <c r="J760" s="9" t="n">
        <v>0</v>
      </c>
      <c r="K760" s="52" t="n">
        <v>0</v>
      </c>
      <c r="L760" s="58" t="n">
        <v>26.1</v>
      </c>
      <c r="M760" s="59"/>
      <c r="N760" s="9" t="n">
        <v>0.617808</v>
      </c>
      <c r="O760" s="8" t="n">
        <v>0</v>
      </c>
      <c r="P760" s="9" t="n">
        <v>32</v>
      </c>
      <c r="Q760" s="7" t="s">
        <v>2098</v>
      </c>
      <c r="R760" s="7" t="s">
        <v>2572</v>
      </c>
      <c r="S760" s="58" t="n">
        <v>0</v>
      </c>
      <c r="T760" s="9" t="n">
        <v>1</v>
      </c>
      <c r="U760" s="56" t="n">
        <f aca="false">I760*O760</f>
        <v>0</v>
      </c>
      <c r="V760" s="56" t="n">
        <f aca="false">J760*O760</f>
        <v>0</v>
      </c>
      <c r="W760" s="56" t="n">
        <f aca="false">((I760+J760)/2)*O760</f>
        <v>0</v>
      </c>
      <c r="X760" s="56" t="n">
        <f aca="false">H760*O760</f>
        <v>0</v>
      </c>
    </row>
    <row r="761" customFormat="false" ht="22.35" hidden="false" customHeight="false" outlineLevel="0" collapsed="false">
      <c r="A761" s="76" t="s">
        <v>2063</v>
      </c>
      <c r="B761" s="49" t="s">
        <v>3339</v>
      </c>
      <c r="C761" s="49" t="s">
        <v>3340</v>
      </c>
      <c r="D761" s="49" t="s">
        <v>2570</v>
      </c>
      <c r="E761" s="77" t="s">
        <v>2571</v>
      </c>
      <c r="F761" s="49" t="s">
        <v>2097</v>
      </c>
      <c r="G761" s="49" t="s">
        <v>2097</v>
      </c>
      <c r="H761" s="51" t="n">
        <v>20</v>
      </c>
      <c r="I761" s="51" t="n">
        <v>0</v>
      </c>
      <c r="J761" s="51" t="n">
        <v>0</v>
      </c>
      <c r="K761" s="52" t="n">
        <v>0</v>
      </c>
      <c r="L761" s="53" t="n">
        <v>26.1</v>
      </c>
      <c r="M761" s="54"/>
      <c r="N761" s="51" t="n">
        <v>0.154795</v>
      </c>
      <c r="O761" s="55" t="n">
        <v>0</v>
      </c>
      <c r="P761" s="51" t="n">
        <v>20</v>
      </c>
      <c r="Q761" s="49" t="s">
        <v>2098</v>
      </c>
      <c r="R761" s="49" t="s">
        <v>2572</v>
      </c>
      <c r="S761" s="53" t="n">
        <v>0</v>
      </c>
      <c r="T761" s="51" t="n">
        <v>1</v>
      </c>
      <c r="U761" s="56" t="n">
        <f aca="false">I761*O761</f>
        <v>0</v>
      </c>
      <c r="V761" s="56" t="n">
        <f aca="false">J761*O761</f>
        <v>0</v>
      </c>
      <c r="W761" s="56" t="n">
        <f aca="false">((I761+J761)/2)*O761</f>
        <v>0</v>
      </c>
      <c r="X761" s="56" t="n">
        <f aca="false">H761*O761</f>
        <v>0</v>
      </c>
    </row>
    <row r="762" customFormat="false" ht="22.35" hidden="false" customHeight="false" outlineLevel="0" collapsed="false">
      <c r="A762" s="76" t="s">
        <v>2063</v>
      </c>
      <c r="B762" s="7" t="s">
        <v>3341</v>
      </c>
      <c r="C762" s="7" t="s">
        <v>3342</v>
      </c>
      <c r="D762" s="7" t="s">
        <v>2570</v>
      </c>
      <c r="E762" s="77" t="s">
        <v>2571</v>
      </c>
      <c r="F762" s="7" t="s">
        <v>2097</v>
      </c>
      <c r="G762" s="7" t="s">
        <v>2097</v>
      </c>
      <c r="H762" s="9" t="n">
        <v>16</v>
      </c>
      <c r="I762" s="9" t="n">
        <v>0</v>
      </c>
      <c r="J762" s="9" t="n">
        <v>0</v>
      </c>
      <c r="K762" s="52" t="n">
        <v>0</v>
      </c>
      <c r="L762" s="58" t="n">
        <v>26.1</v>
      </c>
      <c r="M762" s="59"/>
      <c r="N762" s="9" t="n">
        <v>0.149315</v>
      </c>
      <c r="O762" s="8" t="n">
        <v>0</v>
      </c>
      <c r="P762" s="9" t="n">
        <v>16</v>
      </c>
      <c r="Q762" s="7" t="s">
        <v>2098</v>
      </c>
      <c r="R762" s="7" t="s">
        <v>2572</v>
      </c>
      <c r="S762" s="58" t="n">
        <v>0</v>
      </c>
      <c r="T762" s="9" t="n">
        <v>1</v>
      </c>
      <c r="U762" s="56" t="n">
        <f aca="false">I762*O762</f>
        <v>0</v>
      </c>
      <c r="V762" s="56" t="n">
        <f aca="false">J762*O762</f>
        <v>0</v>
      </c>
      <c r="W762" s="56" t="n">
        <f aca="false">((I762+J762)/2)*O762</f>
        <v>0</v>
      </c>
      <c r="X762" s="56" t="n">
        <f aca="false">H762*O762</f>
        <v>0</v>
      </c>
    </row>
    <row r="763" customFormat="false" ht="22.35" hidden="false" customHeight="false" outlineLevel="0" collapsed="false">
      <c r="A763" s="76" t="s">
        <v>2063</v>
      </c>
      <c r="B763" s="49" t="s">
        <v>3343</v>
      </c>
      <c r="C763" s="49" t="s">
        <v>3342</v>
      </c>
      <c r="D763" s="49" t="s">
        <v>2570</v>
      </c>
      <c r="E763" s="77" t="s">
        <v>2571</v>
      </c>
      <c r="F763" s="49" t="s">
        <v>2097</v>
      </c>
      <c r="G763" s="49" t="s">
        <v>2097</v>
      </c>
      <c r="H763" s="51" t="n">
        <v>48</v>
      </c>
      <c r="I763" s="51" t="n">
        <v>0</v>
      </c>
      <c r="J763" s="51" t="n">
        <v>0</v>
      </c>
      <c r="K763" s="52" t="n">
        <v>0</v>
      </c>
      <c r="L763" s="53" t="n">
        <v>26.1</v>
      </c>
      <c r="M763" s="54"/>
      <c r="N763" s="51" t="n">
        <v>0.539726</v>
      </c>
      <c r="O763" s="55" t="n">
        <v>0</v>
      </c>
      <c r="P763" s="51" t="n">
        <v>48</v>
      </c>
      <c r="Q763" s="49" t="s">
        <v>2098</v>
      </c>
      <c r="R763" s="49" t="s">
        <v>2572</v>
      </c>
      <c r="S763" s="53" t="n">
        <v>0</v>
      </c>
      <c r="T763" s="51" t="n">
        <v>1</v>
      </c>
      <c r="U763" s="56" t="n">
        <f aca="false">I763*O763</f>
        <v>0</v>
      </c>
      <c r="V763" s="56" t="n">
        <f aca="false">J763*O763</f>
        <v>0</v>
      </c>
      <c r="W763" s="56" t="n">
        <f aca="false">((I763+J763)/2)*O763</f>
        <v>0</v>
      </c>
      <c r="X763" s="56" t="n">
        <f aca="false">H763*O763</f>
        <v>0</v>
      </c>
    </row>
    <row r="764" customFormat="false" ht="22.35" hidden="false" customHeight="false" outlineLevel="0" collapsed="false">
      <c r="A764" s="76" t="s">
        <v>2063</v>
      </c>
      <c r="B764" s="7" t="s">
        <v>3344</v>
      </c>
      <c r="C764" s="7" t="s">
        <v>3345</v>
      </c>
      <c r="D764" s="7" t="s">
        <v>2570</v>
      </c>
      <c r="E764" s="77" t="s">
        <v>2571</v>
      </c>
      <c r="F764" s="7" t="s">
        <v>2097</v>
      </c>
      <c r="G764" s="7" t="s">
        <v>2097</v>
      </c>
      <c r="H764" s="9" t="n">
        <v>32</v>
      </c>
      <c r="I764" s="9" t="n">
        <v>0</v>
      </c>
      <c r="J764" s="9" t="n">
        <v>0</v>
      </c>
      <c r="K764" s="52" t="n">
        <v>0</v>
      </c>
      <c r="L764" s="58" t="n">
        <v>26.1</v>
      </c>
      <c r="M764" s="59"/>
      <c r="N764" s="9" t="n">
        <v>0.330137</v>
      </c>
      <c r="O764" s="8" t="n">
        <v>0</v>
      </c>
      <c r="P764" s="9" t="n">
        <v>32</v>
      </c>
      <c r="Q764" s="7" t="s">
        <v>2098</v>
      </c>
      <c r="R764" s="7" t="s">
        <v>2572</v>
      </c>
      <c r="S764" s="58" t="n">
        <v>0</v>
      </c>
      <c r="T764" s="9" t="n">
        <v>1</v>
      </c>
      <c r="U764" s="56" t="n">
        <f aca="false">I764*O764</f>
        <v>0</v>
      </c>
      <c r="V764" s="56" t="n">
        <f aca="false">J764*O764</f>
        <v>0</v>
      </c>
      <c r="W764" s="56" t="n">
        <f aca="false">((I764+J764)/2)*O764</f>
        <v>0</v>
      </c>
      <c r="X764" s="56" t="n">
        <f aca="false">H764*O764</f>
        <v>0</v>
      </c>
    </row>
    <row r="765" customFormat="false" ht="22.35" hidden="false" customHeight="false" outlineLevel="0" collapsed="false">
      <c r="A765" s="76" t="s">
        <v>2063</v>
      </c>
      <c r="B765" s="49" t="s">
        <v>3346</v>
      </c>
      <c r="C765" s="49" t="s">
        <v>3338</v>
      </c>
      <c r="D765" s="49" t="s">
        <v>2570</v>
      </c>
      <c r="E765" s="77" t="s">
        <v>2571</v>
      </c>
      <c r="F765" s="49" t="s">
        <v>2097</v>
      </c>
      <c r="G765" s="49" t="s">
        <v>2097</v>
      </c>
      <c r="H765" s="51" t="n">
        <v>72</v>
      </c>
      <c r="I765" s="51" t="n">
        <v>0</v>
      </c>
      <c r="J765" s="51" t="n">
        <v>0</v>
      </c>
      <c r="K765" s="52" t="n">
        <v>0</v>
      </c>
      <c r="L765" s="53" t="n">
        <v>26.1</v>
      </c>
      <c r="M765" s="54"/>
      <c r="N765" s="51" t="n">
        <v>0.663014</v>
      </c>
      <c r="O765" s="55" t="n">
        <v>0</v>
      </c>
      <c r="P765" s="51" t="n">
        <v>72</v>
      </c>
      <c r="Q765" s="49" t="s">
        <v>2098</v>
      </c>
      <c r="R765" s="49" t="s">
        <v>2572</v>
      </c>
      <c r="S765" s="53" t="n">
        <v>0</v>
      </c>
      <c r="T765" s="51" t="n">
        <v>1</v>
      </c>
      <c r="U765" s="56" t="n">
        <f aca="false">I765*O765</f>
        <v>0</v>
      </c>
      <c r="V765" s="56" t="n">
        <f aca="false">J765*O765</f>
        <v>0</v>
      </c>
      <c r="W765" s="56" t="n">
        <f aca="false">((I765+J765)/2)*O765</f>
        <v>0</v>
      </c>
      <c r="X765" s="56" t="n">
        <f aca="false">H765*O765</f>
        <v>0</v>
      </c>
    </row>
    <row r="766" customFormat="false" ht="22.35" hidden="false" customHeight="false" outlineLevel="0" collapsed="false">
      <c r="A766" s="76" t="s">
        <v>2063</v>
      </c>
      <c r="B766" s="7" t="s">
        <v>3347</v>
      </c>
      <c r="C766" s="7" t="s">
        <v>3338</v>
      </c>
      <c r="D766" s="7" t="s">
        <v>2570</v>
      </c>
      <c r="E766" s="77" t="s">
        <v>2571</v>
      </c>
      <c r="F766" s="7" t="s">
        <v>2097</v>
      </c>
      <c r="G766" s="7" t="s">
        <v>2097</v>
      </c>
      <c r="H766" s="9" t="n">
        <v>20</v>
      </c>
      <c r="I766" s="9" t="n">
        <v>0</v>
      </c>
      <c r="J766" s="9" t="n">
        <v>0</v>
      </c>
      <c r="K766" s="52" t="n">
        <v>0</v>
      </c>
      <c r="L766" s="58" t="n">
        <v>26.1</v>
      </c>
      <c r="M766" s="59"/>
      <c r="N766" s="9" t="n">
        <v>0.242466</v>
      </c>
      <c r="O766" s="8" t="n">
        <v>0</v>
      </c>
      <c r="P766" s="9" t="n">
        <v>20</v>
      </c>
      <c r="Q766" s="7" t="s">
        <v>2098</v>
      </c>
      <c r="R766" s="7" t="s">
        <v>2572</v>
      </c>
      <c r="S766" s="58" t="n">
        <v>0</v>
      </c>
      <c r="T766" s="9" t="n">
        <v>1</v>
      </c>
      <c r="U766" s="56" t="n">
        <f aca="false">I766*O766</f>
        <v>0</v>
      </c>
      <c r="V766" s="56" t="n">
        <f aca="false">J766*O766</f>
        <v>0</v>
      </c>
      <c r="W766" s="56" t="n">
        <f aca="false">((I766+J766)/2)*O766</f>
        <v>0</v>
      </c>
      <c r="X766" s="56" t="n">
        <f aca="false">H766*O766</f>
        <v>0</v>
      </c>
    </row>
    <row r="767" customFormat="false" ht="22.35" hidden="false" customHeight="false" outlineLevel="0" collapsed="false">
      <c r="A767" s="76" t="s">
        <v>2063</v>
      </c>
      <c r="B767" s="49" t="s">
        <v>3348</v>
      </c>
      <c r="C767" s="49" t="s">
        <v>3349</v>
      </c>
      <c r="D767" s="49" t="s">
        <v>2570</v>
      </c>
      <c r="E767" s="77" t="s">
        <v>2571</v>
      </c>
      <c r="F767" s="49" t="s">
        <v>2097</v>
      </c>
      <c r="G767" s="49" t="s">
        <v>2097</v>
      </c>
      <c r="H767" s="51" t="n">
        <v>12</v>
      </c>
      <c r="I767" s="51" t="n">
        <v>0</v>
      </c>
      <c r="J767" s="51" t="n">
        <v>0</v>
      </c>
      <c r="K767" s="52" t="n">
        <v>0</v>
      </c>
      <c r="L767" s="53" t="n">
        <v>26.1</v>
      </c>
      <c r="M767" s="54"/>
      <c r="N767" s="51" t="n">
        <v>0.121918</v>
      </c>
      <c r="O767" s="55" t="n">
        <v>0</v>
      </c>
      <c r="P767" s="51" t="n">
        <v>12</v>
      </c>
      <c r="Q767" s="49" t="s">
        <v>2098</v>
      </c>
      <c r="R767" s="49" t="s">
        <v>2572</v>
      </c>
      <c r="S767" s="53" t="n">
        <v>0</v>
      </c>
      <c r="T767" s="51" t="n">
        <v>1</v>
      </c>
      <c r="U767" s="56" t="n">
        <f aca="false">I767*O767</f>
        <v>0</v>
      </c>
      <c r="V767" s="56" t="n">
        <f aca="false">J767*O767</f>
        <v>0</v>
      </c>
      <c r="W767" s="56" t="n">
        <f aca="false">((I767+J767)/2)*O767</f>
        <v>0</v>
      </c>
      <c r="X767" s="56" t="n">
        <f aca="false">H767*O767</f>
        <v>0</v>
      </c>
    </row>
    <row r="768" customFormat="false" ht="22.35" hidden="false" customHeight="false" outlineLevel="0" collapsed="false">
      <c r="A768" s="76" t="s">
        <v>2063</v>
      </c>
      <c r="B768" s="7" t="s">
        <v>3350</v>
      </c>
      <c r="C768" s="7" t="s">
        <v>3351</v>
      </c>
      <c r="D768" s="7" t="s">
        <v>2570</v>
      </c>
      <c r="E768" s="77" t="s">
        <v>2571</v>
      </c>
      <c r="F768" s="7" t="s">
        <v>2097</v>
      </c>
      <c r="G768" s="7" t="s">
        <v>2097</v>
      </c>
      <c r="H768" s="9" t="n">
        <v>36</v>
      </c>
      <c r="I768" s="9" t="n">
        <v>0</v>
      </c>
      <c r="J768" s="9" t="n">
        <v>0</v>
      </c>
      <c r="K768" s="52" t="n">
        <v>0</v>
      </c>
      <c r="L768" s="58" t="n">
        <v>26.1</v>
      </c>
      <c r="M768" s="59"/>
      <c r="N768" s="9" t="n">
        <v>0.450685</v>
      </c>
      <c r="O768" s="8" t="n">
        <v>0</v>
      </c>
      <c r="P768" s="9" t="n">
        <v>36</v>
      </c>
      <c r="Q768" s="7" t="s">
        <v>2098</v>
      </c>
      <c r="R768" s="7" t="s">
        <v>2572</v>
      </c>
      <c r="S768" s="58" t="n">
        <v>0</v>
      </c>
      <c r="T768" s="9" t="n">
        <v>1</v>
      </c>
      <c r="U768" s="56" t="n">
        <f aca="false">I768*O768</f>
        <v>0</v>
      </c>
      <c r="V768" s="56" t="n">
        <f aca="false">J768*O768</f>
        <v>0</v>
      </c>
      <c r="W768" s="56" t="n">
        <f aca="false">((I768+J768)/2)*O768</f>
        <v>0</v>
      </c>
      <c r="X768" s="56" t="n">
        <f aca="false">H768*O768</f>
        <v>0</v>
      </c>
    </row>
    <row r="769" customFormat="false" ht="22.35" hidden="false" customHeight="false" outlineLevel="0" collapsed="false">
      <c r="A769" s="76" t="s">
        <v>2063</v>
      </c>
      <c r="B769" s="49" t="s">
        <v>3352</v>
      </c>
      <c r="C769" s="49" t="s">
        <v>3351</v>
      </c>
      <c r="D769" s="49" t="s">
        <v>2570</v>
      </c>
      <c r="E769" s="77" t="s">
        <v>2571</v>
      </c>
      <c r="F769" s="49" t="s">
        <v>2097</v>
      </c>
      <c r="G769" s="49" t="s">
        <v>2097</v>
      </c>
      <c r="H769" s="51" t="n">
        <v>36</v>
      </c>
      <c r="I769" s="51" t="n">
        <v>0</v>
      </c>
      <c r="J769" s="51" t="n">
        <v>0</v>
      </c>
      <c r="K769" s="52" t="n">
        <v>0</v>
      </c>
      <c r="L769" s="53" t="n">
        <v>26.1</v>
      </c>
      <c r="M769" s="54"/>
      <c r="N769" s="51" t="n">
        <v>0.289041</v>
      </c>
      <c r="O769" s="55" t="n">
        <v>0</v>
      </c>
      <c r="P769" s="51" t="n">
        <v>36</v>
      </c>
      <c r="Q769" s="49" t="s">
        <v>2098</v>
      </c>
      <c r="R769" s="49" t="s">
        <v>2572</v>
      </c>
      <c r="S769" s="53" t="n">
        <v>0</v>
      </c>
      <c r="T769" s="51" t="n">
        <v>1</v>
      </c>
      <c r="U769" s="56" t="n">
        <f aca="false">I769*O769</f>
        <v>0</v>
      </c>
      <c r="V769" s="56" t="n">
        <f aca="false">J769*O769</f>
        <v>0</v>
      </c>
      <c r="W769" s="56" t="n">
        <f aca="false">((I769+J769)/2)*O769</f>
        <v>0</v>
      </c>
      <c r="X769" s="56" t="n">
        <f aca="false">H769*O769</f>
        <v>0</v>
      </c>
    </row>
    <row r="770" customFormat="false" ht="22.35" hidden="false" customHeight="false" outlineLevel="0" collapsed="false">
      <c r="A770" s="76" t="s">
        <v>2063</v>
      </c>
      <c r="B770" s="7" t="s">
        <v>3353</v>
      </c>
      <c r="C770" s="7" t="s">
        <v>3354</v>
      </c>
      <c r="D770" s="7" t="s">
        <v>2570</v>
      </c>
      <c r="E770" s="77" t="s">
        <v>2571</v>
      </c>
      <c r="F770" s="7" t="s">
        <v>2097</v>
      </c>
      <c r="G770" s="7" t="s">
        <v>2097</v>
      </c>
      <c r="H770" s="9" t="n">
        <v>8</v>
      </c>
      <c r="I770" s="9" t="n">
        <v>0</v>
      </c>
      <c r="J770" s="9" t="n">
        <v>0</v>
      </c>
      <c r="K770" s="52" t="n">
        <v>0</v>
      </c>
      <c r="L770" s="58" t="n">
        <v>26.1</v>
      </c>
      <c r="M770" s="59"/>
      <c r="N770" s="9" t="n">
        <v>0.119178</v>
      </c>
      <c r="O770" s="8" t="n">
        <v>0</v>
      </c>
      <c r="P770" s="9" t="n">
        <v>8</v>
      </c>
      <c r="Q770" s="7" t="s">
        <v>2098</v>
      </c>
      <c r="R770" s="7" t="s">
        <v>2572</v>
      </c>
      <c r="S770" s="58" t="n">
        <v>0</v>
      </c>
      <c r="T770" s="9" t="n">
        <v>1</v>
      </c>
      <c r="U770" s="56" t="n">
        <f aca="false">I770*O770</f>
        <v>0</v>
      </c>
      <c r="V770" s="56" t="n">
        <f aca="false">J770*O770</f>
        <v>0</v>
      </c>
      <c r="W770" s="56" t="n">
        <f aca="false">((I770+J770)/2)*O770</f>
        <v>0</v>
      </c>
      <c r="X770" s="56" t="n">
        <f aca="false">H770*O770</f>
        <v>0</v>
      </c>
    </row>
    <row r="771" customFormat="false" ht="22.35" hidden="false" customHeight="false" outlineLevel="0" collapsed="false">
      <c r="A771" s="76" t="s">
        <v>2063</v>
      </c>
      <c r="B771" s="49" t="s">
        <v>3355</v>
      </c>
      <c r="C771" s="49" t="s">
        <v>3356</v>
      </c>
      <c r="D771" s="49" t="s">
        <v>2570</v>
      </c>
      <c r="E771" s="77" t="s">
        <v>2571</v>
      </c>
      <c r="F771" s="49" t="s">
        <v>2097</v>
      </c>
      <c r="G771" s="49" t="s">
        <v>2097</v>
      </c>
      <c r="H771" s="51" t="n">
        <v>8</v>
      </c>
      <c r="I771" s="51" t="n">
        <v>0</v>
      </c>
      <c r="J771" s="51" t="n">
        <v>0</v>
      </c>
      <c r="K771" s="52" t="n">
        <v>0</v>
      </c>
      <c r="L771" s="53" t="n">
        <v>26.1</v>
      </c>
      <c r="M771" s="54"/>
      <c r="N771" s="51" t="n">
        <v>0.173973</v>
      </c>
      <c r="O771" s="55" t="n">
        <v>0</v>
      </c>
      <c r="P771" s="51" t="n">
        <v>8</v>
      </c>
      <c r="Q771" s="49" t="s">
        <v>2098</v>
      </c>
      <c r="R771" s="49" t="s">
        <v>2572</v>
      </c>
      <c r="S771" s="53" t="n">
        <v>0</v>
      </c>
      <c r="T771" s="51" t="n">
        <v>1</v>
      </c>
      <c r="U771" s="56" t="n">
        <f aca="false">I771*O771</f>
        <v>0</v>
      </c>
      <c r="V771" s="56" t="n">
        <f aca="false">J771*O771</f>
        <v>0</v>
      </c>
      <c r="W771" s="56" t="n">
        <f aca="false">((I771+J771)/2)*O771</f>
        <v>0</v>
      </c>
      <c r="X771" s="56" t="n">
        <f aca="false">H771*O771</f>
        <v>0</v>
      </c>
    </row>
    <row r="772" customFormat="false" ht="22.35" hidden="false" customHeight="false" outlineLevel="0" collapsed="false">
      <c r="A772" s="76" t="s">
        <v>2063</v>
      </c>
      <c r="B772" s="7" t="s">
        <v>3357</v>
      </c>
      <c r="C772" s="7" t="s">
        <v>3358</v>
      </c>
      <c r="D772" s="7" t="s">
        <v>2570</v>
      </c>
      <c r="E772" s="77" t="s">
        <v>2571</v>
      </c>
      <c r="F772" s="7" t="s">
        <v>2097</v>
      </c>
      <c r="G772" s="7" t="s">
        <v>2097</v>
      </c>
      <c r="H772" s="9" t="n">
        <v>12</v>
      </c>
      <c r="I772" s="9" t="n">
        <v>0</v>
      </c>
      <c r="J772" s="9" t="n">
        <v>0</v>
      </c>
      <c r="K772" s="52" t="n">
        <v>0</v>
      </c>
      <c r="L772" s="58" t="n">
        <v>26.1</v>
      </c>
      <c r="M772" s="59"/>
      <c r="N772" s="9" t="n">
        <v>0.152055</v>
      </c>
      <c r="O772" s="8" t="n">
        <v>0</v>
      </c>
      <c r="P772" s="9" t="n">
        <v>12</v>
      </c>
      <c r="Q772" s="7" t="s">
        <v>2098</v>
      </c>
      <c r="R772" s="7" t="s">
        <v>2572</v>
      </c>
      <c r="S772" s="58" t="n">
        <v>0</v>
      </c>
      <c r="T772" s="9" t="n">
        <v>1</v>
      </c>
      <c r="U772" s="56" t="n">
        <f aca="false">I772*O772</f>
        <v>0</v>
      </c>
      <c r="V772" s="56" t="n">
        <f aca="false">J772*O772</f>
        <v>0</v>
      </c>
      <c r="W772" s="56" t="n">
        <f aca="false">((I772+J772)/2)*O772</f>
        <v>0</v>
      </c>
      <c r="X772" s="56" t="n">
        <f aca="false">H772*O772</f>
        <v>0</v>
      </c>
    </row>
    <row r="773" customFormat="false" ht="22.35" hidden="false" customHeight="false" outlineLevel="0" collapsed="false">
      <c r="A773" s="76" t="s">
        <v>2063</v>
      </c>
      <c r="B773" s="49" t="s">
        <v>3359</v>
      </c>
      <c r="C773" s="49" t="s">
        <v>3356</v>
      </c>
      <c r="D773" s="49" t="s">
        <v>2570</v>
      </c>
      <c r="E773" s="77" t="s">
        <v>2571</v>
      </c>
      <c r="F773" s="49" t="s">
        <v>2097</v>
      </c>
      <c r="G773" s="49" t="s">
        <v>2097</v>
      </c>
      <c r="H773" s="51" t="n">
        <v>12</v>
      </c>
      <c r="I773" s="51" t="n">
        <v>0</v>
      </c>
      <c r="J773" s="51" t="n">
        <v>0</v>
      </c>
      <c r="K773" s="52" t="n">
        <v>0</v>
      </c>
      <c r="L773" s="53" t="n">
        <v>26.1</v>
      </c>
      <c r="M773" s="54"/>
      <c r="N773" s="51" t="n">
        <v>0.138356</v>
      </c>
      <c r="O773" s="55" t="n">
        <v>0</v>
      </c>
      <c r="P773" s="51" t="n">
        <v>12</v>
      </c>
      <c r="Q773" s="49" t="s">
        <v>2098</v>
      </c>
      <c r="R773" s="49" t="s">
        <v>2572</v>
      </c>
      <c r="S773" s="53" t="n">
        <v>0</v>
      </c>
      <c r="T773" s="51" t="n">
        <v>1</v>
      </c>
      <c r="U773" s="56" t="n">
        <f aca="false">I773*O773</f>
        <v>0</v>
      </c>
      <c r="V773" s="56" t="n">
        <f aca="false">J773*O773</f>
        <v>0</v>
      </c>
      <c r="W773" s="56" t="n">
        <f aca="false">((I773+J773)/2)*O773</f>
        <v>0</v>
      </c>
      <c r="X773" s="56" t="n">
        <f aca="false">H773*O773</f>
        <v>0</v>
      </c>
    </row>
    <row r="774" customFormat="false" ht="22.35" hidden="false" customHeight="false" outlineLevel="0" collapsed="false">
      <c r="A774" s="76" t="s">
        <v>2063</v>
      </c>
      <c r="B774" s="7" t="s">
        <v>3360</v>
      </c>
      <c r="C774" s="7" t="s">
        <v>3356</v>
      </c>
      <c r="D774" s="7" t="s">
        <v>2570</v>
      </c>
      <c r="E774" s="77" t="s">
        <v>2571</v>
      </c>
      <c r="F774" s="7" t="s">
        <v>2097</v>
      </c>
      <c r="G774" s="7" t="s">
        <v>2097</v>
      </c>
      <c r="H774" s="9" t="n">
        <v>4</v>
      </c>
      <c r="I774" s="9" t="n">
        <v>0</v>
      </c>
      <c r="J774" s="9" t="n">
        <v>0</v>
      </c>
      <c r="K774" s="52" t="n">
        <v>0</v>
      </c>
      <c r="L774" s="58" t="n">
        <v>26.1</v>
      </c>
      <c r="M774" s="59"/>
      <c r="N774" s="9" t="n">
        <v>0.056164</v>
      </c>
      <c r="O774" s="8" t="n">
        <v>0</v>
      </c>
      <c r="P774" s="9" t="n">
        <v>4</v>
      </c>
      <c r="Q774" s="7" t="s">
        <v>2098</v>
      </c>
      <c r="R774" s="7" t="s">
        <v>2572</v>
      </c>
      <c r="S774" s="58" t="n">
        <v>0</v>
      </c>
      <c r="T774" s="9" t="n">
        <v>1</v>
      </c>
      <c r="U774" s="56" t="n">
        <f aca="false">I774*O774</f>
        <v>0</v>
      </c>
      <c r="V774" s="56" t="n">
        <f aca="false">J774*O774</f>
        <v>0</v>
      </c>
      <c r="W774" s="56" t="n">
        <f aca="false">((I774+J774)/2)*O774</f>
        <v>0</v>
      </c>
      <c r="X774" s="56" t="n">
        <f aca="false">H774*O774</f>
        <v>0</v>
      </c>
    </row>
    <row r="775" customFormat="false" ht="22.35" hidden="false" customHeight="false" outlineLevel="0" collapsed="false">
      <c r="A775" s="76" t="s">
        <v>2063</v>
      </c>
      <c r="B775" s="49" t="s">
        <v>3361</v>
      </c>
      <c r="C775" s="49" t="s">
        <v>3362</v>
      </c>
      <c r="D775" s="49" t="s">
        <v>2570</v>
      </c>
      <c r="E775" s="77" t="s">
        <v>2571</v>
      </c>
      <c r="F775" s="49" t="s">
        <v>2097</v>
      </c>
      <c r="G775" s="49" t="s">
        <v>2097</v>
      </c>
      <c r="H775" s="51" t="n">
        <v>3</v>
      </c>
      <c r="I775" s="51" t="n">
        <v>0</v>
      </c>
      <c r="J775" s="51" t="n">
        <v>0</v>
      </c>
      <c r="K775" s="52" t="n">
        <v>0</v>
      </c>
      <c r="L775" s="53" t="n">
        <v>26.1</v>
      </c>
      <c r="M775" s="54"/>
      <c r="N775" s="51" t="n">
        <v>0.032877</v>
      </c>
      <c r="O775" s="55" t="n">
        <v>0</v>
      </c>
      <c r="P775" s="51" t="n">
        <v>3</v>
      </c>
      <c r="Q775" s="49" t="s">
        <v>2098</v>
      </c>
      <c r="R775" s="49" t="s">
        <v>2572</v>
      </c>
      <c r="S775" s="53" t="n">
        <v>0</v>
      </c>
      <c r="T775" s="51" t="n">
        <v>1</v>
      </c>
      <c r="U775" s="56" t="n">
        <f aca="false">I775*O775</f>
        <v>0</v>
      </c>
      <c r="V775" s="56" t="n">
        <f aca="false">J775*O775</f>
        <v>0</v>
      </c>
      <c r="W775" s="56" t="n">
        <f aca="false">((I775+J775)/2)*O775</f>
        <v>0</v>
      </c>
      <c r="X775" s="56" t="n">
        <f aca="false">H775*O775</f>
        <v>0</v>
      </c>
    </row>
    <row r="776" customFormat="false" ht="22.35" hidden="false" customHeight="false" outlineLevel="0" collapsed="false">
      <c r="A776" s="76" t="s">
        <v>2063</v>
      </c>
      <c r="B776" s="7" t="s">
        <v>3363</v>
      </c>
      <c r="C776" s="7" t="s">
        <v>3364</v>
      </c>
      <c r="D776" s="7" t="s">
        <v>2570</v>
      </c>
      <c r="E776" s="77" t="s">
        <v>2571</v>
      </c>
      <c r="F776" s="7" t="s">
        <v>2097</v>
      </c>
      <c r="G776" s="7" t="s">
        <v>2097</v>
      </c>
      <c r="H776" s="9" t="n">
        <v>12</v>
      </c>
      <c r="I776" s="9" t="n">
        <v>0</v>
      </c>
      <c r="J776" s="9" t="n">
        <v>0</v>
      </c>
      <c r="K776" s="52" t="n">
        <v>0</v>
      </c>
      <c r="L776" s="58" t="n">
        <v>26.1</v>
      </c>
      <c r="M776" s="59"/>
      <c r="N776" s="9" t="n">
        <v>0.242466</v>
      </c>
      <c r="O776" s="8" t="n">
        <v>0</v>
      </c>
      <c r="P776" s="9" t="n">
        <v>12</v>
      </c>
      <c r="Q776" s="7" t="s">
        <v>2098</v>
      </c>
      <c r="R776" s="7" t="s">
        <v>2572</v>
      </c>
      <c r="S776" s="58" t="n">
        <v>0</v>
      </c>
      <c r="T776" s="9" t="n">
        <v>1</v>
      </c>
      <c r="U776" s="56" t="n">
        <f aca="false">I776*O776</f>
        <v>0</v>
      </c>
      <c r="V776" s="56" t="n">
        <f aca="false">J776*O776</f>
        <v>0</v>
      </c>
      <c r="W776" s="56" t="n">
        <f aca="false">((I776+J776)/2)*O776</f>
        <v>0</v>
      </c>
      <c r="X776" s="56" t="n">
        <f aca="false">H776*O776</f>
        <v>0</v>
      </c>
    </row>
    <row r="777" customFormat="false" ht="22.35" hidden="false" customHeight="false" outlineLevel="0" collapsed="false">
      <c r="A777" s="76" t="s">
        <v>2063</v>
      </c>
      <c r="B777" s="49" t="s">
        <v>3365</v>
      </c>
      <c r="C777" s="49" t="s">
        <v>3364</v>
      </c>
      <c r="D777" s="49" t="s">
        <v>2570</v>
      </c>
      <c r="E777" s="77" t="s">
        <v>2571</v>
      </c>
      <c r="F777" s="49" t="s">
        <v>2097</v>
      </c>
      <c r="G777" s="49" t="s">
        <v>2097</v>
      </c>
      <c r="H777" s="51" t="n">
        <v>16</v>
      </c>
      <c r="I777" s="51" t="n">
        <v>0</v>
      </c>
      <c r="J777" s="51" t="n">
        <v>0</v>
      </c>
      <c r="K777" s="52" t="n">
        <v>0</v>
      </c>
      <c r="L777" s="53" t="n">
        <v>26.1</v>
      </c>
      <c r="M777" s="54"/>
      <c r="N777" s="51" t="n">
        <v>0.124658</v>
      </c>
      <c r="O777" s="55" t="n">
        <v>0</v>
      </c>
      <c r="P777" s="51" t="n">
        <v>16</v>
      </c>
      <c r="Q777" s="49" t="s">
        <v>2098</v>
      </c>
      <c r="R777" s="49" t="s">
        <v>2572</v>
      </c>
      <c r="S777" s="53" t="n">
        <v>0</v>
      </c>
      <c r="T777" s="51" t="n">
        <v>1</v>
      </c>
      <c r="U777" s="56" t="n">
        <f aca="false">I777*O777</f>
        <v>0</v>
      </c>
      <c r="V777" s="56" t="n">
        <f aca="false">J777*O777</f>
        <v>0</v>
      </c>
      <c r="W777" s="56" t="n">
        <f aca="false">((I777+J777)/2)*O777</f>
        <v>0</v>
      </c>
      <c r="X777" s="56" t="n">
        <f aca="false">H777*O777</f>
        <v>0</v>
      </c>
    </row>
    <row r="778" customFormat="false" ht="22.35" hidden="false" customHeight="false" outlineLevel="0" collapsed="false">
      <c r="A778" s="76" t="s">
        <v>2063</v>
      </c>
      <c r="B778" s="7" t="s">
        <v>3366</v>
      </c>
      <c r="C778" s="7" t="s">
        <v>3367</v>
      </c>
      <c r="D778" s="7" t="s">
        <v>2570</v>
      </c>
      <c r="E778" s="77" t="s">
        <v>2571</v>
      </c>
      <c r="F778" s="7" t="s">
        <v>2097</v>
      </c>
      <c r="G778" s="7" t="s">
        <v>2097</v>
      </c>
      <c r="H778" s="9" t="n">
        <v>3</v>
      </c>
      <c r="I778" s="9" t="n">
        <v>0</v>
      </c>
      <c r="J778" s="9" t="n">
        <v>0</v>
      </c>
      <c r="K778" s="52" t="n">
        <v>0</v>
      </c>
      <c r="L778" s="58" t="n">
        <v>39</v>
      </c>
      <c r="M778" s="59" t="n">
        <v>100</v>
      </c>
      <c r="N778" s="9" t="n">
        <v>0.008219</v>
      </c>
      <c r="O778" s="8" t="n">
        <v>0</v>
      </c>
      <c r="P778" s="9" t="n">
        <v>3</v>
      </c>
      <c r="Q778" s="7" t="s">
        <v>2098</v>
      </c>
      <c r="R778" s="7" t="s">
        <v>2572</v>
      </c>
      <c r="S778" s="58" t="n">
        <v>0</v>
      </c>
      <c r="T778" s="9" t="n">
        <v>1</v>
      </c>
      <c r="U778" s="56" t="n">
        <f aca="false">I778*O778</f>
        <v>0</v>
      </c>
      <c r="V778" s="56" t="n">
        <f aca="false">J778*O778</f>
        <v>0</v>
      </c>
      <c r="W778" s="56" t="n">
        <f aca="false">((I778+J778)/2)*O778</f>
        <v>0</v>
      </c>
      <c r="X778" s="56" t="n">
        <f aca="false">H778*O778</f>
        <v>0</v>
      </c>
    </row>
    <row r="779" customFormat="false" ht="22.35" hidden="false" customHeight="false" outlineLevel="0" collapsed="false">
      <c r="A779" s="76" t="s">
        <v>2063</v>
      </c>
      <c r="B779" s="49" t="s">
        <v>3368</v>
      </c>
      <c r="C779" s="49" t="s">
        <v>3369</v>
      </c>
      <c r="D779" s="49" t="s">
        <v>2570</v>
      </c>
      <c r="E779" s="77" t="s">
        <v>2571</v>
      </c>
      <c r="F779" s="49" t="s">
        <v>2097</v>
      </c>
      <c r="G779" s="49" t="s">
        <v>2097</v>
      </c>
      <c r="H779" s="51" t="n">
        <v>20</v>
      </c>
      <c r="I779" s="51" t="n">
        <v>0</v>
      </c>
      <c r="J779" s="51" t="n">
        <v>0</v>
      </c>
      <c r="K779" s="52" t="n">
        <v>0</v>
      </c>
      <c r="L779" s="53" t="n">
        <v>29.6</v>
      </c>
      <c r="M779" s="54" t="n">
        <v>100</v>
      </c>
      <c r="N779" s="51" t="n">
        <v>0.354795</v>
      </c>
      <c r="O779" s="55" t="n">
        <v>0</v>
      </c>
      <c r="P779" s="51" t="n">
        <v>20</v>
      </c>
      <c r="Q779" s="49" t="s">
        <v>2098</v>
      </c>
      <c r="R779" s="49" t="s">
        <v>2572</v>
      </c>
      <c r="S779" s="53" t="n">
        <v>0</v>
      </c>
      <c r="T779" s="51" t="n">
        <v>1</v>
      </c>
      <c r="U779" s="56" t="n">
        <f aca="false">I779*O779</f>
        <v>0</v>
      </c>
      <c r="V779" s="56" t="n">
        <f aca="false">J779*O779</f>
        <v>0</v>
      </c>
      <c r="W779" s="56" t="n">
        <f aca="false">((I779+J779)/2)*O779</f>
        <v>0</v>
      </c>
      <c r="X779" s="56" t="n">
        <f aca="false">H779*O779</f>
        <v>0</v>
      </c>
    </row>
    <row r="780" customFormat="false" ht="22.35" hidden="false" customHeight="false" outlineLevel="0" collapsed="false">
      <c r="A780" s="76" t="s">
        <v>2063</v>
      </c>
      <c r="B780" s="7" t="s">
        <v>3370</v>
      </c>
      <c r="C780" s="7" t="s">
        <v>3371</v>
      </c>
      <c r="D780" s="7" t="s">
        <v>2570</v>
      </c>
      <c r="E780" s="77" t="s">
        <v>2571</v>
      </c>
      <c r="F780" s="7" t="s">
        <v>2097</v>
      </c>
      <c r="G780" s="7" t="s">
        <v>2097</v>
      </c>
      <c r="H780" s="9" t="n">
        <v>32</v>
      </c>
      <c r="I780" s="9" t="n">
        <v>0</v>
      </c>
      <c r="J780" s="9" t="n">
        <v>0</v>
      </c>
      <c r="K780" s="52" t="n">
        <v>0</v>
      </c>
      <c r="L780" s="58" t="n">
        <v>26.1</v>
      </c>
      <c r="M780" s="59"/>
      <c r="N780" s="9" t="n">
        <v>0.49726</v>
      </c>
      <c r="O780" s="8" t="n">
        <v>0</v>
      </c>
      <c r="P780" s="9" t="n">
        <v>32</v>
      </c>
      <c r="Q780" s="7" t="s">
        <v>2098</v>
      </c>
      <c r="R780" s="7" t="s">
        <v>2572</v>
      </c>
      <c r="S780" s="58" t="n">
        <v>0</v>
      </c>
      <c r="T780" s="9" t="n">
        <v>1</v>
      </c>
      <c r="U780" s="56" t="n">
        <f aca="false">I780*O780</f>
        <v>0</v>
      </c>
      <c r="V780" s="56" t="n">
        <f aca="false">J780*O780</f>
        <v>0</v>
      </c>
      <c r="W780" s="56" t="n">
        <f aca="false">((I780+J780)/2)*O780</f>
        <v>0</v>
      </c>
      <c r="X780" s="56" t="n">
        <f aca="false">H780*O780</f>
        <v>0</v>
      </c>
    </row>
    <row r="781" customFormat="false" ht="22.35" hidden="false" customHeight="false" outlineLevel="0" collapsed="false">
      <c r="A781" s="76" t="s">
        <v>2063</v>
      </c>
      <c r="B781" s="49" t="s">
        <v>3372</v>
      </c>
      <c r="C781" s="49" t="s">
        <v>3371</v>
      </c>
      <c r="D781" s="49" t="s">
        <v>2570</v>
      </c>
      <c r="E781" s="77" t="s">
        <v>2571</v>
      </c>
      <c r="F781" s="49" t="s">
        <v>2097</v>
      </c>
      <c r="G781" s="49" t="s">
        <v>2097</v>
      </c>
      <c r="H781" s="51" t="n">
        <v>96</v>
      </c>
      <c r="I781" s="51" t="n">
        <v>0</v>
      </c>
      <c r="J781" s="51" t="n">
        <v>0</v>
      </c>
      <c r="K781" s="52" t="n">
        <v>0</v>
      </c>
      <c r="L781" s="53" t="n">
        <v>26.1</v>
      </c>
      <c r="M781" s="54"/>
      <c r="N781" s="51" t="n">
        <v>1.045205</v>
      </c>
      <c r="O781" s="55" t="n">
        <v>0</v>
      </c>
      <c r="P781" s="51" t="n">
        <v>96</v>
      </c>
      <c r="Q781" s="49" t="s">
        <v>2098</v>
      </c>
      <c r="R781" s="49" t="s">
        <v>2572</v>
      </c>
      <c r="S781" s="53" t="n">
        <v>0</v>
      </c>
      <c r="T781" s="51" t="n">
        <v>1</v>
      </c>
      <c r="U781" s="56" t="n">
        <f aca="false">I781*O781</f>
        <v>0</v>
      </c>
      <c r="V781" s="56" t="n">
        <f aca="false">J781*O781</f>
        <v>0</v>
      </c>
      <c r="W781" s="56" t="n">
        <f aca="false">((I781+J781)/2)*O781</f>
        <v>0</v>
      </c>
      <c r="X781" s="56" t="n">
        <f aca="false">H781*O781</f>
        <v>0</v>
      </c>
    </row>
    <row r="782" customFormat="false" ht="22.35" hidden="false" customHeight="false" outlineLevel="0" collapsed="false">
      <c r="A782" s="76" t="s">
        <v>2063</v>
      </c>
      <c r="B782" s="7" t="s">
        <v>3373</v>
      </c>
      <c r="C782" s="7" t="s">
        <v>3371</v>
      </c>
      <c r="D782" s="7" t="s">
        <v>2570</v>
      </c>
      <c r="E782" s="77" t="s">
        <v>2571</v>
      </c>
      <c r="F782" s="7" t="s">
        <v>2097</v>
      </c>
      <c r="G782" s="7" t="s">
        <v>2097</v>
      </c>
      <c r="H782" s="9" t="n">
        <v>3</v>
      </c>
      <c r="I782" s="9" t="n">
        <v>0</v>
      </c>
      <c r="J782" s="9" t="n">
        <v>0</v>
      </c>
      <c r="K782" s="52" t="n">
        <v>0</v>
      </c>
      <c r="L782" s="58" t="n">
        <v>26.1</v>
      </c>
      <c r="M782" s="59"/>
      <c r="N782" s="9" t="n">
        <v>0.057534</v>
      </c>
      <c r="O782" s="8" t="n">
        <v>0</v>
      </c>
      <c r="P782" s="9" t="n">
        <v>3</v>
      </c>
      <c r="Q782" s="7" t="s">
        <v>2098</v>
      </c>
      <c r="R782" s="7" t="s">
        <v>2572</v>
      </c>
      <c r="S782" s="58" t="n">
        <v>0</v>
      </c>
      <c r="T782" s="9" t="n">
        <v>1</v>
      </c>
      <c r="U782" s="56" t="n">
        <f aca="false">I782*O782</f>
        <v>0</v>
      </c>
      <c r="V782" s="56" t="n">
        <f aca="false">J782*O782</f>
        <v>0</v>
      </c>
      <c r="W782" s="56" t="n">
        <f aca="false">((I782+J782)/2)*O782</f>
        <v>0</v>
      </c>
      <c r="X782" s="56" t="n">
        <f aca="false">H782*O782</f>
        <v>0</v>
      </c>
    </row>
    <row r="783" customFormat="false" ht="22.35" hidden="false" customHeight="false" outlineLevel="0" collapsed="false">
      <c r="A783" s="76" t="s">
        <v>2063</v>
      </c>
      <c r="B783" s="49" t="s">
        <v>3374</v>
      </c>
      <c r="C783" s="49" t="s">
        <v>3375</v>
      </c>
      <c r="D783" s="49" t="s">
        <v>2570</v>
      </c>
      <c r="E783" s="77" t="s">
        <v>2571</v>
      </c>
      <c r="F783" s="49" t="s">
        <v>2097</v>
      </c>
      <c r="G783" s="49" t="s">
        <v>2097</v>
      </c>
      <c r="H783" s="51" t="n">
        <v>72</v>
      </c>
      <c r="I783" s="51" t="n">
        <v>0</v>
      </c>
      <c r="J783" s="51" t="n">
        <v>0</v>
      </c>
      <c r="K783" s="52" t="n">
        <v>0</v>
      </c>
      <c r="L783" s="53" t="n">
        <v>26.1</v>
      </c>
      <c r="M783" s="54"/>
      <c r="N783" s="51" t="n">
        <v>0.935616</v>
      </c>
      <c r="O783" s="55" t="n">
        <v>0</v>
      </c>
      <c r="P783" s="51" t="n">
        <v>72</v>
      </c>
      <c r="Q783" s="49" t="s">
        <v>2098</v>
      </c>
      <c r="R783" s="49" t="s">
        <v>2572</v>
      </c>
      <c r="S783" s="53" t="n">
        <v>0</v>
      </c>
      <c r="T783" s="51" t="n">
        <v>1</v>
      </c>
      <c r="U783" s="56" t="n">
        <f aca="false">I783*O783</f>
        <v>0</v>
      </c>
      <c r="V783" s="56" t="n">
        <f aca="false">J783*O783</f>
        <v>0</v>
      </c>
      <c r="W783" s="56" t="n">
        <f aca="false">((I783+J783)/2)*O783</f>
        <v>0</v>
      </c>
      <c r="X783" s="56" t="n">
        <f aca="false">H783*O783</f>
        <v>0</v>
      </c>
    </row>
    <row r="784" customFormat="false" ht="22.35" hidden="false" customHeight="false" outlineLevel="0" collapsed="false">
      <c r="A784" s="76" t="s">
        <v>2063</v>
      </c>
      <c r="B784" s="7" t="s">
        <v>3376</v>
      </c>
      <c r="C784" s="7" t="s">
        <v>3375</v>
      </c>
      <c r="D784" s="7" t="s">
        <v>2570</v>
      </c>
      <c r="E784" s="77" t="s">
        <v>2571</v>
      </c>
      <c r="F784" s="7" t="s">
        <v>2097</v>
      </c>
      <c r="G784" s="7" t="s">
        <v>2097</v>
      </c>
      <c r="H784" s="9" t="n">
        <v>216</v>
      </c>
      <c r="I784" s="9" t="n">
        <v>0</v>
      </c>
      <c r="J784" s="9" t="n">
        <v>0</v>
      </c>
      <c r="K784" s="52" t="n">
        <v>0</v>
      </c>
      <c r="L784" s="58" t="n">
        <v>26.1</v>
      </c>
      <c r="M784" s="59"/>
      <c r="N784" s="9" t="n">
        <v>2.221918</v>
      </c>
      <c r="O784" s="8" t="n">
        <v>0</v>
      </c>
      <c r="P784" s="9" t="n">
        <v>216</v>
      </c>
      <c r="Q784" s="7" t="s">
        <v>2098</v>
      </c>
      <c r="R784" s="7" t="s">
        <v>2572</v>
      </c>
      <c r="S784" s="58" t="n">
        <v>0</v>
      </c>
      <c r="T784" s="9" t="n">
        <v>1</v>
      </c>
      <c r="U784" s="56" t="n">
        <f aca="false">I784*O784</f>
        <v>0</v>
      </c>
      <c r="V784" s="56" t="n">
        <f aca="false">J784*O784</f>
        <v>0</v>
      </c>
      <c r="W784" s="56" t="n">
        <f aca="false">((I784+J784)/2)*O784</f>
        <v>0</v>
      </c>
      <c r="X784" s="56" t="n">
        <f aca="false">H784*O784</f>
        <v>0</v>
      </c>
    </row>
    <row r="785" customFormat="false" ht="22.35" hidden="false" customHeight="false" outlineLevel="0" collapsed="false">
      <c r="A785" s="76" t="s">
        <v>2063</v>
      </c>
      <c r="B785" s="49" t="s">
        <v>3377</v>
      </c>
      <c r="C785" s="49" t="s">
        <v>3375</v>
      </c>
      <c r="D785" s="49" t="s">
        <v>2570</v>
      </c>
      <c r="E785" s="77" t="s">
        <v>2571</v>
      </c>
      <c r="F785" s="49" t="s">
        <v>2097</v>
      </c>
      <c r="G785" s="49" t="s">
        <v>2097</v>
      </c>
      <c r="H785" s="51" t="n">
        <v>4</v>
      </c>
      <c r="I785" s="51" t="n">
        <v>0</v>
      </c>
      <c r="J785" s="51" t="n">
        <v>0</v>
      </c>
      <c r="K785" s="52" t="n">
        <v>0</v>
      </c>
      <c r="L785" s="53" t="n">
        <v>26.1</v>
      </c>
      <c r="M785" s="54"/>
      <c r="N785" s="51" t="n">
        <v>0.054795</v>
      </c>
      <c r="O785" s="55" t="n">
        <v>0</v>
      </c>
      <c r="P785" s="51" t="n">
        <v>4</v>
      </c>
      <c r="Q785" s="49" t="s">
        <v>2098</v>
      </c>
      <c r="R785" s="49" t="s">
        <v>2572</v>
      </c>
      <c r="S785" s="53" t="n">
        <v>0</v>
      </c>
      <c r="T785" s="51" t="n">
        <v>1</v>
      </c>
      <c r="U785" s="56" t="n">
        <f aca="false">I785*O785</f>
        <v>0</v>
      </c>
      <c r="V785" s="56" t="n">
        <f aca="false">J785*O785</f>
        <v>0</v>
      </c>
      <c r="W785" s="56" t="n">
        <f aca="false">((I785+J785)/2)*O785</f>
        <v>0</v>
      </c>
      <c r="X785" s="56" t="n">
        <f aca="false">H785*O785</f>
        <v>0</v>
      </c>
    </row>
    <row r="786" customFormat="false" ht="22.35" hidden="false" customHeight="false" outlineLevel="0" collapsed="false">
      <c r="A786" s="76" t="s">
        <v>2063</v>
      </c>
      <c r="B786" s="7" t="s">
        <v>3378</v>
      </c>
      <c r="C786" s="7" t="s">
        <v>3371</v>
      </c>
      <c r="D786" s="7" t="s">
        <v>2570</v>
      </c>
      <c r="E786" s="77" t="s">
        <v>2571</v>
      </c>
      <c r="F786" s="7" t="s">
        <v>2097</v>
      </c>
      <c r="G786" s="7" t="s">
        <v>2097</v>
      </c>
      <c r="H786" s="9" t="n">
        <v>12</v>
      </c>
      <c r="I786" s="9" t="n">
        <v>0</v>
      </c>
      <c r="J786" s="9" t="n">
        <v>0</v>
      </c>
      <c r="K786" s="52" t="n">
        <v>0</v>
      </c>
      <c r="L786" s="58" t="n">
        <v>26.1</v>
      </c>
      <c r="M786" s="59"/>
      <c r="N786" s="9" t="n">
        <v>0.217808</v>
      </c>
      <c r="O786" s="8" t="n">
        <v>0</v>
      </c>
      <c r="P786" s="9" t="n">
        <v>12</v>
      </c>
      <c r="Q786" s="7" t="s">
        <v>2098</v>
      </c>
      <c r="R786" s="7" t="s">
        <v>2572</v>
      </c>
      <c r="S786" s="58" t="n">
        <v>0</v>
      </c>
      <c r="T786" s="9" t="n">
        <v>1</v>
      </c>
      <c r="U786" s="56" t="n">
        <f aca="false">I786*O786</f>
        <v>0</v>
      </c>
      <c r="V786" s="56" t="n">
        <f aca="false">J786*O786</f>
        <v>0</v>
      </c>
      <c r="W786" s="56" t="n">
        <f aca="false">((I786+J786)/2)*O786</f>
        <v>0</v>
      </c>
      <c r="X786" s="56" t="n">
        <f aca="false">H786*O786</f>
        <v>0</v>
      </c>
    </row>
    <row r="787" customFormat="false" ht="22.35" hidden="false" customHeight="false" outlineLevel="0" collapsed="false">
      <c r="A787" s="76" t="s">
        <v>2063</v>
      </c>
      <c r="B787" s="49" t="s">
        <v>3379</v>
      </c>
      <c r="C787" s="49" t="s">
        <v>3371</v>
      </c>
      <c r="D787" s="49" t="s">
        <v>2570</v>
      </c>
      <c r="E787" s="77" t="s">
        <v>2571</v>
      </c>
      <c r="F787" s="49" t="s">
        <v>2097</v>
      </c>
      <c r="G787" s="49" t="s">
        <v>2097</v>
      </c>
      <c r="H787" s="51" t="n">
        <v>96</v>
      </c>
      <c r="I787" s="51" t="n">
        <v>0</v>
      </c>
      <c r="J787" s="51" t="n">
        <v>0</v>
      </c>
      <c r="K787" s="52" t="n">
        <v>0</v>
      </c>
      <c r="L787" s="53" t="n">
        <v>26.1</v>
      </c>
      <c r="M787" s="54"/>
      <c r="N787" s="51" t="n">
        <v>0.905479</v>
      </c>
      <c r="O787" s="55" t="n">
        <v>0</v>
      </c>
      <c r="P787" s="51" t="n">
        <v>96</v>
      </c>
      <c r="Q787" s="49" t="s">
        <v>2098</v>
      </c>
      <c r="R787" s="49" t="s">
        <v>2572</v>
      </c>
      <c r="S787" s="53" t="n">
        <v>0</v>
      </c>
      <c r="T787" s="51" t="n">
        <v>1</v>
      </c>
      <c r="U787" s="56" t="n">
        <f aca="false">I787*O787</f>
        <v>0</v>
      </c>
      <c r="V787" s="56" t="n">
        <f aca="false">J787*O787</f>
        <v>0</v>
      </c>
      <c r="W787" s="56" t="n">
        <f aca="false">((I787+J787)/2)*O787</f>
        <v>0</v>
      </c>
      <c r="X787" s="56" t="n">
        <f aca="false">H787*O787</f>
        <v>0</v>
      </c>
    </row>
    <row r="788" customFormat="false" ht="22.35" hidden="false" customHeight="false" outlineLevel="0" collapsed="false">
      <c r="A788" s="76" t="s">
        <v>2063</v>
      </c>
      <c r="B788" s="7" t="s">
        <v>3380</v>
      </c>
      <c r="C788" s="7" t="s">
        <v>3371</v>
      </c>
      <c r="D788" s="7" t="s">
        <v>2570</v>
      </c>
      <c r="E788" s="77" t="s">
        <v>2571</v>
      </c>
      <c r="F788" s="7" t="s">
        <v>2097</v>
      </c>
      <c r="G788" s="7" t="s">
        <v>2097</v>
      </c>
      <c r="H788" s="9" t="n">
        <v>48</v>
      </c>
      <c r="I788" s="9" t="n">
        <v>0</v>
      </c>
      <c r="J788" s="9" t="n">
        <v>0</v>
      </c>
      <c r="K788" s="52" t="n">
        <v>0</v>
      </c>
      <c r="L788" s="58" t="n">
        <v>26.1</v>
      </c>
      <c r="M788" s="59"/>
      <c r="N788" s="9" t="n">
        <v>0.876712</v>
      </c>
      <c r="O788" s="8" t="n">
        <v>0</v>
      </c>
      <c r="P788" s="9" t="n">
        <v>48</v>
      </c>
      <c r="Q788" s="7" t="s">
        <v>2098</v>
      </c>
      <c r="R788" s="7" t="s">
        <v>2572</v>
      </c>
      <c r="S788" s="58" t="n">
        <v>0</v>
      </c>
      <c r="T788" s="9" t="n">
        <v>1</v>
      </c>
      <c r="U788" s="56" t="n">
        <f aca="false">I788*O788</f>
        <v>0</v>
      </c>
      <c r="V788" s="56" t="n">
        <f aca="false">J788*O788</f>
        <v>0</v>
      </c>
      <c r="W788" s="56" t="n">
        <f aca="false">((I788+J788)/2)*O788</f>
        <v>0</v>
      </c>
      <c r="X788" s="56" t="n">
        <f aca="false">H788*O788</f>
        <v>0</v>
      </c>
    </row>
    <row r="789" customFormat="false" ht="22.35" hidden="false" customHeight="false" outlineLevel="0" collapsed="false">
      <c r="A789" s="76" t="s">
        <v>2063</v>
      </c>
      <c r="B789" s="49" t="s">
        <v>3381</v>
      </c>
      <c r="C789" s="49" t="s">
        <v>3371</v>
      </c>
      <c r="D789" s="49" t="s">
        <v>2570</v>
      </c>
      <c r="E789" s="77" t="s">
        <v>2571</v>
      </c>
      <c r="F789" s="49" t="s">
        <v>2097</v>
      </c>
      <c r="G789" s="49" t="s">
        <v>2097</v>
      </c>
      <c r="H789" s="51" t="n">
        <v>36</v>
      </c>
      <c r="I789" s="51" t="n">
        <v>0</v>
      </c>
      <c r="J789" s="51" t="n">
        <v>0</v>
      </c>
      <c r="K789" s="52" t="n">
        <v>0</v>
      </c>
      <c r="L789" s="53" t="n">
        <v>26.1</v>
      </c>
      <c r="M789" s="54"/>
      <c r="N789" s="51" t="n">
        <v>0.487671</v>
      </c>
      <c r="O789" s="55" t="n">
        <v>0</v>
      </c>
      <c r="P789" s="51" t="n">
        <v>36</v>
      </c>
      <c r="Q789" s="49" t="s">
        <v>2098</v>
      </c>
      <c r="R789" s="49" t="s">
        <v>2572</v>
      </c>
      <c r="S789" s="53" t="n">
        <v>0</v>
      </c>
      <c r="T789" s="51" t="n">
        <v>1</v>
      </c>
      <c r="U789" s="56" t="n">
        <f aca="false">I789*O789</f>
        <v>0</v>
      </c>
      <c r="V789" s="56" t="n">
        <f aca="false">J789*O789</f>
        <v>0</v>
      </c>
      <c r="W789" s="56" t="n">
        <f aca="false">((I789+J789)/2)*O789</f>
        <v>0</v>
      </c>
      <c r="X789" s="56" t="n">
        <f aca="false">H789*O789</f>
        <v>0</v>
      </c>
    </row>
    <row r="790" customFormat="false" ht="22.35" hidden="false" customHeight="false" outlineLevel="0" collapsed="false">
      <c r="A790" s="76" t="s">
        <v>2063</v>
      </c>
      <c r="B790" s="7" t="s">
        <v>3382</v>
      </c>
      <c r="C790" s="7" t="s">
        <v>3383</v>
      </c>
      <c r="D790" s="7" t="s">
        <v>2570</v>
      </c>
      <c r="E790" s="77" t="s">
        <v>2571</v>
      </c>
      <c r="F790" s="7" t="s">
        <v>2097</v>
      </c>
      <c r="G790" s="7" t="s">
        <v>2097</v>
      </c>
      <c r="H790" s="9" t="n">
        <v>144</v>
      </c>
      <c r="I790" s="9" t="n">
        <v>0</v>
      </c>
      <c r="J790" s="9" t="n">
        <v>0</v>
      </c>
      <c r="K790" s="52" t="n">
        <v>0</v>
      </c>
      <c r="L790" s="58" t="n">
        <v>26.1</v>
      </c>
      <c r="M790" s="59"/>
      <c r="N790" s="9" t="n">
        <v>1.821918</v>
      </c>
      <c r="O790" s="8" t="n">
        <v>0</v>
      </c>
      <c r="P790" s="9" t="n">
        <v>144</v>
      </c>
      <c r="Q790" s="7" t="s">
        <v>2098</v>
      </c>
      <c r="R790" s="7" t="s">
        <v>2572</v>
      </c>
      <c r="S790" s="58" t="n">
        <v>0</v>
      </c>
      <c r="T790" s="9" t="n">
        <v>1</v>
      </c>
      <c r="U790" s="56" t="n">
        <f aca="false">I790*O790</f>
        <v>0</v>
      </c>
      <c r="V790" s="56" t="n">
        <f aca="false">J790*O790</f>
        <v>0</v>
      </c>
      <c r="W790" s="56" t="n">
        <f aca="false">((I790+J790)/2)*O790</f>
        <v>0</v>
      </c>
      <c r="X790" s="56" t="n">
        <f aca="false">H790*O790</f>
        <v>0</v>
      </c>
    </row>
    <row r="791" customFormat="false" ht="22.35" hidden="false" customHeight="false" outlineLevel="0" collapsed="false">
      <c r="A791" s="76" t="s">
        <v>2063</v>
      </c>
      <c r="B791" s="49" t="s">
        <v>3384</v>
      </c>
      <c r="C791" s="49" t="s">
        <v>3383</v>
      </c>
      <c r="D791" s="49" t="s">
        <v>2570</v>
      </c>
      <c r="E791" s="77" t="s">
        <v>2571</v>
      </c>
      <c r="F791" s="49" t="s">
        <v>2097</v>
      </c>
      <c r="G791" s="49" t="s">
        <v>2097</v>
      </c>
      <c r="H791" s="51" t="n">
        <v>24</v>
      </c>
      <c r="I791" s="51" t="n">
        <v>0</v>
      </c>
      <c r="J791" s="51" t="n">
        <v>0</v>
      </c>
      <c r="K791" s="52" t="n">
        <v>0</v>
      </c>
      <c r="L791" s="53" t="n">
        <v>26.1</v>
      </c>
      <c r="M791" s="54"/>
      <c r="N791" s="51" t="n">
        <v>0.153425</v>
      </c>
      <c r="O791" s="55" t="n">
        <v>0</v>
      </c>
      <c r="P791" s="51" t="n">
        <v>24</v>
      </c>
      <c r="Q791" s="49" t="s">
        <v>2098</v>
      </c>
      <c r="R791" s="49" t="s">
        <v>2572</v>
      </c>
      <c r="S791" s="53" t="n">
        <v>0</v>
      </c>
      <c r="T791" s="51" t="n">
        <v>1</v>
      </c>
      <c r="U791" s="56" t="n">
        <f aca="false">I791*O791</f>
        <v>0</v>
      </c>
      <c r="V791" s="56" t="n">
        <f aca="false">J791*O791</f>
        <v>0</v>
      </c>
      <c r="W791" s="56" t="n">
        <f aca="false">((I791+J791)/2)*O791</f>
        <v>0</v>
      </c>
      <c r="X791" s="56" t="n">
        <f aca="false">H791*O791</f>
        <v>0</v>
      </c>
    </row>
    <row r="792" customFormat="false" ht="22.35" hidden="false" customHeight="false" outlineLevel="0" collapsed="false">
      <c r="A792" s="76" t="s">
        <v>2063</v>
      </c>
      <c r="B792" s="7" t="s">
        <v>3385</v>
      </c>
      <c r="C792" s="7" t="s">
        <v>3386</v>
      </c>
      <c r="D792" s="7" t="s">
        <v>2570</v>
      </c>
      <c r="E792" s="77" t="s">
        <v>2571</v>
      </c>
      <c r="F792" s="7" t="s">
        <v>2097</v>
      </c>
      <c r="G792" s="7" t="s">
        <v>2097</v>
      </c>
      <c r="H792" s="9" t="n">
        <v>144</v>
      </c>
      <c r="I792" s="9" t="n">
        <v>0</v>
      </c>
      <c r="J792" s="9" t="n">
        <v>0</v>
      </c>
      <c r="K792" s="52" t="n">
        <v>0</v>
      </c>
      <c r="L792" s="58" t="n">
        <v>26.1</v>
      </c>
      <c r="M792" s="59"/>
      <c r="N792" s="9" t="n">
        <v>1.491781</v>
      </c>
      <c r="O792" s="8" t="n">
        <v>0</v>
      </c>
      <c r="P792" s="9" t="n">
        <v>144</v>
      </c>
      <c r="Q792" s="7" t="s">
        <v>2098</v>
      </c>
      <c r="R792" s="7" t="s">
        <v>2572</v>
      </c>
      <c r="S792" s="58" t="n">
        <v>0</v>
      </c>
      <c r="T792" s="9" t="n">
        <v>1</v>
      </c>
      <c r="U792" s="56" t="n">
        <f aca="false">I792*O792</f>
        <v>0</v>
      </c>
      <c r="V792" s="56" t="n">
        <f aca="false">J792*O792</f>
        <v>0</v>
      </c>
      <c r="W792" s="56" t="n">
        <f aca="false">((I792+J792)/2)*O792</f>
        <v>0</v>
      </c>
      <c r="X792" s="56" t="n">
        <f aca="false">H792*O792</f>
        <v>0</v>
      </c>
    </row>
    <row r="793" customFormat="false" ht="22.35" hidden="false" customHeight="false" outlineLevel="0" collapsed="false">
      <c r="A793" s="76" t="s">
        <v>2063</v>
      </c>
      <c r="B793" s="49" t="s">
        <v>3387</v>
      </c>
      <c r="C793" s="49" t="s">
        <v>3386</v>
      </c>
      <c r="D793" s="49" t="s">
        <v>2570</v>
      </c>
      <c r="E793" s="77" t="s">
        <v>2571</v>
      </c>
      <c r="F793" s="49" t="s">
        <v>2097</v>
      </c>
      <c r="G793" s="49" t="s">
        <v>2097</v>
      </c>
      <c r="H793" s="51" t="n">
        <v>8</v>
      </c>
      <c r="I793" s="51" t="n">
        <v>0</v>
      </c>
      <c r="J793" s="51" t="n">
        <v>0</v>
      </c>
      <c r="K793" s="52" t="n">
        <v>0</v>
      </c>
      <c r="L793" s="53" t="n">
        <v>26.1</v>
      </c>
      <c r="M793" s="54"/>
      <c r="N793" s="51" t="n">
        <v>0.093151</v>
      </c>
      <c r="O793" s="55" t="n">
        <v>0</v>
      </c>
      <c r="P793" s="51" t="n">
        <v>8</v>
      </c>
      <c r="Q793" s="49" t="s">
        <v>2098</v>
      </c>
      <c r="R793" s="49" t="s">
        <v>2572</v>
      </c>
      <c r="S793" s="53" t="n">
        <v>0</v>
      </c>
      <c r="T793" s="51" t="n">
        <v>1</v>
      </c>
      <c r="U793" s="56" t="n">
        <f aca="false">I793*O793</f>
        <v>0</v>
      </c>
      <c r="V793" s="56" t="n">
        <f aca="false">J793*O793</f>
        <v>0</v>
      </c>
      <c r="W793" s="56" t="n">
        <f aca="false">((I793+J793)/2)*O793</f>
        <v>0</v>
      </c>
      <c r="X793" s="56" t="n">
        <f aca="false">H793*O793</f>
        <v>0</v>
      </c>
    </row>
    <row r="794" customFormat="false" ht="22.35" hidden="false" customHeight="false" outlineLevel="0" collapsed="false">
      <c r="A794" s="76" t="s">
        <v>2063</v>
      </c>
      <c r="B794" s="7" t="s">
        <v>3388</v>
      </c>
      <c r="C794" s="7" t="s">
        <v>3386</v>
      </c>
      <c r="D794" s="7" t="s">
        <v>2570</v>
      </c>
      <c r="E794" s="77" t="s">
        <v>2571</v>
      </c>
      <c r="F794" s="7" t="s">
        <v>2097</v>
      </c>
      <c r="G794" s="7" t="s">
        <v>2097</v>
      </c>
      <c r="H794" s="9" t="n">
        <v>6</v>
      </c>
      <c r="I794" s="9" t="n">
        <v>0</v>
      </c>
      <c r="J794" s="9" t="n">
        <v>0</v>
      </c>
      <c r="K794" s="52" t="n">
        <v>0</v>
      </c>
      <c r="L794" s="58" t="n">
        <v>26.1</v>
      </c>
      <c r="M794" s="59"/>
      <c r="N794" s="9" t="n">
        <v>0.039726</v>
      </c>
      <c r="O794" s="8" t="n">
        <v>0</v>
      </c>
      <c r="P794" s="9" t="n">
        <v>6</v>
      </c>
      <c r="Q794" s="7" t="s">
        <v>2098</v>
      </c>
      <c r="R794" s="7" t="s">
        <v>2572</v>
      </c>
      <c r="S794" s="58" t="n">
        <v>0</v>
      </c>
      <c r="T794" s="9" t="n">
        <v>1</v>
      </c>
      <c r="U794" s="56" t="n">
        <f aca="false">I794*O794</f>
        <v>0</v>
      </c>
      <c r="V794" s="56" t="n">
        <f aca="false">J794*O794</f>
        <v>0</v>
      </c>
      <c r="W794" s="56" t="n">
        <f aca="false">((I794+J794)/2)*O794</f>
        <v>0</v>
      </c>
      <c r="X794" s="56" t="n">
        <f aca="false">H794*O794</f>
        <v>0</v>
      </c>
    </row>
    <row r="795" customFormat="false" ht="22.35" hidden="false" customHeight="false" outlineLevel="0" collapsed="false">
      <c r="A795" s="76" t="s">
        <v>2063</v>
      </c>
      <c r="B795" s="49" t="s">
        <v>3389</v>
      </c>
      <c r="C795" s="49" t="s">
        <v>3390</v>
      </c>
      <c r="D795" s="49" t="s">
        <v>2570</v>
      </c>
      <c r="E795" s="77" t="s">
        <v>2571</v>
      </c>
      <c r="F795" s="49" t="s">
        <v>2097</v>
      </c>
      <c r="G795" s="49" t="s">
        <v>2097</v>
      </c>
      <c r="H795" s="51" t="n">
        <v>48</v>
      </c>
      <c r="I795" s="51" t="n">
        <v>0</v>
      </c>
      <c r="J795" s="51" t="n">
        <v>0</v>
      </c>
      <c r="K795" s="52" t="n">
        <v>0</v>
      </c>
      <c r="L795" s="53" t="n">
        <v>26.1</v>
      </c>
      <c r="M795" s="54"/>
      <c r="N795" s="51" t="n">
        <v>0.224658</v>
      </c>
      <c r="O795" s="55" t="n">
        <v>0</v>
      </c>
      <c r="P795" s="51" t="n">
        <v>48</v>
      </c>
      <c r="Q795" s="49" t="s">
        <v>2098</v>
      </c>
      <c r="R795" s="49" t="s">
        <v>2572</v>
      </c>
      <c r="S795" s="53" t="n">
        <v>0</v>
      </c>
      <c r="T795" s="51" t="n">
        <v>36</v>
      </c>
      <c r="U795" s="56" t="n">
        <f aca="false">I795*O795</f>
        <v>0</v>
      </c>
      <c r="V795" s="56" t="n">
        <f aca="false">J795*O795</f>
        <v>0</v>
      </c>
      <c r="W795" s="56" t="n">
        <f aca="false">((I795+J795)/2)*O795</f>
        <v>0</v>
      </c>
      <c r="X795" s="56" t="n">
        <f aca="false">H795*O795</f>
        <v>0</v>
      </c>
    </row>
    <row r="796" customFormat="false" ht="22.35" hidden="false" customHeight="false" outlineLevel="0" collapsed="false">
      <c r="A796" s="76" t="s">
        <v>2063</v>
      </c>
      <c r="B796" s="7" t="s">
        <v>3391</v>
      </c>
      <c r="C796" s="7" t="s">
        <v>3392</v>
      </c>
      <c r="D796" s="7" t="s">
        <v>2570</v>
      </c>
      <c r="E796" s="77" t="s">
        <v>2571</v>
      </c>
      <c r="F796" s="7" t="s">
        <v>2097</v>
      </c>
      <c r="G796" s="7" t="s">
        <v>2097</v>
      </c>
      <c r="H796" s="9" t="n">
        <v>4</v>
      </c>
      <c r="I796" s="9" t="n">
        <v>0</v>
      </c>
      <c r="J796" s="9" t="n">
        <v>0</v>
      </c>
      <c r="K796" s="52" t="n">
        <v>0</v>
      </c>
      <c r="L796" s="58" t="n">
        <v>26.1</v>
      </c>
      <c r="M796" s="59"/>
      <c r="N796" s="9" t="n">
        <v>0.016438</v>
      </c>
      <c r="O796" s="8" t="n">
        <v>0</v>
      </c>
      <c r="P796" s="9" t="n">
        <v>4</v>
      </c>
      <c r="Q796" s="7" t="s">
        <v>2098</v>
      </c>
      <c r="R796" s="7" t="s">
        <v>2572</v>
      </c>
      <c r="S796" s="58" t="n">
        <v>0</v>
      </c>
      <c r="T796" s="9" t="n">
        <v>4</v>
      </c>
      <c r="U796" s="56" t="n">
        <f aca="false">I796*O796</f>
        <v>0</v>
      </c>
      <c r="V796" s="56" t="n">
        <f aca="false">J796*O796</f>
        <v>0</v>
      </c>
      <c r="W796" s="56" t="n">
        <f aca="false">((I796+J796)/2)*O796</f>
        <v>0</v>
      </c>
      <c r="X796" s="56" t="n">
        <f aca="false">H796*O796</f>
        <v>0</v>
      </c>
    </row>
    <row r="797" customFormat="false" ht="22.35" hidden="false" customHeight="false" outlineLevel="0" collapsed="false">
      <c r="A797" s="76" t="s">
        <v>2063</v>
      </c>
      <c r="B797" s="49" t="s">
        <v>3393</v>
      </c>
      <c r="C797" s="49" t="s">
        <v>3394</v>
      </c>
      <c r="D797" s="49" t="s">
        <v>2570</v>
      </c>
      <c r="E797" s="77" t="s">
        <v>2571</v>
      </c>
      <c r="F797" s="49" t="s">
        <v>2097</v>
      </c>
      <c r="G797" s="49" t="s">
        <v>2097</v>
      </c>
      <c r="H797" s="51" t="n">
        <v>36</v>
      </c>
      <c r="I797" s="51" t="n">
        <v>0</v>
      </c>
      <c r="J797" s="51" t="n">
        <v>0</v>
      </c>
      <c r="K797" s="52" t="n">
        <v>0</v>
      </c>
      <c r="L797" s="53" t="n">
        <v>26.1</v>
      </c>
      <c r="M797" s="54"/>
      <c r="N797" s="51" t="n">
        <v>0.554795</v>
      </c>
      <c r="O797" s="55" t="n">
        <v>0</v>
      </c>
      <c r="P797" s="51" t="n">
        <v>36</v>
      </c>
      <c r="Q797" s="49" t="s">
        <v>2098</v>
      </c>
      <c r="R797" s="49" t="s">
        <v>2572</v>
      </c>
      <c r="S797" s="53" t="n">
        <v>0</v>
      </c>
      <c r="T797" s="51" t="n">
        <v>1</v>
      </c>
      <c r="U797" s="56" t="n">
        <f aca="false">I797*O797</f>
        <v>0</v>
      </c>
      <c r="V797" s="56" t="n">
        <f aca="false">J797*O797</f>
        <v>0</v>
      </c>
      <c r="W797" s="56" t="n">
        <f aca="false">((I797+J797)/2)*O797</f>
        <v>0</v>
      </c>
      <c r="X797" s="56" t="n">
        <f aca="false">H797*O797</f>
        <v>0</v>
      </c>
    </row>
    <row r="798" customFormat="false" ht="22.35" hidden="false" customHeight="false" outlineLevel="0" collapsed="false">
      <c r="A798" s="76" t="s">
        <v>2063</v>
      </c>
      <c r="B798" s="7" t="s">
        <v>3395</v>
      </c>
      <c r="C798" s="7" t="s">
        <v>3396</v>
      </c>
      <c r="D798" s="7" t="s">
        <v>2570</v>
      </c>
      <c r="E798" s="77" t="s">
        <v>2571</v>
      </c>
      <c r="F798" s="7" t="s">
        <v>2097</v>
      </c>
      <c r="G798" s="7" t="s">
        <v>2097</v>
      </c>
      <c r="H798" s="9" t="n">
        <v>8</v>
      </c>
      <c r="I798" s="9" t="n">
        <v>0</v>
      </c>
      <c r="J798" s="9" t="n">
        <v>0</v>
      </c>
      <c r="K798" s="52" t="n">
        <v>0</v>
      </c>
      <c r="L798" s="58" t="n">
        <v>26.1</v>
      </c>
      <c r="M798" s="59"/>
      <c r="N798" s="9" t="n">
        <v>0.084932</v>
      </c>
      <c r="O798" s="8" t="n">
        <v>0</v>
      </c>
      <c r="P798" s="9" t="n">
        <v>8</v>
      </c>
      <c r="Q798" s="7" t="s">
        <v>2098</v>
      </c>
      <c r="R798" s="7" t="s">
        <v>2572</v>
      </c>
      <c r="S798" s="58" t="n">
        <v>0</v>
      </c>
      <c r="T798" s="9" t="n">
        <v>1</v>
      </c>
      <c r="U798" s="56" t="n">
        <f aca="false">I798*O798</f>
        <v>0</v>
      </c>
      <c r="V798" s="56" t="n">
        <f aca="false">J798*O798</f>
        <v>0</v>
      </c>
      <c r="W798" s="56" t="n">
        <f aca="false">((I798+J798)/2)*O798</f>
        <v>0</v>
      </c>
      <c r="X798" s="56" t="n">
        <f aca="false">H798*O798</f>
        <v>0</v>
      </c>
    </row>
    <row r="799" customFormat="false" ht="22.35" hidden="false" customHeight="false" outlineLevel="0" collapsed="false">
      <c r="A799" s="76" t="s">
        <v>2063</v>
      </c>
      <c r="B799" s="49" t="s">
        <v>3397</v>
      </c>
      <c r="C799" s="49" t="s">
        <v>3398</v>
      </c>
      <c r="D799" s="49" t="s">
        <v>2570</v>
      </c>
      <c r="E799" s="77" t="s">
        <v>2571</v>
      </c>
      <c r="F799" s="49" t="s">
        <v>2097</v>
      </c>
      <c r="G799" s="49" t="s">
        <v>2097</v>
      </c>
      <c r="H799" s="51" t="n">
        <v>8</v>
      </c>
      <c r="I799" s="51" t="n">
        <v>0</v>
      </c>
      <c r="J799" s="51" t="n">
        <v>0</v>
      </c>
      <c r="K799" s="52" t="n">
        <v>0</v>
      </c>
      <c r="L799" s="53" t="n">
        <v>26.1</v>
      </c>
      <c r="M799" s="54"/>
      <c r="N799" s="51" t="n">
        <v>0.043836</v>
      </c>
      <c r="O799" s="55" t="n">
        <v>0</v>
      </c>
      <c r="P799" s="51" t="n">
        <v>8</v>
      </c>
      <c r="Q799" s="49" t="s">
        <v>2098</v>
      </c>
      <c r="R799" s="49" t="s">
        <v>2572</v>
      </c>
      <c r="S799" s="53" t="n">
        <v>0</v>
      </c>
      <c r="T799" s="51" t="n">
        <v>4</v>
      </c>
      <c r="U799" s="56" t="n">
        <f aca="false">I799*O799</f>
        <v>0</v>
      </c>
      <c r="V799" s="56" t="n">
        <f aca="false">J799*O799</f>
        <v>0</v>
      </c>
      <c r="W799" s="56" t="n">
        <f aca="false">((I799+J799)/2)*O799</f>
        <v>0</v>
      </c>
      <c r="X799" s="56" t="n">
        <f aca="false">H799*O799</f>
        <v>0</v>
      </c>
    </row>
    <row r="800" customFormat="false" ht="22.35" hidden="false" customHeight="false" outlineLevel="0" collapsed="false">
      <c r="A800" s="76" t="s">
        <v>2063</v>
      </c>
      <c r="B800" s="7" t="s">
        <v>3399</v>
      </c>
      <c r="C800" s="7" t="s">
        <v>3400</v>
      </c>
      <c r="D800" s="7" t="s">
        <v>2570</v>
      </c>
      <c r="E800" s="77" t="s">
        <v>2571</v>
      </c>
      <c r="F800" s="7" t="s">
        <v>2097</v>
      </c>
      <c r="G800" s="7" t="s">
        <v>2097</v>
      </c>
      <c r="H800" s="9" t="n">
        <v>48</v>
      </c>
      <c r="I800" s="9" t="n">
        <v>0</v>
      </c>
      <c r="J800" s="9" t="n">
        <v>0</v>
      </c>
      <c r="K800" s="52" t="n">
        <v>0</v>
      </c>
      <c r="L800" s="58" t="n">
        <v>26.1</v>
      </c>
      <c r="M800" s="59"/>
      <c r="N800" s="9" t="n">
        <v>0.408219</v>
      </c>
      <c r="O800" s="8" t="n">
        <v>0</v>
      </c>
      <c r="P800" s="9" t="n">
        <v>48</v>
      </c>
      <c r="Q800" s="7" t="s">
        <v>2098</v>
      </c>
      <c r="R800" s="7" t="s">
        <v>2572</v>
      </c>
      <c r="S800" s="58" t="n">
        <v>0</v>
      </c>
      <c r="T800" s="9" t="n">
        <v>12</v>
      </c>
      <c r="U800" s="56" t="n">
        <f aca="false">I800*O800</f>
        <v>0</v>
      </c>
      <c r="V800" s="56" t="n">
        <f aca="false">J800*O800</f>
        <v>0</v>
      </c>
      <c r="W800" s="56" t="n">
        <f aca="false">((I800+J800)/2)*O800</f>
        <v>0</v>
      </c>
      <c r="X800" s="56" t="n">
        <f aca="false">H800*O800</f>
        <v>0</v>
      </c>
    </row>
    <row r="801" customFormat="false" ht="22.35" hidden="false" customHeight="false" outlineLevel="0" collapsed="false">
      <c r="A801" s="76" t="s">
        <v>2063</v>
      </c>
      <c r="B801" s="49" t="s">
        <v>3401</v>
      </c>
      <c r="C801" s="49" t="s">
        <v>3402</v>
      </c>
      <c r="D801" s="49" t="s">
        <v>2570</v>
      </c>
      <c r="E801" s="77" t="s">
        <v>2571</v>
      </c>
      <c r="F801" s="49" t="s">
        <v>2097</v>
      </c>
      <c r="G801" s="49" t="s">
        <v>2097</v>
      </c>
      <c r="H801" s="51" t="n">
        <v>16</v>
      </c>
      <c r="I801" s="51" t="n">
        <v>0</v>
      </c>
      <c r="J801" s="51" t="n">
        <v>0</v>
      </c>
      <c r="K801" s="52" t="n">
        <v>0</v>
      </c>
      <c r="L801" s="53" t="n">
        <v>26.1</v>
      </c>
      <c r="M801" s="54"/>
      <c r="N801" s="51" t="n">
        <v>0.163014</v>
      </c>
      <c r="O801" s="55" t="n">
        <v>0</v>
      </c>
      <c r="P801" s="51" t="n">
        <v>16</v>
      </c>
      <c r="Q801" s="49" t="s">
        <v>2098</v>
      </c>
      <c r="R801" s="49" t="s">
        <v>2572</v>
      </c>
      <c r="S801" s="53" t="n">
        <v>0</v>
      </c>
      <c r="T801" s="51" t="n">
        <v>4</v>
      </c>
      <c r="U801" s="56" t="n">
        <f aca="false">I801*O801</f>
        <v>0</v>
      </c>
      <c r="V801" s="56" t="n">
        <f aca="false">J801*O801</f>
        <v>0</v>
      </c>
      <c r="W801" s="56" t="n">
        <f aca="false">((I801+J801)/2)*O801</f>
        <v>0</v>
      </c>
      <c r="X801" s="56" t="n">
        <f aca="false">H801*O801</f>
        <v>0</v>
      </c>
    </row>
    <row r="802" customFormat="false" ht="22.35" hidden="false" customHeight="false" outlineLevel="0" collapsed="false">
      <c r="A802" s="76" t="s">
        <v>2063</v>
      </c>
      <c r="B802" s="7" t="s">
        <v>3403</v>
      </c>
      <c r="C802" s="7" t="s">
        <v>3404</v>
      </c>
      <c r="D802" s="7" t="s">
        <v>2570</v>
      </c>
      <c r="E802" s="77" t="s">
        <v>2571</v>
      </c>
      <c r="F802" s="7" t="s">
        <v>2097</v>
      </c>
      <c r="G802" s="7" t="s">
        <v>2097</v>
      </c>
      <c r="H802" s="9" t="n">
        <v>32</v>
      </c>
      <c r="I802" s="9" t="n">
        <v>0</v>
      </c>
      <c r="J802" s="9" t="n">
        <v>0</v>
      </c>
      <c r="K802" s="52" t="n">
        <v>0</v>
      </c>
      <c r="L802" s="58" t="n">
        <v>26.1</v>
      </c>
      <c r="M802" s="59"/>
      <c r="N802" s="9" t="n">
        <v>0.167123</v>
      </c>
      <c r="O802" s="8" t="n">
        <v>0</v>
      </c>
      <c r="P802" s="9" t="n">
        <v>32</v>
      </c>
      <c r="Q802" s="7" t="s">
        <v>2098</v>
      </c>
      <c r="R802" s="7" t="s">
        <v>2572</v>
      </c>
      <c r="S802" s="58" t="n">
        <v>0</v>
      </c>
      <c r="T802" s="9" t="n">
        <v>1</v>
      </c>
      <c r="U802" s="56" t="n">
        <f aca="false">I802*O802</f>
        <v>0</v>
      </c>
      <c r="V802" s="56" t="n">
        <f aca="false">J802*O802</f>
        <v>0</v>
      </c>
      <c r="W802" s="56" t="n">
        <f aca="false">((I802+J802)/2)*O802</f>
        <v>0</v>
      </c>
      <c r="X802" s="56" t="n">
        <f aca="false">H802*O802</f>
        <v>0</v>
      </c>
    </row>
    <row r="803" customFormat="false" ht="22.35" hidden="false" customHeight="false" outlineLevel="0" collapsed="false">
      <c r="A803" s="76" t="s">
        <v>2063</v>
      </c>
      <c r="B803" s="49" t="s">
        <v>3405</v>
      </c>
      <c r="C803" s="49" t="s">
        <v>3404</v>
      </c>
      <c r="D803" s="49" t="s">
        <v>2570</v>
      </c>
      <c r="E803" s="77" t="s">
        <v>2571</v>
      </c>
      <c r="F803" s="49" t="s">
        <v>2097</v>
      </c>
      <c r="G803" s="49" t="s">
        <v>2097</v>
      </c>
      <c r="H803" s="51" t="n">
        <v>96</v>
      </c>
      <c r="I803" s="51" t="n">
        <v>0</v>
      </c>
      <c r="J803" s="51" t="n">
        <v>0</v>
      </c>
      <c r="K803" s="52" t="n">
        <v>0</v>
      </c>
      <c r="L803" s="53" t="n">
        <v>26.1</v>
      </c>
      <c r="M803" s="54"/>
      <c r="N803" s="51" t="n">
        <v>1.334247</v>
      </c>
      <c r="O803" s="55" t="n">
        <v>0</v>
      </c>
      <c r="P803" s="51" t="n">
        <v>96</v>
      </c>
      <c r="Q803" s="49" t="s">
        <v>2098</v>
      </c>
      <c r="R803" s="49" t="s">
        <v>2572</v>
      </c>
      <c r="S803" s="53" t="n">
        <v>0</v>
      </c>
      <c r="T803" s="51" t="n">
        <v>1</v>
      </c>
      <c r="U803" s="56" t="n">
        <f aca="false">I803*O803</f>
        <v>0</v>
      </c>
      <c r="V803" s="56" t="n">
        <f aca="false">J803*O803</f>
        <v>0</v>
      </c>
      <c r="W803" s="56" t="n">
        <f aca="false">((I803+J803)/2)*O803</f>
        <v>0</v>
      </c>
      <c r="X803" s="56" t="n">
        <f aca="false">H803*O803</f>
        <v>0</v>
      </c>
    </row>
    <row r="804" customFormat="false" ht="22.35" hidden="false" customHeight="false" outlineLevel="0" collapsed="false">
      <c r="A804" s="76" t="s">
        <v>2063</v>
      </c>
      <c r="B804" s="7" t="s">
        <v>3406</v>
      </c>
      <c r="C804" s="7" t="s">
        <v>3407</v>
      </c>
      <c r="D804" s="7" t="s">
        <v>2570</v>
      </c>
      <c r="E804" s="77" t="s">
        <v>2571</v>
      </c>
      <c r="F804" s="7" t="s">
        <v>2097</v>
      </c>
      <c r="G804" s="7" t="s">
        <v>2097</v>
      </c>
      <c r="H804" s="9" t="n">
        <v>32</v>
      </c>
      <c r="I804" s="9" t="n">
        <v>0</v>
      </c>
      <c r="J804" s="9" t="n">
        <v>0</v>
      </c>
      <c r="K804" s="52" t="n">
        <v>0</v>
      </c>
      <c r="L804" s="58" t="n">
        <v>26.1</v>
      </c>
      <c r="M804" s="59"/>
      <c r="N804" s="9" t="n">
        <v>0.20137</v>
      </c>
      <c r="O804" s="8" t="n">
        <v>0</v>
      </c>
      <c r="P804" s="9" t="n">
        <v>32</v>
      </c>
      <c r="Q804" s="7" t="s">
        <v>2098</v>
      </c>
      <c r="R804" s="7" t="s">
        <v>2572</v>
      </c>
      <c r="S804" s="58" t="n">
        <v>0</v>
      </c>
      <c r="T804" s="9" t="n">
        <v>1</v>
      </c>
      <c r="U804" s="56" t="n">
        <f aca="false">I804*O804</f>
        <v>0</v>
      </c>
      <c r="V804" s="56" t="n">
        <f aca="false">J804*O804</f>
        <v>0</v>
      </c>
      <c r="W804" s="56" t="n">
        <f aca="false">((I804+J804)/2)*O804</f>
        <v>0</v>
      </c>
      <c r="X804" s="56" t="n">
        <f aca="false">H804*O804</f>
        <v>0</v>
      </c>
    </row>
    <row r="805" customFormat="false" ht="22.35" hidden="false" customHeight="false" outlineLevel="0" collapsed="false">
      <c r="A805" s="76" t="s">
        <v>2063</v>
      </c>
      <c r="B805" s="49" t="s">
        <v>3408</v>
      </c>
      <c r="C805" s="49" t="s">
        <v>3407</v>
      </c>
      <c r="D805" s="49" t="s">
        <v>2570</v>
      </c>
      <c r="E805" s="77" t="s">
        <v>2571</v>
      </c>
      <c r="F805" s="49" t="s">
        <v>2097</v>
      </c>
      <c r="G805" s="49" t="s">
        <v>2097</v>
      </c>
      <c r="H805" s="51" t="n">
        <v>72</v>
      </c>
      <c r="I805" s="51" t="n">
        <v>0</v>
      </c>
      <c r="J805" s="51" t="n">
        <v>0</v>
      </c>
      <c r="K805" s="52" t="n">
        <v>0</v>
      </c>
      <c r="L805" s="53" t="n">
        <v>26.1</v>
      </c>
      <c r="M805" s="54"/>
      <c r="N805" s="51" t="n">
        <v>1.182192</v>
      </c>
      <c r="O805" s="55" t="n">
        <v>0</v>
      </c>
      <c r="P805" s="51" t="n">
        <v>72</v>
      </c>
      <c r="Q805" s="49" t="s">
        <v>2098</v>
      </c>
      <c r="R805" s="49" t="s">
        <v>2572</v>
      </c>
      <c r="S805" s="53" t="n">
        <v>0</v>
      </c>
      <c r="T805" s="51" t="n">
        <v>1</v>
      </c>
      <c r="U805" s="56" t="n">
        <f aca="false">I805*O805</f>
        <v>0</v>
      </c>
      <c r="V805" s="56" t="n">
        <f aca="false">J805*O805</f>
        <v>0</v>
      </c>
      <c r="W805" s="56" t="n">
        <f aca="false">((I805+J805)/2)*O805</f>
        <v>0</v>
      </c>
      <c r="X805" s="56" t="n">
        <f aca="false">H805*O805</f>
        <v>0</v>
      </c>
    </row>
    <row r="806" customFormat="false" ht="22.35" hidden="false" customHeight="false" outlineLevel="0" collapsed="false">
      <c r="A806" s="76" t="s">
        <v>2063</v>
      </c>
      <c r="B806" s="7" t="s">
        <v>3409</v>
      </c>
      <c r="C806" s="7" t="s">
        <v>3410</v>
      </c>
      <c r="D806" s="7" t="s">
        <v>2570</v>
      </c>
      <c r="E806" s="77" t="s">
        <v>2571</v>
      </c>
      <c r="F806" s="7" t="s">
        <v>2097</v>
      </c>
      <c r="G806" s="7" t="s">
        <v>2097</v>
      </c>
      <c r="H806" s="9" t="n">
        <v>192</v>
      </c>
      <c r="I806" s="9" t="n">
        <v>0</v>
      </c>
      <c r="J806" s="9" t="n">
        <v>0</v>
      </c>
      <c r="K806" s="52" t="n">
        <v>0</v>
      </c>
      <c r="L806" s="58" t="n">
        <v>26.1</v>
      </c>
      <c r="M806" s="59"/>
      <c r="N806" s="9" t="n">
        <v>2.960274</v>
      </c>
      <c r="O806" s="8" t="n">
        <v>0</v>
      </c>
      <c r="P806" s="9" t="n">
        <v>192</v>
      </c>
      <c r="Q806" s="7" t="s">
        <v>2098</v>
      </c>
      <c r="R806" s="7" t="s">
        <v>2572</v>
      </c>
      <c r="S806" s="58" t="n">
        <v>0</v>
      </c>
      <c r="T806" s="9" t="n">
        <v>1</v>
      </c>
      <c r="U806" s="56" t="n">
        <f aca="false">I806*O806</f>
        <v>0</v>
      </c>
      <c r="V806" s="56" t="n">
        <f aca="false">J806*O806</f>
        <v>0</v>
      </c>
      <c r="W806" s="56" t="n">
        <f aca="false">((I806+J806)/2)*O806</f>
        <v>0</v>
      </c>
      <c r="X806" s="56" t="n">
        <f aca="false">H806*O806</f>
        <v>0</v>
      </c>
    </row>
    <row r="807" customFormat="false" ht="22.35" hidden="false" customHeight="false" outlineLevel="0" collapsed="false">
      <c r="A807" s="76" t="s">
        <v>2063</v>
      </c>
      <c r="B807" s="49" t="s">
        <v>3411</v>
      </c>
      <c r="C807" s="49" t="s">
        <v>3410</v>
      </c>
      <c r="D807" s="49" t="s">
        <v>2570</v>
      </c>
      <c r="E807" s="77" t="s">
        <v>2571</v>
      </c>
      <c r="F807" s="49" t="s">
        <v>2097</v>
      </c>
      <c r="G807" s="49" t="s">
        <v>2097</v>
      </c>
      <c r="H807" s="51" t="n">
        <v>864</v>
      </c>
      <c r="I807" s="51" t="n">
        <v>0</v>
      </c>
      <c r="J807" s="51" t="n">
        <v>0</v>
      </c>
      <c r="K807" s="52" t="n">
        <v>0</v>
      </c>
      <c r="L807" s="53" t="n">
        <v>26.1</v>
      </c>
      <c r="M807" s="54"/>
      <c r="N807" s="51" t="n">
        <v>12.305479</v>
      </c>
      <c r="O807" s="55" t="n">
        <v>0</v>
      </c>
      <c r="P807" s="51" t="n">
        <v>864</v>
      </c>
      <c r="Q807" s="49" t="s">
        <v>2098</v>
      </c>
      <c r="R807" s="49" t="s">
        <v>2572</v>
      </c>
      <c r="S807" s="53" t="n">
        <v>0</v>
      </c>
      <c r="T807" s="51" t="n">
        <v>1</v>
      </c>
      <c r="U807" s="56" t="n">
        <f aca="false">I807*O807</f>
        <v>0</v>
      </c>
      <c r="V807" s="56" t="n">
        <f aca="false">J807*O807</f>
        <v>0</v>
      </c>
      <c r="W807" s="56" t="n">
        <f aca="false">((I807+J807)/2)*O807</f>
        <v>0</v>
      </c>
      <c r="X807" s="56" t="n">
        <f aca="false">H807*O807</f>
        <v>0</v>
      </c>
    </row>
    <row r="808" customFormat="false" ht="22.35" hidden="false" customHeight="false" outlineLevel="0" collapsed="false">
      <c r="A808" s="76" t="s">
        <v>2063</v>
      </c>
      <c r="B808" s="7" t="s">
        <v>3412</v>
      </c>
      <c r="C808" s="7" t="s">
        <v>3413</v>
      </c>
      <c r="D808" s="7" t="s">
        <v>2570</v>
      </c>
      <c r="E808" s="77" t="s">
        <v>2571</v>
      </c>
      <c r="F808" s="7" t="s">
        <v>2097</v>
      </c>
      <c r="G808" s="7" t="s">
        <v>2097</v>
      </c>
      <c r="H808" s="9" t="n">
        <v>24</v>
      </c>
      <c r="I808" s="9" t="n">
        <v>0</v>
      </c>
      <c r="J808" s="9" t="n">
        <v>0</v>
      </c>
      <c r="K808" s="52" t="n">
        <v>0</v>
      </c>
      <c r="L808" s="58" t="n">
        <v>26.1</v>
      </c>
      <c r="M808" s="59"/>
      <c r="N808" s="9" t="n">
        <v>0.408219</v>
      </c>
      <c r="O808" s="8" t="n">
        <v>0</v>
      </c>
      <c r="P808" s="9" t="n">
        <v>24</v>
      </c>
      <c r="Q808" s="7" t="s">
        <v>2098</v>
      </c>
      <c r="R808" s="7" t="s">
        <v>2572</v>
      </c>
      <c r="S808" s="58" t="n">
        <v>0</v>
      </c>
      <c r="T808" s="9" t="n">
        <v>12</v>
      </c>
      <c r="U808" s="56" t="n">
        <f aca="false">I808*O808</f>
        <v>0</v>
      </c>
      <c r="V808" s="56" t="n">
        <f aca="false">J808*O808</f>
        <v>0</v>
      </c>
      <c r="W808" s="56" t="n">
        <f aca="false">((I808+J808)/2)*O808</f>
        <v>0</v>
      </c>
      <c r="X808" s="56" t="n">
        <f aca="false">H808*O808</f>
        <v>0</v>
      </c>
    </row>
    <row r="809" customFormat="false" ht="22.35" hidden="false" customHeight="false" outlineLevel="0" collapsed="false">
      <c r="A809" s="76" t="s">
        <v>2063</v>
      </c>
      <c r="B809" s="49" t="s">
        <v>3414</v>
      </c>
      <c r="C809" s="49" t="s">
        <v>3415</v>
      </c>
      <c r="D809" s="49" t="s">
        <v>2570</v>
      </c>
      <c r="E809" s="77" t="s">
        <v>2571</v>
      </c>
      <c r="F809" s="49" t="s">
        <v>2097</v>
      </c>
      <c r="G809" s="49" t="s">
        <v>2097</v>
      </c>
      <c r="H809" s="51" t="n">
        <v>12</v>
      </c>
      <c r="I809" s="51" t="n">
        <v>0</v>
      </c>
      <c r="J809" s="51" t="n">
        <v>0</v>
      </c>
      <c r="K809" s="52" t="n">
        <v>0</v>
      </c>
      <c r="L809" s="53" t="n">
        <v>26.1</v>
      </c>
      <c r="M809" s="54"/>
      <c r="N809" s="51" t="n">
        <v>0.109589</v>
      </c>
      <c r="O809" s="55" t="n">
        <v>0</v>
      </c>
      <c r="P809" s="51" t="n">
        <v>12</v>
      </c>
      <c r="Q809" s="49" t="s">
        <v>2098</v>
      </c>
      <c r="R809" s="49" t="s">
        <v>2572</v>
      </c>
      <c r="S809" s="53" t="n">
        <v>0</v>
      </c>
      <c r="T809" s="51" t="n">
        <v>3</v>
      </c>
      <c r="U809" s="56" t="n">
        <f aca="false">I809*O809</f>
        <v>0</v>
      </c>
      <c r="V809" s="56" t="n">
        <f aca="false">J809*O809</f>
        <v>0</v>
      </c>
      <c r="W809" s="56" t="n">
        <f aca="false">((I809+J809)/2)*O809</f>
        <v>0</v>
      </c>
      <c r="X809" s="56" t="n">
        <f aca="false">H809*O809</f>
        <v>0</v>
      </c>
    </row>
    <row r="810" customFormat="false" ht="22.35" hidden="false" customHeight="false" outlineLevel="0" collapsed="false">
      <c r="A810" s="76" t="s">
        <v>2063</v>
      </c>
      <c r="B810" s="7" t="s">
        <v>3416</v>
      </c>
      <c r="C810" s="7" t="s">
        <v>3417</v>
      </c>
      <c r="D810" s="7" t="s">
        <v>2570</v>
      </c>
      <c r="E810" s="77" t="s">
        <v>2571</v>
      </c>
      <c r="F810" s="7" t="s">
        <v>2097</v>
      </c>
      <c r="G810" s="7" t="s">
        <v>2097</v>
      </c>
      <c r="H810" s="9" t="n">
        <v>3</v>
      </c>
      <c r="I810" s="9" t="n">
        <v>0</v>
      </c>
      <c r="J810" s="9" t="n">
        <v>0</v>
      </c>
      <c r="K810" s="52" t="n">
        <v>0</v>
      </c>
      <c r="L810" s="58" t="n">
        <v>26.1</v>
      </c>
      <c r="M810" s="59"/>
      <c r="N810" s="9" t="n">
        <v>0.047945</v>
      </c>
      <c r="O810" s="8" t="n">
        <v>0</v>
      </c>
      <c r="P810" s="9" t="n">
        <v>3</v>
      </c>
      <c r="Q810" s="7" t="s">
        <v>2098</v>
      </c>
      <c r="R810" s="7" t="s">
        <v>2572</v>
      </c>
      <c r="S810" s="58" t="n">
        <v>0</v>
      </c>
      <c r="T810" s="9" t="n">
        <v>3</v>
      </c>
      <c r="U810" s="56" t="n">
        <f aca="false">I810*O810</f>
        <v>0</v>
      </c>
      <c r="V810" s="56" t="n">
        <f aca="false">J810*O810</f>
        <v>0</v>
      </c>
      <c r="W810" s="56" t="n">
        <f aca="false">((I810+J810)/2)*O810</f>
        <v>0</v>
      </c>
      <c r="X810" s="56" t="n">
        <f aca="false">H810*O810</f>
        <v>0</v>
      </c>
    </row>
    <row r="811" customFormat="false" ht="22.35" hidden="false" customHeight="false" outlineLevel="0" collapsed="false">
      <c r="A811" s="76" t="s">
        <v>2063</v>
      </c>
      <c r="B811" s="49" t="s">
        <v>3418</v>
      </c>
      <c r="C811" s="49" t="s">
        <v>3419</v>
      </c>
      <c r="D811" s="49" t="s">
        <v>2570</v>
      </c>
      <c r="E811" s="77" t="s">
        <v>2571</v>
      </c>
      <c r="F811" s="49" t="s">
        <v>2097</v>
      </c>
      <c r="G811" s="49" t="s">
        <v>2097</v>
      </c>
      <c r="H811" s="51" t="n">
        <v>120</v>
      </c>
      <c r="I811" s="51" t="n">
        <v>0</v>
      </c>
      <c r="J811" s="51" t="n">
        <v>0</v>
      </c>
      <c r="K811" s="52" t="n">
        <v>0</v>
      </c>
      <c r="L811" s="53" t="n">
        <v>26.1</v>
      </c>
      <c r="M811" s="54"/>
      <c r="N811" s="51" t="n">
        <v>1.717808</v>
      </c>
      <c r="O811" s="55" t="n">
        <v>0</v>
      </c>
      <c r="P811" s="51" t="n">
        <v>120</v>
      </c>
      <c r="Q811" s="49" t="s">
        <v>2098</v>
      </c>
      <c r="R811" s="49" t="s">
        <v>2572</v>
      </c>
      <c r="S811" s="53" t="n">
        <v>0</v>
      </c>
      <c r="T811" s="51" t="n">
        <v>24</v>
      </c>
      <c r="U811" s="56" t="n">
        <f aca="false">I811*O811</f>
        <v>0</v>
      </c>
      <c r="V811" s="56" t="n">
        <f aca="false">J811*O811</f>
        <v>0</v>
      </c>
      <c r="W811" s="56" t="n">
        <f aca="false">((I811+J811)/2)*O811</f>
        <v>0</v>
      </c>
      <c r="X811" s="56" t="n">
        <f aca="false">H811*O811</f>
        <v>0</v>
      </c>
    </row>
    <row r="812" customFormat="false" ht="22.35" hidden="false" customHeight="false" outlineLevel="0" collapsed="false">
      <c r="A812" s="76" t="s">
        <v>2063</v>
      </c>
      <c r="B812" s="7" t="s">
        <v>3420</v>
      </c>
      <c r="C812" s="7" t="s">
        <v>3419</v>
      </c>
      <c r="D812" s="7" t="s">
        <v>2570</v>
      </c>
      <c r="E812" s="77" t="s">
        <v>2571</v>
      </c>
      <c r="F812" s="7" t="s">
        <v>2097</v>
      </c>
      <c r="G812" s="7" t="s">
        <v>2097</v>
      </c>
      <c r="H812" s="9" t="n">
        <v>64</v>
      </c>
      <c r="I812" s="9" t="n">
        <v>0</v>
      </c>
      <c r="J812" s="9" t="n">
        <v>0</v>
      </c>
      <c r="K812" s="52" t="n">
        <v>0</v>
      </c>
      <c r="L812" s="58" t="n">
        <v>26.1</v>
      </c>
      <c r="M812" s="59"/>
      <c r="N812" s="9" t="n">
        <v>0.734247</v>
      </c>
      <c r="O812" s="8" t="n">
        <v>0</v>
      </c>
      <c r="P812" s="9" t="n">
        <v>64</v>
      </c>
      <c r="Q812" s="7" t="s">
        <v>2098</v>
      </c>
      <c r="R812" s="7" t="s">
        <v>2572</v>
      </c>
      <c r="S812" s="58" t="n">
        <v>0</v>
      </c>
      <c r="T812" s="9" t="n">
        <v>12</v>
      </c>
      <c r="U812" s="56" t="n">
        <f aca="false">I812*O812</f>
        <v>0</v>
      </c>
      <c r="V812" s="56" t="n">
        <f aca="false">J812*O812</f>
        <v>0</v>
      </c>
      <c r="W812" s="56" t="n">
        <f aca="false">((I812+J812)/2)*O812</f>
        <v>0</v>
      </c>
      <c r="X812" s="56" t="n">
        <f aca="false">H812*O812</f>
        <v>0</v>
      </c>
    </row>
    <row r="813" customFormat="false" ht="22.35" hidden="false" customHeight="false" outlineLevel="0" collapsed="false">
      <c r="A813" s="76" t="s">
        <v>2063</v>
      </c>
      <c r="B813" s="49" t="s">
        <v>3421</v>
      </c>
      <c r="C813" s="49" t="s">
        <v>3422</v>
      </c>
      <c r="D813" s="49" t="s">
        <v>2570</v>
      </c>
      <c r="E813" s="77" t="s">
        <v>2571</v>
      </c>
      <c r="F813" s="49" t="s">
        <v>2097</v>
      </c>
      <c r="G813" s="49" t="s">
        <v>2097</v>
      </c>
      <c r="H813" s="51" t="n">
        <v>96</v>
      </c>
      <c r="I813" s="51" t="n">
        <v>0</v>
      </c>
      <c r="J813" s="51" t="n">
        <v>0</v>
      </c>
      <c r="K813" s="52" t="n">
        <v>0</v>
      </c>
      <c r="L813" s="53" t="n">
        <v>26.1</v>
      </c>
      <c r="M813" s="54"/>
      <c r="N813" s="51" t="n">
        <v>1.087671</v>
      </c>
      <c r="O813" s="55" t="n">
        <v>0</v>
      </c>
      <c r="P813" s="51" t="n">
        <v>96</v>
      </c>
      <c r="Q813" s="49" t="s">
        <v>2098</v>
      </c>
      <c r="R813" s="49" t="s">
        <v>2572</v>
      </c>
      <c r="S813" s="53" t="n">
        <v>0</v>
      </c>
      <c r="T813" s="51" t="n">
        <v>24</v>
      </c>
      <c r="U813" s="56" t="n">
        <f aca="false">I813*O813</f>
        <v>0</v>
      </c>
      <c r="V813" s="56" t="n">
        <f aca="false">J813*O813</f>
        <v>0</v>
      </c>
      <c r="W813" s="56" t="n">
        <f aca="false">((I813+J813)/2)*O813</f>
        <v>0</v>
      </c>
      <c r="X813" s="56" t="n">
        <f aca="false">H813*O813</f>
        <v>0</v>
      </c>
    </row>
    <row r="814" customFormat="false" ht="22.35" hidden="false" customHeight="false" outlineLevel="0" collapsed="false">
      <c r="A814" s="76" t="s">
        <v>2063</v>
      </c>
      <c r="B814" s="7" t="s">
        <v>3423</v>
      </c>
      <c r="C814" s="7" t="s">
        <v>3422</v>
      </c>
      <c r="D814" s="7" t="s">
        <v>2570</v>
      </c>
      <c r="E814" s="77" t="s">
        <v>2571</v>
      </c>
      <c r="F814" s="7" t="s">
        <v>2097</v>
      </c>
      <c r="G814" s="7" t="s">
        <v>2097</v>
      </c>
      <c r="H814" s="9" t="n">
        <v>20</v>
      </c>
      <c r="I814" s="9" t="n">
        <v>0</v>
      </c>
      <c r="J814" s="9" t="n">
        <v>0</v>
      </c>
      <c r="K814" s="52" t="n">
        <v>0</v>
      </c>
      <c r="L814" s="58" t="n">
        <v>26.1</v>
      </c>
      <c r="M814" s="59"/>
      <c r="N814" s="9" t="n">
        <v>0.093151</v>
      </c>
      <c r="O814" s="8" t="n">
        <v>0</v>
      </c>
      <c r="P814" s="9" t="n">
        <v>20</v>
      </c>
      <c r="Q814" s="7" t="s">
        <v>2098</v>
      </c>
      <c r="R814" s="7" t="s">
        <v>2572</v>
      </c>
      <c r="S814" s="58" t="n">
        <v>0</v>
      </c>
      <c r="T814" s="9" t="n">
        <v>12</v>
      </c>
      <c r="U814" s="56" t="n">
        <f aca="false">I814*O814</f>
        <v>0</v>
      </c>
      <c r="V814" s="56" t="n">
        <f aca="false">J814*O814</f>
        <v>0</v>
      </c>
      <c r="W814" s="56" t="n">
        <f aca="false">((I814+J814)/2)*O814</f>
        <v>0</v>
      </c>
      <c r="X814" s="56" t="n">
        <f aca="false">H814*O814</f>
        <v>0</v>
      </c>
    </row>
    <row r="815" customFormat="false" ht="22.35" hidden="false" customHeight="false" outlineLevel="0" collapsed="false">
      <c r="A815" s="76" t="s">
        <v>2063</v>
      </c>
      <c r="B815" s="49" t="s">
        <v>3424</v>
      </c>
      <c r="C815" s="49" t="s">
        <v>3425</v>
      </c>
      <c r="D815" s="49" t="s">
        <v>2570</v>
      </c>
      <c r="E815" s="77" t="s">
        <v>2571</v>
      </c>
      <c r="F815" s="49" t="s">
        <v>2097</v>
      </c>
      <c r="G815" s="49" t="s">
        <v>2097</v>
      </c>
      <c r="H815" s="51" t="n">
        <v>20</v>
      </c>
      <c r="I815" s="51" t="n">
        <v>0</v>
      </c>
      <c r="J815" s="51" t="n">
        <v>0</v>
      </c>
      <c r="K815" s="52" t="n">
        <v>0</v>
      </c>
      <c r="L815" s="53" t="n">
        <v>26.1</v>
      </c>
      <c r="M815" s="54"/>
      <c r="N815" s="51" t="n">
        <v>0.256164</v>
      </c>
      <c r="O815" s="55" t="n">
        <v>0</v>
      </c>
      <c r="P815" s="51" t="n">
        <v>20</v>
      </c>
      <c r="Q815" s="49" t="s">
        <v>2098</v>
      </c>
      <c r="R815" s="49" t="s">
        <v>2572</v>
      </c>
      <c r="S815" s="53" t="n">
        <v>0</v>
      </c>
      <c r="T815" s="51" t="n">
        <v>8</v>
      </c>
      <c r="U815" s="56" t="n">
        <f aca="false">I815*O815</f>
        <v>0</v>
      </c>
      <c r="V815" s="56" t="n">
        <f aca="false">J815*O815</f>
        <v>0</v>
      </c>
      <c r="W815" s="56" t="n">
        <f aca="false">((I815+J815)/2)*O815</f>
        <v>0</v>
      </c>
      <c r="X815" s="56" t="n">
        <f aca="false">H815*O815</f>
        <v>0</v>
      </c>
    </row>
    <row r="816" customFormat="false" ht="22.35" hidden="false" customHeight="false" outlineLevel="0" collapsed="false">
      <c r="A816" s="76" t="s">
        <v>2063</v>
      </c>
      <c r="B816" s="7" t="s">
        <v>3426</v>
      </c>
      <c r="C816" s="7" t="s">
        <v>3425</v>
      </c>
      <c r="D816" s="7" t="s">
        <v>2570</v>
      </c>
      <c r="E816" s="77" t="s">
        <v>2571</v>
      </c>
      <c r="F816" s="7" t="s">
        <v>2097</v>
      </c>
      <c r="G816" s="7" t="s">
        <v>2097</v>
      </c>
      <c r="H816" s="9" t="n">
        <v>24</v>
      </c>
      <c r="I816" s="9" t="n">
        <v>0</v>
      </c>
      <c r="J816" s="9" t="n">
        <v>0</v>
      </c>
      <c r="K816" s="52" t="n">
        <v>0</v>
      </c>
      <c r="L816" s="58" t="n">
        <v>26.1</v>
      </c>
      <c r="M816" s="59"/>
      <c r="N816" s="9" t="n">
        <v>0.319178</v>
      </c>
      <c r="O816" s="8" t="n">
        <v>0</v>
      </c>
      <c r="P816" s="9" t="n">
        <v>24</v>
      </c>
      <c r="Q816" s="7" t="s">
        <v>2098</v>
      </c>
      <c r="R816" s="7" t="s">
        <v>2572</v>
      </c>
      <c r="S816" s="58" t="n">
        <v>0</v>
      </c>
      <c r="T816" s="9" t="n">
        <v>3</v>
      </c>
      <c r="U816" s="56" t="n">
        <f aca="false">I816*O816</f>
        <v>0</v>
      </c>
      <c r="V816" s="56" t="n">
        <f aca="false">J816*O816</f>
        <v>0</v>
      </c>
      <c r="W816" s="56" t="n">
        <f aca="false">((I816+J816)/2)*O816</f>
        <v>0</v>
      </c>
      <c r="X816" s="56" t="n">
        <f aca="false">H816*O816</f>
        <v>0</v>
      </c>
    </row>
    <row r="817" customFormat="false" ht="22.35" hidden="false" customHeight="false" outlineLevel="0" collapsed="false">
      <c r="A817" s="76" t="s">
        <v>2063</v>
      </c>
      <c r="B817" s="49" t="s">
        <v>3427</v>
      </c>
      <c r="C817" s="49" t="s">
        <v>3428</v>
      </c>
      <c r="D817" s="49" t="s">
        <v>2570</v>
      </c>
      <c r="E817" s="77" t="s">
        <v>2571</v>
      </c>
      <c r="F817" s="49" t="s">
        <v>2097</v>
      </c>
      <c r="G817" s="49" t="s">
        <v>2097</v>
      </c>
      <c r="H817" s="51" t="n">
        <v>432</v>
      </c>
      <c r="I817" s="51" t="n">
        <v>0</v>
      </c>
      <c r="J817" s="51" t="n">
        <v>0</v>
      </c>
      <c r="K817" s="52" t="n">
        <v>0</v>
      </c>
      <c r="L817" s="53" t="n">
        <v>26.1</v>
      </c>
      <c r="M817" s="54"/>
      <c r="N817" s="51" t="n">
        <v>2.334247</v>
      </c>
      <c r="O817" s="55" t="n">
        <v>0</v>
      </c>
      <c r="P817" s="51" t="n">
        <v>432</v>
      </c>
      <c r="Q817" s="49" t="s">
        <v>2098</v>
      </c>
      <c r="R817" s="49" t="s">
        <v>2572</v>
      </c>
      <c r="S817" s="53" t="n">
        <v>0</v>
      </c>
      <c r="T817" s="51" t="n">
        <v>1</v>
      </c>
      <c r="U817" s="56" t="n">
        <f aca="false">I817*O817</f>
        <v>0</v>
      </c>
      <c r="V817" s="56" t="n">
        <f aca="false">J817*O817</f>
        <v>0</v>
      </c>
      <c r="W817" s="56" t="n">
        <f aca="false">((I817+J817)/2)*O817</f>
        <v>0</v>
      </c>
      <c r="X817" s="56" t="n">
        <f aca="false">H817*O817</f>
        <v>0</v>
      </c>
    </row>
    <row r="818" customFormat="false" ht="22.35" hidden="false" customHeight="false" outlineLevel="0" collapsed="false">
      <c r="A818" s="76" t="s">
        <v>2063</v>
      </c>
      <c r="B818" s="7" t="s">
        <v>3429</v>
      </c>
      <c r="C818" s="7" t="s">
        <v>3428</v>
      </c>
      <c r="D818" s="7" t="s">
        <v>2570</v>
      </c>
      <c r="E818" s="77" t="s">
        <v>2571</v>
      </c>
      <c r="F818" s="7" t="s">
        <v>2097</v>
      </c>
      <c r="G818" s="7" t="s">
        <v>2097</v>
      </c>
      <c r="H818" s="9" t="n">
        <v>144</v>
      </c>
      <c r="I818" s="9" t="n">
        <v>0</v>
      </c>
      <c r="J818" s="9" t="n">
        <v>0</v>
      </c>
      <c r="K818" s="52" t="n">
        <v>0</v>
      </c>
      <c r="L818" s="58" t="n">
        <v>26.1</v>
      </c>
      <c r="M818" s="59"/>
      <c r="N818" s="9" t="n">
        <v>1.049315</v>
      </c>
      <c r="O818" s="8" t="n">
        <v>0</v>
      </c>
      <c r="P818" s="9" t="n">
        <v>144</v>
      </c>
      <c r="Q818" s="7" t="s">
        <v>2098</v>
      </c>
      <c r="R818" s="7" t="s">
        <v>2572</v>
      </c>
      <c r="S818" s="58" t="n">
        <v>0</v>
      </c>
      <c r="T818" s="9" t="n">
        <v>24</v>
      </c>
      <c r="U818" s="56" t="n">
        <f aca="false">I818*O818</f>
        <v>0</v>
      </c>
      <c r="V818" s="56" t="n">
        <f aca="false">J818*O818</f>
        <v>0</v>
      </c>
      <c r="W818" s="56" t="n">
        <f aca="false">((I818+J818)/2)*O818</f>
        <v>0</v>
      </c>
      <c r="X818" s="56" t="n">
        <f aca="false">H818*O818</f>
        <v>0</v>
      </c>
    </row>
    <row r="819" customFormat="false" ht="22.35" hidden="false" customHeight="false" outlineLevel="0" collapsed="false">
      <c r="A819" s="76" t="s">
        <v>2063</v>
      </c>
      <c r="B819" s="49" t="s">
        <v>3430</v>
      </c>
      <c r="C819" s="49" t="s">
        <v>3431</v>
      </c>
      <c r="D819" s="49" t="s">
        <v>2570</v>
      </c>
      <c r="E819" s="77" t="s">
        <v>2571</v>
      </c>
      <c r="F819" s="49" t="s">
        <v>2097</v>
      </c>
      <c r="G819" s="49" t="s">
        <v>2097</v>
      </c>
      <c r="H819" s="51" t="n">
        <v>24</v>
      </c>
      <c r="I819" s="51" t="n">
        <v>0</v>
      </c>
      <c r="J819" s="51" t="n">
        <v>0</v>
      </c>
      <c r="K819" s="52" t="n">
        <v>0</v>
      </c>
      <c r="L819" s="53" t="n">
        <v>26.1</v>
      </c>
      <c r="M819" s="54"/>
      <c r="N819" s="51" t="n">
        <v>0.280822</v>
      </c>
      <c r="O819" s="55" t="n">
        <v>0</v>
      </c>
      <c r="P819" s="51" t="n">
        <v>24</v>
      </c>
      <c r="Q819" s="49" t="s">
        <v>2098</v>
      </c>
      <c r="R819" s="49" t="s">
        <v>2572</v>
      </c>
      <c r="S819" s="53" t="n">
        <v>0</v>
      </c>
      <c r="T819" s="51" t="n">
        <v>4</v>
      </c>
      <c r="U819" s="56" t="n">
        <f aca="false">I819*O819</f>
        <v>0</v>
      </c>
      <c r="V819" s="56" t="n">
        <f aca="false">J819*O819</f>
        <v>0</v>
      </c>
      <c r="W819" s="56" t="n">
        <f aca="false">((I819+J819)/2)*O819</f>
        <v>0</v>
      </c>
      <c r="X819" s="56" t="n">
        <f aca="false">H819*O819</f>
        <v>0</v>
      </c>
    </row>
    <row r="820" customFormat="false" ht="22.35" hidden="false" customHeight="false" outlineLevel="0" collapsed="false">
      <c r="A820" s="76" t="s">
        <v>2063</v>
      </c>
      <c r="B820" s="7" t="s">
        <v>3432</v>
      </c>
      <c r="C820" s="7" t="s">
        <v>3431</v>
      </c>
      <c r="D820" s="7" t="s">
        <v>2570</v>
      </c>
      <c r="E820" s="77" t="s">
        <v>2571</v>
      </c>
      <c r="F820" s="7" t="s">
        <v>2097</v>
      </c>
      <c r="G820" s="7" t="s">
        <v>2097</v>
      </c>
      <c r="H820" s="9" t="n">
        <v>12</v>
      </c>
      <c r="I820" s="9" t="n">
        <v>0</v>
      </c>
      <c r="J820" s="9" t="n">
        <v>0</v>
      </c>
      <c r="K820" s="52" t="n">
        <v>0</v>
      </c>
      <c r="L820" s="58" t="n">
        <v>26.1</v>
      </c>
      <c r="M820" s="59"/>
      <c r="N820" s="9" t="n">
        <v>0.124658</v>
      </c>
      <c r="O820" s="8" t="n">
        <v>0</v>
      </c>
      <c r="P820" s="9" t="n">
        <v>12</v>
      </c>
      <c r="Q820" s="7" t="s">
        <v>2098</v>
      </c>
      <c r="R820" s="7" t="s">
        <v>2572</v>
      </c>
      <c r="S820" s="58" t="n">
        <v>0</v>
      </c>
      <c r="T820" s="9" t="n">
        <v>4</v>
      </c>
      <c r="U820" s="56" t="n">
        <f aca="false">I820*O820</f>
        <v>0</v>
      </c>
      <c r="V820" s="56" t="n">
        <f aca="false">J820*O820</f>
        <v>0</v>
      </c>
      <c r="W820" s="56" t="n">
        <f aca="false">((I820+J820)/2)*O820</f>
        <v>0</v>
      </c>
      <c r="X820" s="56" t="n">
        <f aca="false">H820*O820</f>
        <v>0</v>
      </c>
    </row>
    <row r="821" customFormat="false" ht="22.35" hidden="false" customHeight="false" outlineLevel="0" collapsed="false">
      <c r="A821" s="76" t="s">
        <v>2063</v>
      </c>
      <c r="B821" s="49" t="s">
        <v>3433</v>
      </c>
      <c r="C821" s="49" t="s">
        <v>3434</v>
      </c>
      <c r="D821" s="49" t="s">
        <v>2570</v>
      </c>
      <c r="E821" s="77" t="s">
        <v>2571</v>
      </c>
      <c r="F821" s="49" t="s">
        <v>2097</v>
      </c>
      <c r="G821" s="49" t="s">
        <v>2097</v>
      </c>
      <c r="H821" s="51" t="n">
        <v>16</v>
      </c>
      <c r="I821" s="51" t="n">
        <v>0</v>
      </c>
      <c r="J821" s="51" t="n">
        <v>0</v>
      </c>
      <c r="K821" s="52" t="n">
        <v>0</v>
      </c>
      <c r="L821" s="53" t="n">
        <v>26.1</v>
      </c>
      <c r="M821" s="54"/>
      <c r="N821" s="51" t="n">
        <v>0.106849</v>
      </c>
      <c r="O821" s="55" t="n">
        <v>0</v>
      </c>
      <c r="P821" s="51" t="n">
        <v>16</v>
      </c>
      <c r="Q821" s="49" t="s">
        <v>2098</v>
      </c>
      <c r="R821" s="49" t="s">
        <v>2572</v>
      </c>
      <c r="S821" s="53" t="n">
        <v>0</v>
      </c>
      <c r="T821" s="51" t="n">
        <v>8</v>
      </c>
      <c r="U821" s="56" t="n">
        <f aca="false">I821*O821</f>
        <v>0</v>
      </c>
      <c r="V821" s="56" t="n">
        <f aca="false">J821*O821</f>
        <v>0</v>
      </c>
      <c r="W821" s="56" t="n">
        <f aca="false">((I821+J821)/2)*O821</f>
        <v>0</v>
      </c>
      <c r="X821" s="56" t="n">
        <f aca="false">H821*O821</f>
        <v>0</v>
      </c>
    </row>
    <row r="822" customFormat="false" ht="22.35" hidden="false" customHeight="false" outlineLevel="0" collapsed="false">
      <c r="A822" s="76" t="s">
        <v>2063</v>
      </c>
      <c r="B822" s="7" t="s">
        <v>3435</v>
      </c>
      <c r="C822" s="7" t="s">
        <v>3434</v>
      </c>
      <c r="D822" s="7" t="s">
        <v>2570</v>
      </c>
      <c r="E822" s="77" t="s">
        <v>2571</v>
      </c>
      <c r="F822" s="7" t="s">
        <v>2097</v>
      </c>
      <c r="G822" s="7" t="s">
        <v>2097</v>
      </c>
      <c r="H822" s="9" t="n">
        <v>6</v>
      </c>
      <c r="I822" s="9" t="n">
        <v>0</v>
      </c>
      <c r="J822" s="9" t="n">
        <v>0</v>
      </c>
      <c r="K822" s="52" t="n">
        <v>0</v>
      </c>
      <c r="L822" s="58" t="n">
        <v>26.1</v>
      </c>
      <c r="M822" s="59"/>
      <c r="N822" s="9" t="n">
        <v>0.10411</v>
      </c>
      <c r="O822" s="8" t="n">
        <v>0</v>
      </c>
      <c r="P822" s="9" t="n">
        <v>6</v>
      </c>
      <c r="Q822" s="7" t="s">
        <v>2098</v>
      </c>
      <c r="R822" s="7" t="s">
        <v>2572</v>
      </c>
      <c r="S822" s="58" t="n">
        <v>0</v>
      </c>
      <c r="T822" s="9" t="n">
        <v>3</v>
      </c>
      <c r="U822" s="56" t="n">
        <f aca="false">I822*O822</f>
        <v>0</v>
      </c>
      <c r="V822" s="56" t="n">
        <f aca="false">J822*O822</f>
        <v>0</v>
      </c>
      <c r="W822" s="56" t="n">
        <f aca="false">((I822+J822)/2)*O822</f>
        <v>0</v>
      </c>
      <c r="X822" s="56" t="n">
        <f aca="false">H822*O822</f>
        <v>0</v>
      </c>
    </row>
    <row r="823" customFormat="false" ht="22.35" hidden="false" customHeight="false" outlineLevel="0" collapsed="false">
      <c r="A823" s="76" t="s">
        <v>2063</v>
      </c>
      <c r="B823" s="49" t="s">
        <v>3436</v>
      </c>
      <c r="C823" s="49" t="s">
        <v>3437</v>
      </c>
      <c r="D823" s="49" t="s">
        <v>2570</v>
      </c>
      <c r="E823" s="77" t="s">
        <v>2571</v>
      </c>
      <c r="F823" s="49" t="s">
        <v>2097</v>
      </c>
      <c r="G823" s="49" t="s">
        <v>2097</v>
      </c>
      <c r="H823" s="51" t="n">
        <v>24</v>
      </c>
      <c r="I823" s="51" t="n">
        <v>0</v>
      </c>
      <c r="J823" s="51" t="n">
        <v>0</v>
      </c>
      <c r="K823" s="52" t="n">
        <v>0</v>
      </c>
      <c r="L823" s="53" t="n">
        <v>26.1</v>
      </c>
      <c r="M823" s="54"/>
      <c r="N823" s="51" t="n">
        <v>0.390411</v>
      </c>
      <c r="O823" s="55" t="n">
        <v>0</v>
      </c>
      <c r="P823" s="51" t="n">
        <v>24</v>
      </c>
      <c r="Q823" s="49" t="s">
        <v>2098</v>
      </c>
      <c r="R823" s="49" t="s">
        <v>2572</v>
      </c>
      <c r="S823" s="53" t="n">
        <v>0</v>
      </c>
      <c r="T823" s="51" t="n">
        <v>8</v>
      </c>
      <c r="U823" s="56" t="n">
        <f aca="false">I823*O823</f>
        <v>0</v>
      </c>
      <c r="V823" s="56" t="n">
        <f aca="false">J823*O823</f>
        <v>0</v>
      </c>
      <c r="W823" s="56" t="n">
        <f aca="false">((I823+J823)/2)*O823</f>
        <v>0</v>
      </c>
      <c r="X823" s="56" t="n">
        <f aca="false">H823*O823</f>
        <v>0</v>
      </c>
    </row>
    <row r="824" customFormat="false" ht="22.35" hidden="false" customHeight="false" outlineLevel="0" collapsed="false">
      <c r="A824" s="76" t="s">
        <v>2063</v>
      </c>
      <c r="B824" s="7" t="s">
        <v>3438</v>
      </c>
      <c r="C824" s="7" t="s">
        <v>3437</v>
      </c>
      <c r="D824" s="7" t="s">
        <v>2570</v>
      </c>
      <c r="E824" s="77" t="s">
        <v>2571</v>
      </c>
      <c r="F824" s="7" t="s">
        <v>2097</v>
      </c>
      <c r="G824" s="7" t="s">
        <v>2097</v>
      </c>
      <c r="H824" s="9" t="n">
        <v>24</v>
      </c>
      <c r="I824" s="9" t="n">
        <v>0</v>
      </c>
      <c r="J824" s="9" t="n">
        <v>0</v>
      </c>
      <c r="K824" s="52" t="n">
        <v>0</v>
      </c>
      <c r="L824" s="58" t="n">
        <v>26.1</v>
      </c>
      <c r="M824" s="59"/>
      <c r="N824" s="9" t="n">
        <v>0.19863</v>
      </c>
      <c r="O824" s="8" t="n">
        <v>0</v>
      </c>
      <c r="P824" s="9" t="n">
        <v>24</v>
      </c>
      <c r="Q824" s="7" t="s">
        <v>2098</v>
      </c>
      <c r="R824" s="7" t="s">
        <v>2572</v>
      </c>
      <c r="S824" s="58" t="n">
        <v>0</v>
      </c>
      <c r="T824" s="9" t="n">
        <v>8</v>
      </c>
      <c r="U824" s="56" t="n">
        <f aca="false">I824*O824</f>
        <v>0</v>
      </c>
      <c r="V824" s="56" t="n">
        <f aca="false">J824*O824</f>
        <v>0</v>
      </c>
      <c r="W824" s="56" t="n">
        <f aca="false">((I824+J824)/2)*O824</f>
        <v>0</v>
      </c>
      <c r="X824" s="56" t="n">
        <f aca="false">H824*O824</f>
        <v>0</v>
      </c>
    </row>
    <row r="825" customFormat="false" ht="22.35" hidden="false" customHeight="false" outlineLevel="0" collapsed="false">
      <c r="A825" s="76" t="s">
        <v>2063</v>
      </c>
      <c r="B825" s="49" t="s">
        <v>3439</v>
      </c>
      <c r="C825" s="49" t="s">
        <v>3440</v>
      </c>
      <c r="D825" s="49" t="s">
        <v>2570</v>
      </c>
      <c r="E825" s="77" t="s">
        <v>2571</v>
      </c>
      <c r="F825" s="49" t="s">
        <v>2097</v>
      </c>
      <c r="G825" s="49" t="s">
        <v>2097</v>
      </c>
      <c r="H825" s="51" t="n">
        <v>624</v>
      </c>
      <c r="I825" s="51" t="n">
        <v>0</v>
      </c>
      <c r="J825" s="51" t="n">
        <v>0</v>
      </c>
      <c r="K825" s="52" t="n">
        <v>0</v>
      </c>
      <c r="L825" s="53" t="n">
        <v>26.1</v>
      </c>
      <c r="M825" s="54"/>
      <c r="N825" s="51" t="n">
        <v>9.816438</v>
      </c>
      <c r="O825" s="55" t="n">
        <v>0</v>
      </c>
      <c r="P825" s="51" t="n">
        <v>624</v>
      </c>
      <c r="Q825" s="49" t="s">
        <v>2098</v>
      </c>
      <c r="R825" s="49" t="s">
        <v>2572</v>
      </c>
      <c r="S825" s="53" t="n">
        <v>0</v>
      </c>
      <c r="T825" s="51" t="n">
        <v>1</v>
      </c>
      <c r="U825" s="56" t="n">
        <f aca="false">I825*O825</f>
        <v>0</v>
      </c>
      <c r="V825" s="56" t="n">
        <f aca="false">J825*O825</f>
        <v>0</v>
      </c>
      <c r="W825" s="56" t="n">
        <f aca="false">((I825+J825)/2)*O825</f>
        <v>0</v>
      </c>
      <c r="X825" s="56" t="n">
        <f aca="false">H825*O825</f>
        <v>0</v>
      </c>
    </row>
    <row r="826" customFormat="false" ht="22.35" hidden="false" customHeight="false" outlineLevel="0" collapsed="false">
      <c r="A826" s="76" t="s">
        <v>2063</v>
      </c>
      <c r="B826" s="7" t="s">
        <v>3441</v>
      </c>
      <c r="C826" s="7" t="s">
        <v>3440</v>
      </c>
      <c r="D826" s="7" t="s">
        <v>2570</v>
      </c>
      <c r="E826" s="77" t="s">
        <v>2571</v>
      </c>
      <c r="F826" s="7" t="s">
        <v>2097</v>
      </c>
      <c r="G826" s="7" t="s">
        <v>2097</v>
      </c>
      <c r="H826" s="9" t="n">
        <v>2</v>
      </c>
      <c r="I826" s="9" t="n">
        <v>0</v>
      </c>
      <c r="J826" s="9" t="n">
        <v>0</v>
      </c>
      <c r="K826" s="52" t="n">
        <v>0</v>
      </c>
      <c r="L826" s="58" t="n">
        <v>26.1</v>
      </c>
      <c r="M826" s="59"/>
      <c r="N826" s="9" t="n">
        <v>0.017808</v>
      </c>
      <c r="O826" s="8" t="n">
        <v>0</v>
      </c>
      <c r="P826" s="9" t="n">
        <v>2</v>
      </c>
      <c r="Q826" s="7" t="s">
        <v>2098</v>
      </c>
      <c r="R826" s="7" t="s">
        <v>2572</v>
      </c>
      <c r="S826" s="58" t="n">
        <v>0</v>
      </c>
      <c r="T826" s="9" t="n">
        <v>1</v>
      </c>
      <c r="U826" s="56" t="n">
        <f aca="false">I826*O826</f>
        <v>0</v>
      </c>
      <c r="V826" s="56" t="n">
        <f aca="false">J826*O826</f>
        <v>0</v>
      </c>
      <c r="W826" s="56" t="n">
        <f aca="false">((I826+J826)/2)*O826</f>
        <v>0</v>
      </c>
      <c r="X826" s="56" t="n">
        <f aca="false">H826*O826</f>
        <v>0</v>
      </c>
    </row>
    <row r="827" customFormat="false" ht="22.35" hidden="false" customHeight="false" outlineLevel="0" collapsed="false">
      <c r="A827" s="76" t="s">
        <v>2063</v>
      </c>
      <c r="B827" s="49" t="s">
        <v>3442</v>
      </c>
      <c r="C827" s="49" t="s">
        <v>3440</v>
      </c>
      <c r="D827" s="49" t="s">
        <v>2570</v>
      </c>
      <c r="E827" s="77" t="s">
        <v>2571</v>
      </c>
      <c r="F827" s="49" t="s">
        <v>2097</v>
      </c>
      <c r="G827" s="49" t="s">
        <v>2097</v>
      </c>
      <c r="H827" s="51" t="n">
        <v>360</v>
      </c>
      <c r="I827" s="51" t="n">
        <v>0</v>
      </c>
      <c r="J827" s="51" t="n">
        <v>0</v>
      </c>
      <c r="K827" s="52" t="n">
        <v>0</v>
      </c>
      <c r="L827" s="53" t="n">
        <v>26.1</v>
      </c>
      <c r="M827" s="54"/>
      <c r="N827" s="51" t="n">
        <v>4.209589</v>
      </c>
      <c r="O827" s="55" t="n">
        <v>0</v>
      </c>
      <c r="P827" s="51" t="n">
        <v>360</v>
      </c>
      <c r="Q827" s="49" t="s">
        <v>2098</v>
      </c>
      <c r="R827" s="49" t="s">
        <v>2572</v>
      </c>
      <c r="S827" s="53" t="n">
        <v>0</v>
      </c>
      <c r="T827" s="51" t="n">
        <v>1</v>
      </c>
      <c r="U827" s="56" t="n">
        <f aca="false">I827*O827</f>
        <v>0</v>
      </c>
      <c r="V827" s="56" t="n">
        <f aca="false">J827*O827</f>
        <v>0</v>
      </c>
      <c r="W827" s="56" t="n">
        <f aca="false">((I827+J827)/2)*O827</f>
        <v>0</v>
      </c>
      <c r="X827" s="56" t="n">
        <f aca="false">H827*O827</f>
        <v>0</v>
      </c>
    </row>
    <row r="828" customFormat="false" ht="22.35" hidden="false" customHeight="false" outlineLevel="0" collapsed="false">
      <c r="A828" s="76" t="s">
        <v>2063</v>
      </c>
      <c r="B828" s="7" t="s">
        <v>3443</v>
      </c>
      <c r="C828" s="7" t="s">
        <v>3444</v>
      </c>
      <c r="D828" s="7" t="s">
        <v>2570</v>
      </c>
      <c r="E828" s="77" t="s">
        <v>2571</v>
      </c>
      <c r="F828" s="7" t="s">
        <v>2097</v>
      </c>
      <c r="G828" s="7" t="s">
        <v>2097</v>
      </c>
      <c r="H828" s="9" t="n">
        <v>12</v>
      </c>
      <c r="I828" s="9" t="n">
        <v>0</v>
      </c>
      <c r="J828" s="9" t="n">
        <v>0</v>
      </c>
      <c r="K828" s="52" t="n">
        <v>0</v>
      </c>
      <c r="L828" s="58" t="n">
        <v>26.1</v>
      </c>
      <c r="M828" s="59"/>
      <c r="N828" s="9" t="n">
        <v>0.2</v>
      </c>
      <c r="O828" s="8" t="n">
        <v>0</v>
      </c>
      <c r="P828" s="9" t="n">
        <v>12</v>
      </c>
      <c r="Q828" s="7" t="s">
        <v>2098</v>
      </c>
      <c r="R828" s="7" t="s">
        <v>2572</v>
      </c>
      <c r="S828" s="58" t="n">
        <v>0</v>
      </c>
      <c r="T828" s="9" t="n">
        <v>1</v>
      </c>
      <c r="U828" s="56" t="n">
        <f aca="false">I828*O828</f>
        <v>0</v>
      </c>
      <c r="V828" s="56" t="n">
        <f aca="false">J828*O828</f>
        <v>0</v>
      </c>
      <c r="W828" s="56" t="n">
        <f aca="false">((I828+J828)/2)*O828</f>
        <v>0</v>
      </c>
      <c r="X828" s="56" t="n">
        <f aca="false">H828*O828</f>
        <v>0</v>
      </c>
    </row>
    <row r="829" customFormat="false" ht="22.35" hidden="false" customHeight="false" outlineLevel="0" collapsed="false">
      <c r="A829" s="76" t="s">
        <v>2063</v>
      </c>
      <c r="B829" s="49" t="s">
        <v>3445</v>
      </c>
      <c r="C829" s="49" t="s">
        <v>3444</v>
      </c>
      <c r="D829" s="49" t="s">
        <v>2570</v>
      </c>
      <c r="E829" s="77" t="s">
        <v>2571</v>
      </c>
      <c r="F829" s="49" t="s">
        <v>2097</v>
      </c>
      <c r="G829" s="49" t="s">
        <v>2097</v>
      </c>
      <c r="H829" s="51" t="n">
        <v>16</v>
      </c>
      <c r="I829" s="51" t="n">
        <v>0</v>
      </c>
      <c r="J829" s="51" t="n">
        <v>0</v>
      </c>
      <c r="K829" s="52" t="n">
        <v>0</v>
      </c>
      <c r="L829" s="53" t="n">
        <v>26.1</v>
      </c>
      <c r="M829" s="54"/>
      <c r="N829" s="51" t="n">
        <v>0.282192</v>
      </c>
      <c r="O829" s="55" t="n">
        <v>0</v>
      </c>
      <c r="P829" s="51" t="n">
        <v>16</v>
      </c>
      <c r="Q829" s="49" t="s">
        <v>2098</v>
      </c>
      <c r="R829" s="49" t="s">
        <v>2572</v>
      </c>
      <c r="S829" s="53" t="n">
        <v>0</v>
      </c>
      <c r="T829" s="51" t="n">
        <v>1</v>
      </c>
      <c r="U829" s="56" t="n">
        <f aca="false">I829*O829</f>
        <v>0</v>
      </c>
      <c r="V829" s="56" t="n">
        <f aca="false">J829*O829</f>
        <v>0</v>
      </c>
      <c r="W829" s="56" t="n">
        <f aca="false">((I829+J829)/2)*O829</f>
        <v>0</v>
      </c>
      <c r="X829" s="56" t="n">
        <f aca="false">H829*O829</f>
        <v>0</v>
      </c>
    </row>
    <row r="830" customFormat="false" ht="22.35" hidden="false" customHeight="false" outlineLevel="0" collapsed="false">
      <c r="A830" s="76" t="s">
        <v>2063</v>
      </c>
      <c r="B830" s="7" t="s">
        <v>3446</v>
      </c>
      <c r="C830" s="7" t="s">
        <v>3447</v>
      </c>
      <c r="D830" s="7" t="s">
        <v>2570</v>
      </c>
      <c r="E830" s="77" t="s">
        <v>2571</v>
      </c>
      <c r="F830" s="7" t="s">
        <v>2097</v>
      </c>
      <c r="G830" s="7" t="s">
        <v>2097</v>
      </c>
      <c r="H830" s="9" t="n">
        <v>12</v>
      </c>
      <c r="I830" s="9" t="n">
        <v>0</v>
      </c>
      <c r="J830" s="9" t="n">
        <v>0</v>
      </c>
      <c r="K830" s="52" t="n">
        <v>0</v>
      </c>
      <c r="L830" s="58" t="n">
        <v>26.1</v>
      </c>
      <c r="M830" s="59"/>
      <c r="N830" s="9" t="n">
        <v>0.142466</v>
      </c>
      <c r="O830" s="8" t="n">
        <v>0</v>
      </c>
      <c r="P830" s="9" t="n">
        <v>12</v>
      </c>
      <c r="Q830" s="7" t="s">
        <v>2098</v>
      </c>
      <c r="R830" s="7" t="s">
        <v>2572</v>
      </c>
      <c r="S830" s="58" t="n">
        <v>0</v>
      </c>
      <c r="T830" s="9" t="n">
        <v>1</v>
      </c>
      <c r="U830" s="56" t="n">
        <f aca="false">I830*O830</f>
        <v>0</v>
      </c>
      <c r="V830" s="56" t="n">
        <f aca="false">J830*O830</f>
        <v>0</v>
      </c>
      <c r="W830" s="56" t="n">
        <f aca="false">((I830+J830)/2)*O830</f>
        <v>0</v>
      </c>
      <c r="X830" s="56" t="n">
        <f aca="false">H830*O830</f>
        <v>0</v>
      </c>
    </row>
    <row r="831" customFormat="false" ht="22.35" hidden="false" customHeight="false" outlineLevel="0" collapsed="false">
      <c r="A831" s="76" t="s">
        <v>2063</v>
      </c>
      <c r="B831" s="49" t="s">
        <v>3448</v>
      </c>
      <c r="C831" s="49" t="s">
        <v>3447</v>
      </c>
      <c r="D831" s="49" t="s">
        <v>2570</v>
      </c>
      <c r="E831" s="77" t="s">
        <v>2571</v>
      </c>
      <c r="F831" s="49" t="s">
        <v>2097</v>
      </c>
      <c r="G831" s="49" t="s">
        <v>2097</v>
      </c>
      <c r="H831" s="51" t="n">
        <v>12</v>
      </c>
      <c r="I831" s="51" t="n">
        <v>0</v>
      </c>
      <c r="J831" s="51" t="n">
        <v>0</v>
      </c>
      <c r="K831" s="52" t="n">
        <v>0</v>
      </c>
      <c r="L831" s="53" t="n">
        <v>26.1</v>
      </c>
      <c r="M831" s="54"/>
      <c r="N831" s="51" t="n">
        <v>0.158904</v>
      </c>
      <c r="O831" s="55" t="n">
        <v>0</v>
      </c>
      <c r="P831" s="51" t="n">
        <v>12</v>
      </c>
      <c r="Q831" s="49" t="s">
        <v>2098</v>
      </c>
      <c r="R831" s="49" t="s">
        <v>2572</v>
      </c>
      <c r="S831" s="53" t="n">
        <v>0</v>
      </c>
      <c r="T831" s="51" t="n">
        <v>1</v>
      </c>
      <c r="U831" s="56" t="n">
        <f aca="false">I831*O831</f>
        <v>0</v>
      </c>
      <c r="V831" s="56" t="n">
        <f aca="false">J831*O831</f>
        <v>0</v>
      </c>
      <c r="W831" s="56" t="n">
        <f aca="false">((I831+J831)/2)*O831</f>
        <v>0</v>
      </c>
      <c r="X831" s="56" t="n">
        <f aca="false">H831*O831</f>
        <v>0</v>
      </c>
    </row>
    <row r="832" customFormat="false" ht="22.35" hidden="false" customHeight="false" outlineLevel="0" collapsed="false">
      <c r="A832" s="76" t="s">
        <v>2063</v>
      </c>
      <c r="B832" s="7" t="s">
        <v>3449</v>
      </c>
      <c r="C832" s="7" t="s">
        <v>3444</v>
      </c>
      <c r="D832" s="7" t="s">
        <v>2570</v>
      </c>
      <c r="E832" s="77" t="s">
        <v>2571</v>
      </c>
      <c r="F832" s="7" t="s">
        <v>2097</v>
      </c>
      <c r="G832" s="7" t="s">
        <v>2097</v>
      </c>
      <c r="H832" s="9" t="n">
        <v>16</v>
      </c>
      <c r="I832" s="9" t="n">
        <v>0</v>
      </c>
      <c r="J832" s="9" t="n">
        <v>0</v>
      </c>
      <c r="K832" s="52" t="n">
        <v>0</v>
      </c>
      <c r="L832" s="58" t="n">
        <v>26.1</v>
      </c>
      <c r="M832" s="59"/>
      <c r="N832" s="9" t="n">
        <v>0.215068</v>
      </c>
      <c r="O832" s="8" t="n">
        <v>0</v>
      </c>
      <c r="P832" s="9" t="n">
        <v>16</v>
      </c>
      <c r="Q832" s="7" t="s">
        <v>2098</v>
      </c>
      <c r="R832" s="7" t="s">
        <v>2572</v>
      </c>
      <c r="S832" s="58" t="n">
        <v>0</v>
      </c>
      <c r="T832" s="9" t="n">
        <v>1</v>
      </c>
      <c r="U832" s="56" t="n">
        <f aca="false">I832*O832</f>
        <v>0</v>
      </c>
      <c r="V832" s="56" t="n">
        <f aca="false">J832*O832</f>
        <v>0</v>
      </c>
      <c r="W832" s="56" t="n">
        <f aca="false">((I832+J832)/2)*O832</f>
        <v>0</v>
      </c>
      <c r="X832" s="56" t="n">
        <f aca="false">H832*O832</f>
        <v>0</v>
      </c>
    </row>
    <row r="833" customFormat="false" ht="22.35" hidden="false" customHeight="false" outlineLevel="0" collapsed="false">
      <c r="A833" s="76" t="s">
        <v>2063</v>
      </c>
      <c r="B833" s="49" t="s">
        <v>3450</v>
      </c>
      <c r="C833" s="49" t="s">
        <v>3444</v>
      </c>
      <c r="D833" s="49" t="s">
        <v>2570</v>
      </c>
      <c r="E833" s="77" t="s">
        <v>2571</v>
      </c>
      <c r="F833" s="49" t="s">
        <v>2097</v>
      </c>
      <c r="G833" s="49" t="s">
        <v>2097</v>
      </c>
      <c r="H833" s="51" t="n">
        <v>24</v>
      </c>
      <c r="I833" s="51" t="n">
        <v>0</v>
      </c>
      <c r="J833" s="51" t="n">
        <v>0</v>
      </c>
      <c r="K833" s="52" t="n">
        <v>0</v>
      </c>
      <c r="L833" s="53" t="n">
        <v>26.1</v>
      </c>
      <c r="M833" s="54"/>
      <c r="N833" s="51" t="n">
        <v>0.375342</v>
      </c>
      <c r="O833" s="55" t="n">
        <v>0</v>
      </c>
      <c r="P833" s="51" t="n">
        <v>24</v>
      </c>
      <c r="Q833" s="49" t="s">
        <v>2098</v>
      </c>
      <c r="R833" s="49" t="s">
        <v>2572</v>
      </c>
      <c r="S833" s="53" t="n">
        <v>0</v>
      </c>
      <c r="T833" s="51" t="n">
        <v>1</v>
      </c>
      <c r="U833" s="56" t="n">
        <f aca="false">I833*O833</f>
        <v>0</v>
      </c>
      <c r="V833" s="56" t="n">
        <f aca="false">J833*O833</f>
        <v>0</v>
      </c>
      <c r="W833" s="56" t="n">
        <f aca="false">((I833+J833)/2)*O833</f>
        <v>0</v>
      </c>
      <c r="X833" s="56" t="n">
        <f aca="false">H833*O833</f>
        <v>0</v>
      </c>
    </row>
    <row r="834" customFormat="false" ht="22.35" hidden="false" customHeight="false" outlineLevel="0" collapsed="false">
      <c r="A834" s="76" t="s">
        <v>2063</v>
      </c>
      <c r="B834" s="7" t="s">
        <v>3451</v>
      </c>
      <c r="C834" s="7" t="s">
        <v>3452</v>
      </c>
      <c r="D834" s="7" t="s">
        <v>2570</v>
      </c>
      <c r="E834" s="77" t="s">
        <v>2571</v>
      </c>
      <c r="F834" s="7" t="s">
        <v>2097</v>
      </c>
      <c r="G834" s="7" t="s">
        <v>2097</v>
      </c>
      <c r="H834" s="9" t="n">
        <v>64</v>
      </c>
      <c r="I834" s="9" t="n">
        <v>0</v>
      </c>
      <c r="J834" s="9" t="n">
        <v>0</v>
      </c>
      <c r="K834" s="52" t="n">
        <v>0</v>
      </c>
      <c r="L834" s="58" t="n">
        <v>26.1</v>
      </c>
      <c r="M834" s="59"/>
      <c r="N834" s="9" t="n">
        <v>0.928767</v>
      </c>
      <c r="O834" s="8" t="n">
        <v>0</v>
      </c>
      <c r="P834" s="9" t="n">
        <v>64</v>
      </c>
      <c r="Q834" s="7" t="s">
        <v>2098</v>
      </c>
      <c r="R834" s="7" t="s">
        <v>2572</v>
      </c>
      <c r="S834" s="58" t="n">
        <v>0</v>
      </c>
      <c r="T834" s="9" t="n">
        <v>1</v>
      </c>
      <c r="U834" s="56" t="n">
        <f aca="false">I834*O834</f>
        <v>0</v>
      </c>
      <c r="V834" s="56" t="n">
        <f aca="false">J834*O834</f>
        <v>0</v>
      </c>
      <c r="W834" s="56" t="n">
        <f aca="false">((I834+J834)/2)*O834</f>
        <v>0</v>
      </c>
      <c r="X834" s="56" t="n">
        <f aca="false">H834*O834</f>
        <v>0</v>
      </c>
    </row>
    <row r="835" customFormat="false" ht="22.35" hidden="false" customHeight="false" outlineLevel="0" collapsed="false">
      <c r="A835" s="76" t="s">
        <v>2063</v>
      </c>
      <c r="B835" s="49" t="s">
        <v>3453</v>
      </c>
      <c r="C835" s="49" t="s">
        <v>3454</v>
      </c>
      <c r="D835" s="49" t="s">
        <v>2570</v>
      </c>
      <c r="E835" s="77" t="s">
        <v>2571</v>
      </c>
      <c r="F835" s="49" t="s">
        <v>2097</v>
      </c>
      <c r="G835" s="49" t="s">
        <v>2097</v>
      </c>
      <c r="H835" s="51" t="n">
        <v>84</v>
      </c>
      <c r="I835" s="51" t="n">
        <v>0</v>
      </c>
      <c r="J835" s="51" t="n">
        <v>0</v>
      </c>
      <c r="K835" s="52" t="n">
        <v>0</v>
      </c>
      <c r="L835" s="53" t="n">
        <v>26.1</v>
      </c>
      <c r="M835" s="54"/>
      <c r="N835" s="51" t="n">
        <v>1</v>
      </c>
      <c r="O835" s="55" t="n">
        <v>0</v>
      </c>
      <c r="P835" s="51" t="n">
        <v>84</v>
      </c>
      <c r="Q835" s="49" t="s">
        <v>2098</v>
      </c>
      <c r="R835" s="49" t="s">
        <v>2572</v>
      </c>
      <c r="S835" s="53" t="n">
        <v>0</v>
      </c>
      <c r="T835" s="51" t="n">
        <v>24</v>
      </c>
      <c r="U835" s="56" t="n">
        <f aca="false">I835*O835</f>
        <v>0</v>
      </c>
      <c r="V835" s="56" t="n">
        <f aca="false">J835*O835</f>
        <v>0</v>
      </c>
      <c r="W835" s="56" t="n">
        <f aca="false">((I835+J835)/2)*O835</f>
        <v>0</v>
      </c>
      <c r="X835" s="56" t="n">
        <f aca="false">H835*O835</f>
        <v>0</v>
      </c>
    </row>
    <row r="836" customFormat="false" ht="22.35" hidden="false" customHeight="false" outlineLevel="0" collapsed="false">
      <c r="A836" s="76" t="s">
        <v>2063</v>
      </c>
      <c r="B836" s="7" t="s">
        <v>3455</v>
      </c>
      <c r="C836" s="7" t="s">
        <v>3454</v>
      </c>
      <c r="D836" s="7" t="s">
        <v>2570</v>
      </c>
      <c r="E836" s="77" t="s">
        <v>2571</v>
      </c>
      <c r="F836" s="7" t="s">
        <v>2097</v>
      </c>
      <c r="G836" s="7" t="s">
        <v>2097</v>
      </c>
      <c r="H836" s="9" t="n">
        <v>20</v>
      </c>
      <c r="I836" s="9" t="n">
        <v>0</v>
      </c>
      <c r="J836" s="9" t="n">
        <v>0</v>
      </c>
      <c r="K836" s="52" t="n">
        <v>0</v>
      </c>
      <c r="L836" s="58" t="n">
        <v>26.1</v>
      </c>
      <c r="M836" s="59"/>
      <c r="N836" s="9" t="n">
        <v>0.238356</v>
      </c>
      <c r="O836" s="8" t="n">
        <v>0</v>
      </c>
      <c r="P836" s="9" t="n">
        <v>20</v>
      </c>
      <c r="Q836" s="7" t="s">
        <v>2098</v>
      </c>
      <c r="R836" s="7" t="s">
        <v>2572</v>
      </c>
      <c r="S836" s="58" t="n">
        <v>0</v>
      </c>
      <c r="T836" s="9" t="n">
        <v>8</v>
      </c>
      <c r="U836" s="56" t="n">
        <f aca="false">I836*O836</f>
        <v>0</v>
      </c>
      <c r="V836" s="56" t="n">
        <f aca="false">J836*O836</f>
        <v>0</v>
      </c>
      <c r="W836" s="56" t="n">
        <f aca="false">((I836+J836)/2)*O836</f>
        <v>0</v>
      </c>
      <c r="X836" s="56" t="n">
        <f aca="false">H836*O836</f>
        <v>0</v>
      </c>
    </row>
    <row r="837" customFormat="false" ht="22.35" hidden="false" customHeight="false" outlineLevel="0" collapsed="false">
      <c r="A837" s="76" t="s">
        <v>2063</v>
      </c>
      <c r="B837" s="49" t="s">
        <v>3456</v>
      </c>
      <c r="C837" s="49" t="s">
        <v>3457</v>
      </c>
      <c r="D837" s="49" t="s">
        <v>2570</v>
      </c>
      <c r="E837" s="77" t="s">
        <v>2571</v>
      </c>
      <c r="F837" s="49" t="s">
        <v>2097</v>
      </c>
      <c r="G837" s="49" t="s">
        <v>2097</v>
      </c>
      <c r="H837" s="51" t="n">
        <v>24</v>
      </c>
      <c r="I837" s="51" t="n">
        <v>0</v>
      </c>
      <c r="J837" s="51" t="n">
        <v>0</v>
      </c>
      <c r="K837" s="52" t="n">
        <v>0</v>
      </c>
      <c r="L837" s="53" t="n">
        <v>26.1</v>
      </c>
      <c r="M837" s="54"/>
      <c r="N837" s="51" t="n">
        <v>0.376712</v>
      </c>
      <c r="O837" s="55" t="n">
        <v>0</v>
      </c>
      <c r="P837" s="51" t="n">
        <v>24</v>
      </c>
      <c r="Q837" s="49" t="s">
        <v>2098</v>
      </c>
      <c r="R837" s="49" t="s">
        <v>2572</v>
      </c>
      <c r="S837" s="53" t="n">
        <v>0</v>
      </c>
      <c r="T837" s="51" t="n">
        <v>12</v>
      </c>
      <c r="U837" s="56" t="n">
        <f aca="false">I837*O837</f>
        <v>0</v>
      </c>
      <c r="V837" s="56" t="n">
        <f aca="false">J837*O837</f>
        <v>0</v>
      </c>
      <c r="W837" s="56" t="n">
        <f aca="false">((I837+J837)/2)*O837</f>
        <v>0</v>
      </c>
      <c r="X837" s="56" t="n">
        <f aca="false">H837*O837</f>
        <v>0</v>
      </c>
    </row>
    <row r="838" customFormat="false" ht="22.35" hidden="false" customHeight="false" outlineLevel="0" collapsed="false">
      <c r="A838" s="76" t="s">
        <v>2063</v>
      </c>
      <c r="B838" s="7" t="s">
        <v>3458</v>
      </c>
      <c r="C838" s="7" t="s">
        <v>3457</v>
      </c>
      <c r="D838" s="7" t="s">
        <v>2570</v>
      </c>
      <c r="E838" s="77" t="s">
        <v>2571</v>
      </c>
      <c r="F838" s="7" t="s">
        <v>2097</v>
      </c>
      <c r="G838" s="7" t="s">
        <v>2097</v>
      </c>
      <c r="H838" s="9" t="n">
        <v>48</v>
      </c>
      <c r="I838" s="9" t="n">
        <v>0</v>
      </c>
      <c r="J838" s="9" t="n">
        <v>0</v>
      </c>
      <c r="K838" s="52" t="n">
        <v>0</v>
      </c>
      <c r="L838" s="58" t="n">
        <v>26.1</v>
      </c>
      <c r="M838" s="59"/>
      <c r="N838" s="9" t="n">
        <v>0.752055</v>
      </c>
      <c r="O838" s="8" t="n">
        <v>0</v>
      </c>
      <c r="P838" s="9" t="n">
        <v>48</v>
      </c>
      <c r="Q838" s="7" t="s">
        <v>2098</v>
      </c>
      <c r="R838" s="7" t="s">
        <v>2572</v>
      </c>
      <c r="S838" s="58" t="n">
        <v>0</v>
      </c>
      <c r="T838" s="9" t="n">
        <v>12</v>
      </c>
      <c r="U838" s="56" t="n">
        <f aca="false">I838*O838</f>
        <v>0</v>
      </c>
      <c r="V838" s="56" t="n">
        <f aca="false">J838*O838</f>
        <v>0</v>
      </c>
      <c r="W838" s="56" t="n">
        <f aca="false">((I838+J838)/2)*O838</f>
        <v>0</v>
      </c>
      <c r="X838" s="56" t="n">
        <f aca="false">H838*O838</f>
        <v>0</v>
      </c>
    </row>
    <row r="839" customFormat="false" ht="22.35" hidden="false" customHeight="false" outlineLevel="0" collapsed="false">
      <c r="A839" s="76" t="s">
        <v>2063</v>
      </c>
      <c r="B839" s="49" t="s">
        <v>3459</v>
      </c>
      <c r="C839" s="49" t="s">
        <v>3460</v>
      </c>
      <c r="D839" s="49" t="s">
        <v>2570</v>
      </c>
      <c r="E839" s="77" t="s">
        <v>2571</v>
      </c>
      <c r="F839" s="49" t="s">
        <v>2097</v>
      </c>
      <c r="G839" s="49" t="s">
        <v>2097</v>
      </c>
      <c r="H839" s="51" t="n">
        <v>8</v>
      </c>
      <c r="I839" s="51" t="n">
        <v>0</v>
      </c>
      <c r="J839" s="51" t="n">
        <v>0</v>
      </c>
      <c r="K839" s="52" t="n">
        <v>0</v>
      </c>
      <c r="L839" s="53" t="n">
        <v>26.1</v>
      </c>
      <c r="M839" s="54"/>
      <c r="N839" s="51" t="n">
        <v>0.152055</v>
      </c>
      <c r="O839" s="55" t="n">
        <v>0</v>
      </c>
      <c r="P839" s="51" t="n">
        <v>8</v>
      </c>
      <c r="Q839" s="49" t="s">
        <v>2098</v>
      </c>
      <c r="R839" s="49" t="s">
        <v>2572</v>
      </c>
      <c r="S839" s="53" t="n">
        <v>0</v>
      </c>
      <c r="T839" s="51" t="n">
        <v>4</v>
      </c>
      <c r="U839" s="56" t="n">
        <f aca="false">I839*O839</f>
        <v>0</v>
      </c>
      <c r="V839" s="56" t="n">
        <f aca="false">J839*O839</f>
        <v>0</v>
      </c>
      <c r="W839" s="56" t="n">
        <f aca="false">((I839+J839)/2)*O839</f>
        <v>0</v>
      </c>
      <c r="X839" s="56" t="n">
        <f aca="false">H839*O839</f>
        <v>0</v>
      </c>
    </row>
    <row r="840" customFormat="false" ht="22.35" hidden="false" customHeight="false" outlineLevel="0" collapsed="false">
      <c r="A840" s="76" t="s">
        <v>2063</v>
      </c>
      <c r="B840" s="7" t="s">
        <v>3461</v>
      </c>
      <c r="C840" s="7" t="s">
        <v>3460</v>
      </c>
      <c r="D840" s="7" t="s">
        <v>2570</v>
      </c>
      <c r="E840" s="77" t="s">
        <v>2571</v>
      </c>
      <c r="F840" s="7" t="s">
        <v>2097</v>
      </c>
      <c r="G840" s="7" t="s">
        <v>2097</v>
      </c>
      <c r="H840" s="9" t="n">
        <v>48</v>
      </c>
      <c r="I840" s="9" t="n">
        <v>0</v>
      </c>
      <c r="J840" s="9" t="n">
        <v>0</v>
      </c>
      <c r="K840" s="52" t="n">
        <v>0</v>
      </c>
      <c r="L840" s="58" t="n">
        <v>26.1</v>
      </c>
      <c r="M840" s="59"/>
      <c r="N840" s="9" t="n">
        <v>0.661644</v>
      </c>
      <c r="O840" s="8" t="n">
        <v>0</v>
      </c>
      <c r="P840" s="9" t="n">
        <v>48</v>
      </c>
      <c r="Q840" s="7" t="s">
        <v>2098</v>
      </c>
      <c r="R840" s="7" t="s">
        <v>2572</v>
      </c>
      <c r="S840" s="58" t="n">
        <v>0</v>
      </c>
      <c r="T840" s="9" t="n">
        <v>12</v>
      </c>
      <c r="U840" s="56" t="n">
        <f aca="false">I840*O840</f>
        <v>0</v>
      </c>
      <c r="V840" s="56" t="n">
        <f aca="false">J840*O840</f>
        <v>0</v>
      </c>
      <c r="W840" s="56" t="n">
        <f aca="false">((I840+J840)/2)*O840</f>
        <v>0</v>
      </c>
      <c r="X840" s="56" t="n">
        <f aca="false">H840*O840</f>
        <v>0</v>
      </c>
    </row>
    <row r="841" customFormat="false" ht="22.35" hidden="false" customHeight="false" outlineLevel="0" collapsed="false">
      <c r="A841" s="76" t="s">
        <v>2063</v>
      </c>
      <c r="B841" s="49" t="s">
        <v>3462</v>
      </c>
      <c r="C841" s="49" t="s">
        <v>3463</v>
      </c>
      <c r="D841" s="49" t="s">
        <v>2570</v>
      </c>
      <c r="E841" s="77" t="s">
        <v>2571</v>
      </c>
      <c r="F841" s="49" t="s">
        <v>2097</v>
      </c>
      <c r="G841" s="49" t="s">
        <v>2097</v>
      </c>
      <c r="H841" s="51" t="n">
        <v>12</v>
      </c>
      <c r="I841" s="51" t="n">
        <v>0</v>
      </c>
      <c r="J841" s="51" t="n">
        <v>0</v>
      </c>
      <c r="K841" s="52" t="n">
        <v>0</v>
      </c>
      <c r="L841" s="53" t="n">
        <v>26.1</v>
      </c>
      <c r="M841" s="54"/>
      <c r="N841" s="51" t="n">
        <v>0.106849</v>
      </c>
      <c r="O841" s="55" t="n">
        <v>0</v>
      </c>
      <c r="P841" s="51" t="n">
        <v>12</v>
      </c>
      <c r="Q841" s="49" t="s">
        <v>2098</v>
      </c>
      <c r="R841" s="49" t="s">
        <v>2572</v>
      </c>
      <c r="S841" s="53" t="n">
        <v>0</v>
      </c>
      <c r="T841" s="51" t="n">
        <v>1</v>
      </c>
      <c r="U841" s="56" t="n">
        <f aca="false">I841*O841</f>
        <v>0</v>
      </c>
      <c r="V841" s="56" t="n">
        <f aca="false">J841*O841</f>
        <v>0</v>
      </c>
      <c r="W841" s="56" t="n">
        <f aca="false">((I841+J841)/2)*O841</f>
        <v>0</v>
      </c>
      <c r="X841" s="56" t="n">
        <f aca="false">H841*O841</f>
        <v>0</v>
      </c>
    </row>
    <row r="842" customFormat="false" ht="22.35" hidden="false" customHeight="false" outlineLevel="0" collapsed="false">
      <c r="A842" s="76" t="s">
        <v>2063</v>
      </c>
      <c r="B842" s="7" t="s">
        <v>3464</v>
      </c>
      <c r="C842" s="7" t="s">
        <v>3463</v>
      </c>
      <c r="D842" s="7" t="s">
        <v>2570</v>
      </c>
      <c r="E842" s="77" t="s">
        <v>2571</v>
      </c>
      <c r="F842" s="7" t="s">
        <v>2097</v>
      </c>
      <c r="G842" s="7" t="s">
        <v>2097</v>
      </c>
      <c r="H842" s="9" t="n">
        <v>16</v>
      </c>
      <c r="I842" s="9" t="n">
        <v>0</v>
      </c>
      <c r="J842" s="9" t="n">
        <v>0</v>
      </c>
      <c r="K842" s="52" t="n">
        <v>0</v>
      </c>
      <c r="L842" s="58" t="n">
        <v>26.1</v>
      </c>
      <c r="M842" s="59"/>
      <c r="N842" s="9" t="n">
        <v>0.091781</v>
      </c>
      <c r="O842" s="8" t="n">
        <v>0</v>
      </c>
      <c r="P842" s="9" t="n">
        <v>16</v>
      </c>
      <c r="Q842" s="7" t="s">
        <v>2098</v>
      </c>
      <c r="R842" s="7" t="s">
        <v>2572</v>
      </c>
      <c r="S842" s="58" t="n">
        <v>0</v>
      </c>
      <c r="T842" s="9" t="n">
        <v>1</v>
      </c>
      <c r="U842" s="56" t="n">
        <f aca="false">I842*O842</f>
        <v>0</v>
      </c>
      <c r="V842" s="56" t="n">
        <f aca="false">J842*O842</f>
        <v>0</v>
      </c>
      <c r="W842" s="56" t="n">
        <f aca="false">((I842+J842)/2)*O842</f>
        <v>0</v>
      </c>
      <c r="X842" s="56" t="n">
        <f aca="false">H842*O842</f>
        <v>0</v>
      </c>
    </row>
    <row r="843" customFormat="false" ht="22.35" hidden="false" customHeight="false" outlineLevel="0" collapsed="false">
      <c r="A843" s="76" t="s">
        <v>2063</v>
      </c>
      <c r="B843" s="49" t="s">
        <v>3465</v>
      </c>
      <c r="C843" s="49" t="s">
        <v>3466</v>
      </c>
      <c r="D843" s="49" t="s">
        <v>2570</v>
      </c>
      <c r="E843" s="77" t="s">
        <v>2571</v>
      </c>
      <c r="F843" s="49" t="s">
        <v>2097</v>
      </c>
      <c r="G843" s="49" t="s">
        <v>2097</v>
      </c>
      <c r="H843" s="51" t="n">
        <v>16</v>
      </c>
      <c r="I843" s="51" t="n">
        <v>0</v>
      </c>
      <c r="J843" s="51" t="n">
        <v>0</v>
      </c>
      <c r="K843" s="52" t="n">
        <v>0</v>
      </c>
      <c r="L843" s="53" t="n">
        <v>26.1</v>
      </c>
      <c r="M843" s="54"/>
      <c r="N843" s="51" t="n">
        <v>0.227397</v>
      </c>
      <c r="O843" s="55" t="n">
        <v>0</v>
      </c>
      <c r="P843" s="51" t="n">
        <v>16</v>
      </c>
      <c r="Q843" s="49" t="s">
        <v>2098</v>
      </c>
      <c r="R843" s="49" t="s">
        <v>2572</v>
      </c>
      <c r="S843" s="53" t="n">
        <v>0</v>
      </c>
      <c r="T843" s="51" t="n">
        <v>4</v>
      </c>
      <c r="U843" s="56" t="n">
        <f aca="false">I843*O843</f>
        <v>0</v>
      </c>
      <c r="V843" s="56" t="n">
        <f aca="false">J843*O843</f>
        <v>0</v>
      </c>
      <c r="W843" s="56" t="n">
        <f aca="false">((I843+J843)/2)*O843</f>
        <v>0</v>
      </c>
      <c r="X843" s="56" t="n">
        <f aca="false">H843*O843</f>
        <v>0</v>
      </c>
    </row>
    <row r="844" customFormat="false" ht="22.35" hidden="false" customHeight="false" outlineLevel="0" collapsed="false">
      <c r="A844" s="76" t="s">
        <v>2063</v>
      </c>
      <c r="B844" s="7" t="s">
        <v>3467</v>
      </c>
      <c r="C844" s="7" t="s">
        <v>3466</v>
      </c>
      <c r="D844" s="7" t="s">
        <v>2570</v>
      </c>
      <c r="E844" s="77" t="s">
        <v>2571</v>
      </c>
      <c r="F844" s="7" t="s">
        <v>2097</v>
      </c>
      <c r="G844" s="7" t="s">
        <v>2097</v>
      </c>
      <c r="H844" s="9" t="n">
        <v>48</v>
      </c>
      <c r="I844" s="9" t="n">
        <v>0</v>
      </c>
      <c r="J844" s="9" t="n">
        <v>0</v>
      </c>
      <c r="K844" s="52" t="n">
        <v>0</v>
      </c>
      <c r="L844" s="58" t="n">
        <v>26.1</v>
      </c>
      <c r="M844" s="59"/>
      <c r="N844" s="9" t="n">
        <v>0.710959</v>
      </c>
      <c r="O844" s="8" t="n">
        <v>0</v>
      </c>
      <c r="P844" s="9" t="n">
        <v>48</v>
      </c>
      <c r="Q844" s="7" t="s">
        <v>2098</v>
      </c>
      <c r="R844" s="7" t="s">
        <v>2572</v>
      </c>
      <c r="S844" s="58" t="n">
        <v>0</v>
      </c>
      <c r="T844" s="9" t="n">
        <v>12</v>
      </c>
      <c r="U844" s="56" t="n">
        <f aca="false">I844*O844</f>
        <v>0</v>
      </c>
      <c r="V844" s="56" t="n">
        <f aca="false">J844*O844</f>
        <v>0</v>
      </c>
      <c r="W844" s="56" t="n">
        <f aca="false">((I844+J844)/2)*O844</f>
        <v>0</v>
      </c>
      <c r="X844" s="56" t="n">
        <f aca="false">H844*O844</f>
        <v>0</v>
      </c>
    </row>
    <row r="845" customFormat="false" ht="22.35" hidden="false" customHeight="false" outlineLevel="0" collapsed="false">
      <c r="A845" s="76" t="s">
        <v>2063</v>
      </c>
      <c r="B845" s="49" t="s">
        <v>3468</v>
      </c>
      <c r="C845" s="49" t="s">
        <v>3469</v>
      </c>
      <c r="D845" s="49" t="s">
        <v>2570</v>
      </c>
      <c r="E845" s="77" t="s">
        <v>2571</v>
      </c>
      <c r="F845" s="49" t="s">
        <v>2097</v>
      </c>
      <c r="G845" s="49" t="s">
        <v>2097</v>
      </c>
      <c r="H845" s="51" t="n">
        <v>16</v>
      </c>
      <c r="I845" s="51" t="n">
        <v>0</v>
      </c>
      <c r="J845" s="51" t="n">
        <v>0</v>
      </c>
      <c r="K845" s="52" t="n">
        <v>0</v>
      </c>
      <c r="L845" s="53" t="n">
        <v>26.1</v>
      </c>
      <c r="M845" s="54"/>
      <c r="N845" s="51" t="n">
        <v>0.156164</v>
      </c>
      <c r="O845" s="55" t="n">
        <v>0</v>
      </c>
      <c r="P845" s="51" t="n">
        <v>16</v>
      </c>
      <c r="Q845" s="49" t="s">
        <v>2098</v>
      </c>
      <c r="R845" s="49" t="s">
        <v>2572</v>
      </c>
      <c r="S845" s="53" t="n">
        <v>0</v>
      </c>
      <c r="T845" s="51" t="n">
        <v>1</v>
      </c>
      <c r="U845" s="56" t="n">
        <f aca="false">I845*O845</f>
        <v>0</v>
      </c>
      <c r="V845" s="56" t="n">
        <f aca="false">J845*O845</f>
        <v>0</v>
      </c>
      <c r="W845" s="56" t="n">
        <f aca="false">((I845+J845)/2)*O845</f>
        <v>0</v>
      </c>
      <c r="X845" s="56" t="n">
        <f aca="false">H845*O845</f>
        <v>0</v>
      </c>
    </row>
    <row r="846" customFormat="false" ht="22.35" hidden="false" customHeight="false" outlineLevel="0" collapsed="false">
      <c r="A846" s="76" t="s">
        <v>2063</v>
      </c>
      <c r="B846" s="7" t="s">
        <v>3470</v>
      </c>
      <c r="C846" s="7" t="s">
        <v>3469</v>
      </c>
      <c r="D846" s="7" t="s">
        <v>2570</v>
      </c>
      <c r="E846" s="77" t="s">
        <v>2571</v>
      </c>
      <c r="F846" s="7" t="s">
        <v>2097</v>
      </c>
      <c r="G846" s="7" t="s">
        <v>2097</v>
      </c>
      <c r="H846" s="9" t="n">
        <v>12</v>
      </c>
      <c r="I846" s="9" t="n">
        <v>0</v>
      </c>
      <c r="J846" s="9" t="n">
        <v>0</v>
      </c>
      <c r="K846" s="52" t="n">
        <v>0</v>
      </c>
      <c r="L846" s="58" t="n">
        <v>26.1</v>
      </c>
      <c r="M846" s="59"/>
      <c r="N846" s="9" t="n">
        <v>0.109589</v>
      </c>
      <c r="O846" s="8" t="n">
        <v>0</v>
      </c>
      <c r="P846" s="9" t="n">
        <v>12</v>
      </c>
      <c r="Q846" s="7" t="s">
        <v>2098</v>
      </c>
      <c r="R846" s="7" t="s">
        <v>2572</v>
      </c>
      <c r="S846" s="58" t="n">
        <v>0</v>
      </c>
      <c r="T846" s="9" t="n">
        <v>1</v>
      </c>
      <c r="U846" s="56" t="n">
        <f aca="false">I846*O846</f>
        <v>0</v>
      </c>
      <c r="V846" s="56" t="n">
        <f aca="false">J846*O846</f>
        <v>0</v>
      </c>
      <c r="W846" s="56" t="n">
        <f aca="false">((I846+J846)/2)*O846</f>
        <v>0</v>
      </c>
      <c r="X846" s="56" t="n">
        <f aca="false">H846*O846</f>
        <v>0</v>
      </c>
    </row>
    <row r="847" customFormat="false" ht="22.35" hidden="false" customHeight="false" outlineLevel="0" collapsed="false">
      <c r="A847" s="76" t="s">
        <v>2063</v>
      </c>
      <c r="B847" s="49" t="s">
        <v>3471</v>
      </c>
      <c r="C847" s="49" t="s">
        <v>3472</v>
      </c>
      <c r="D847" s="49" t="s">
        <v>2570</v>
      </c>
      <c r="E847" s="77" t="s">
        <v>2571</v>
      </c>
      <c r="F847" s="49" t="s">
        <v>2097</v>
      </c>
      <c r="G847" s="49" t="s">
        <v>2097</v>
      </c>
      <c r="H847" s="51" t="n">
        <v>64</v>
      </c>
      <c r="I847" s="51" t="n">
        <v>0</v>
      </c>
      <c r="J847" s="51" t="n">
        <v>0</v>
      </c>
      <c r="K847" s="52" t="n">
        <v>0</v>
      </c>
      <c r="L847" s="53" t="n">
        <v>26.1</v>
      </c>
      <c r="M847" s="54"/>
      <c r="N847" s="51" t="n">
        <v>1.236986</v>
      </c>
      <c r="O847" s="55" t="n">
        <v>0</v>
      </c>
      <c r="P847" s="51" t="n">
        <v>64</v>
      </c>
      <c r="Q847" s="49" t="s">
        <v>2098</v>
      </c>
      <c r="R847" s="49" t="s">
        <v>2572</v>
      </c>
      <c r="S847" s="53" t="n">
        <v>0</v>
      </c>
      <c r="T847" s="51" t="n">
        <v>1</v>
      </c>
      <c r="U847" s="56" t="n">
        <f aca="false">I847*O847</f>
        <v>0</v>
      </c>
      <c r="V847" s="56" t="n">
        <f aca="false">J847*O847</f>
        <v>0</v>
      </c>
      <c r="W847" s="56" t="n">
        <f aca="false">((I847+J847)/2)*O847</f>
        <v>0</v>
      </c>
      <c r="X847" s="56" t="n">
        <f aca="false">H847*O847</f>
        <v>0</v>
      </c>
    </row>
    <row r="848" customFormat="false" ht="22.35" hidden="false" customHeight="false" outlineLevel="0" collapsed="false">
      <c r="A848" s="76" t="s">
        <v>2063</v>
      </c>
      <c r="B848" s="7" t="s">
        <v>2094</v>
      </c>
      <c r="C848" s="7" t="s">
        <v>1765</v>
      </c>
      <c r="D848" s="7" t="s">
        <v>2095</v>
      </c>
      <c r="E848" s="61" t="s">
        <v>2113</v>
      </c>
      <c r="F848" s="7" t="s">
        <v>2097</v>
      </c>
      <c r="G848" s="7" t="s">
        <v>2097</v>
      </c>
      <c r="H848" s="9" t="n">
        <v>2168</v>
      </c>
      <c r="I848" s="9" t="n">
        <v>3482.57</v>
      </c>
      <c r="J848" s="9" t="n">
        <v>6965.14</v>
      </c>
      <c r="K848" s="52" t="n">
        <v>8800</v>
      </c>
      <c r="L848" s="58" t="n">
        <v>31.1</v>
      </c>
      <c r="M848" s="59" t="n">
        <v>81.2</v>
      </c>
      <c r="N848" s="9" t="n">
        <v>111.979895</v>
      </c>
      <c r="O848" s="8" t="n">
        <v>2.831</v>
      </c>
      <c r="P848" s="9" t="n">
        <v>-4797.14</v>
      </c>
      <c r="Q848" s="7" t="s">
        <v>2103</v>
      </c>
      <c r="R848" s="7" t="s">
        <v>2099</v>
      </c>
      <c r="S848" s="58" t="n">
        <v>1</v>
      </c>
      <c r="T848" s="9" t="n">
        <v>2200</v>
      </c>
      <c r="U848" s="56" t="n">
        <f aca="false">I848*O848</f>
        <v>9859.15567</v>
      </c>
      <c r="V848" s="56" t="n">
        <f aca="false">J848*O848</f>
        <v>19718.31134</v>
      </c>
      <c r="W848" s="56" t="n">
        <f aca="false">((I848+J848)/2)*O848</f>
        <v>14788.733505</v>
      </c>
      <c r="X848" s="56" t="n">
        <f aca="false">H848*O848</f>
        <v>6137.608</v>
      </c>
    </row>
    <row r="849" customFormat="false" ht="32.8" hidden="false" customHeight="false" outlineLevel="0" collapsed="false">
      <c r="A849" s="76" t="s">
        <v>2063</v>
      </c>
      <c r="B849" s="62" t="s">
        <v>3473</v>
      </c>
      <c r="C849" s="62" t="s">
        <v>1765</v>
      </c>
      <c r="D849" s="62" t="s">
        <v>2101</v>
      </c>
      <c r="E849" s="78" t="s">
        <v>3474</v>
      </c>
      <c r="F849" s="64" t="s">
        <v>2170</v>
      </c>
      <c r="G849" s="62" t="s">
        <v>2097</v>
      </c>
      <c r="H849" s="65" t="n">
        <v>90</v>
      </c>
      <c r="I849" s="65" t="n">
        <v>39</v>
      </c>
      <c r="J849" s="65" t="n">
        <v>116.99</v>
      </c>
      <c r="K849" s="66" t="n">
        <v>420</v>
      </c>
      <c r="L849" s="67" t="n">
        <v>17.6</v>
      </c>
      <c r="M849" s="68" t="n">
        <v>91.7</v>
      </c>
      <c r="N849" s="65" t="n">
        <v>11.141436</v>
      </c>
      <c r="O849" s="69" t="n">
        <v>4.6097</v>
      </c>
      <c r="P849" s="65" t="n">
        <v>-26.99</v>
      </c>
      <c r="Q849" s="62" t="s">
        <v>2103</v>
      </c>
      <c r="R849" s="62" t="s">
        <v>2294</v>
      </c>
      <c r="S849" s="67" t="n">
        <v>0.5</v>
      </c>
      <c r="T849" s="65" t="n">
        <v>420</v>
      </c>
      <c r="U849" s="56" t="n">
        <f aca="false">I849*O849</f>
        <v>179.7783</v>
      </c>
      <c r="V849" s="56" t="n">
        <f aca="false">J849*O849</f>
        <v>539.288803</v>
      </c>
      <c r="W849" s="56" t="n">
        <f aca="false">((I849+J849)/2)*O849</f>
        <v>359.5335515</v>
      </c>
      <c r="X849" s="56" t="n">
        <f aca="false">H849*O849</f>
        <v>414.873</v>
      </c>
    </row>
    <row r="850" customFormat="false" ht="22.35" hidden="false" customHeight="false" outlineLevel="0" collapsed="false">
      <c r="A850" s="76" t="s">
        <v>2063</v>
      </c>
      <c r="B850" s="7" t="s">
        <v>3475</v>
      </c>
      <c r="C850" s="7" t="s">
        <v>1558</v>
      </c>
      <c r="D850" s="7" t="s">
        <v>2101</v>
      </c>
      <c r="E850" s="57" t="s">
        <v>2102</v>
      </c>
      <c r="F850" s="7" t="s">
        <v>2097</v>
      </c>
      <c r="G850" s="7" t="s">
        <v>2097</v>
      </c>
      <c r="H850" s="9" t="n">
        <v>360</v>
      </c>
      <c r="I850" s="9" t="n">
        <v>235.95</v>
      </c>
      <c r="J850" s="9" t="n">
        <v>707.84</v>
      </c>
      <c r="K850" s="52" t="n">
        <v>990</v>
      </c>
      <c r="L850" s="58" t="n">
        <v>21.9</v>
      </c>
      <c r="M850" s="59" t="n">
        <v>100</v>
      </c>
      <c r="N850" s="9" t="n">
        <v>21.547635</v>
      </c>
      <c r="O850" s="8" t="n">
        <v>2.313</v>
      </c>
      <c r="P850" s="9" t="n">
        <v>-347.84</v>
      </c>
      <c r="Q850" s="7" t="s">
        <v>2103</v>
      </c>
      <c r="R850" s="7" t="s">
        <v>2099</v>
      </c>
      <c r="S850" s="58" t="n">
        <v>0.5</v>
      </c>
      <c r="T850" s="9" t="n">
        <v>495</v>
      </c>
      <c r="U850" s="56" t="n">
        <f aca="false">I850*O850</f>
        <v>545.75235</v>
      </c>
      <c r="V850" s="56" t="n">
        <f aca="false">J850*O850</f>
        <v>1637.23392</v>
      </c>
      <c r="W850" s="56" t="n">
        <f aca="false">((I850+J850)/2)*O850</f>
        <v>1091.493135</v>
      </c>
      <c r="X850" s="56" t="n">
        <f aca="false">H850*O850</f>
        <v>832.68</v>
      </c>
    </row>
    <row r="851" customFormat="false" ht="15" hidden="false" customHeight="false" outlineLevel="0" collapsed="false">
      <c r="A851" s="76" t="s">
        <v>2063</v>
      </c>
      <c r="B851" s="49" t="s">
        <v>3476</v>
      </c>
      <c r="C851" s="49" t="s">
        <v>1558</v>
      </c>
      <c r="D851" s="49" t="s">
        <v>2101</v>
      </c>
      <c r="E851" s="50" t="s">
        <v>2096</v>
      </c>
      <c r="F851" s="49" t="s">
        <v>2097</v>
      </c>
      <c r="G851" s="49" t="s">
        <v>2097</v>
      </c>
      <c r="H851" s="51" t="n">
        <v>40</v>
      </c>
      <c r="I851" s="51" t="n">
        <v>6.88</v>
      </c>
      <c r="J851" s="51" t="n">
        <v>20.64</v>
      </c>
      <c r="K851" s="52" t="n">
        <v>25</v>
      </c>
      <c r="L851" s="53" t="n">
        <v>19.5</v>
      </c>
      <c r="M851" s="54" t="n">
        <v>76.9</v>
      </c>
      <c r="N851" s="51" t="n">
        <v>0.705548</v>
      </c>
      <c r="O851" s="55" t="n">
        <v>3.9</v>
      </c>
      <c r="P851" s="51" t="n">
        <v>19.36</v>
      </c>
      <c r="Q851" s="49" t="s">
        <v>2098</v>
      </c>
      <c r="R851" s="49" t="s">
        <v>2099</v>
      </c>
      <c r="S851" s="53" t="n">
        <v>0.5</v>
      </c>
      <c r="T851" s="51" t="n">
        <v>25</v>
      </c>
      <c r="U851" s="56" t="n">
        <f aca="false">I851*O851</f>
        <v>26.832</v>
      </c>
      <c r="V851" s="56" t="n">
        <f aca="false">J851*O851</f>
        <v>80.496</v>
      </c>
      <c r="W851" s="56" t="n">
        <f aca="false">((I851+J851)/2)*O851</f>
        <v>53.664</v>
      </c>
      <c r="X851" s="56" t="n">
        <f aca="false">H851*O851</f>
        <v>156</v>
      </c>
    </row>
    <row r="852" customFormat="false" ht="22.35" hidden="false" customHeight="false" outlineLevel="0" collapsed="false">
      <c r="A852" s="76" t="s">
        <v>2063</v>
      </c>
      <c r="B852" s="7" t="s">
        <v>2100</v>
      </c>
      <c r="C852" s="7" t="s">
        <v>1558</v>
      </c>
      <c r="D852" s="7" t="s">
        <v>2101</v>
      </c>
      <c r="E852" s="57" t="s">
        <v>2102</v>
      </c>
      <c r="F852" s="7" t="s">
        <v>2097</v>
      </c>
      <c r="G852" s="7" t="s">
        <v>2097</v>
      </c>
      <c r="H852" s="9" t="n">
        <v>231</v>
      </c>
      <c r="I852" s="9" t="n">
        <v>108.43</v>
      </c>
      <c r="J852" s="9" t="n">
        <v>325.29</v>
      </c>
      <c r="K852" s="52" t="n">
        <v>550</v>
      </c>
      <c r="L852" s="58" t="n">
        <v>24.9</v>
      </c>
      <c r="M852" s="59" t="n">
        <v>69</v>
      </c>
      <c r="N852" s="9" t="n">
        <v>8.709397</v>
      </c>
      <c r="O852" s="8" t="n">
        <v>5.944</v>
      </c>
      <c r="P852" s="9" t="n">
        <v>-94.29</v>
      </c>
      <c r="Q852" s="7" t="s">
        <v>2103</v>
      </c>
      <c r="R852" s="7" t="s">
        <v>2099</v>
      </c>
      <c r="S852" s="58" t="n">
        <v>0.5</v>
      </c>
      <c r="T852" s="9" t="n">
        <v>550</v>
      </c>
      <c r="U852" s="56" t="n">
        <f aca="false">I852*O852</f>
        <v>644.50792</v>
      </c>
      <c r="V852" s="56" t="n">
        <f aca="false">J852*O852</f>
        <v>1933.52376</v>
      </c>
      <c r="W852" s="56" t="n">
        <f aca="false">((I852+J852)/2)*O852</f>
        <v>1289.01584</v>
      </c>
      <c r="X852" s="56" t="n">
        <f aca="false">H852*O852</f>
        <v>1373.064</v>
      </c>
    </row>
    <row r="853" customFormat="false" ht="22.35" hidden="false" customHeight="false" outlineLevel="0" collapsed="false">
      <c r="A853" s="76" t="s">
        <v>2063</v>
      </c>
      <c r="B853" s="49" t="s">
        <v>2104</v>
      </c>
      <c r="C853" s="49" t="s">
        <v>1558</v>
      </c>
      <c r="D853" s="49" t="s">
        <v>2101</v>
      </c>
      <c r="E853" s="57" t="s">
        <v>2102</v>
      </c>
      <c r="F853" s="49" t="s">
        <v>2097</v>
      </c>
      <c r="G853" s="49" t="s">
        <v>2097</v>
      </c>
      <c r="H853" s="51" t="n">
        <v>843</v>
      </c>
      <c r="I853" s="51" t="n">
        <v>572.74</v>
      </c>
      <c r="J853" s="51" t="n">
        <v>1718.22</v>
      </c>
      <c r="K853" s="52" t="n">
        <v>1800</v>
      </c>
      <c r="L853" s="53" t="n">
        <v>35.7</v>
      </c>
      <c r="M853" s="54" t="n">
        <v>50.8</v>
      </c>
      <c r="N853" s="51" t="n">
        <v>32.08616</v>
      </c>
      <c r="O853" s="55" t="n">
        <v>3.77</v>
      </c>
      <c r="P853" s="51" t="n">
        <v>-875.22</v>
      </c>
      <c r="Q853" s="49" t="s">
        <v>2103</v>
      </c>
      <c r="R853" s="49" t="s">
        <v>2099</v>
      </c>
      <c r="S853" s="53" t="n">
        <v>0.5</v>
      </c>
      <c r="T853" s="51" t="n">
        <v>450</v>
      </c>
      <c r="U853" s="56" t="n">
        <f aca="false">I853*O853</f>
        <v>2159.2298</v>
      </c>
      <c r="V853" s="56" t="n">
        <f aca="false">J853*O853</f>
        <v>6477.6894</v>
      </c>
      <c r="W853" s="56" t="n">
        <f aca="false">((I853+J853)/2)*O853</f>
        <v>4318.4596</v>
      </c>
      <c r="X853" s="56" t="n">
        <f aca="false">H853*O853</f>
        <v>3178.11</v>
      </c>
    </row>
    <row r="854" customFormat="false" ht="22.35" hidden="false" customHeight="false" outlineLevel="0" collapsed="false">
      <c r="A854" s="76" t="s">
        <v>2063</v>
      </c>
      <c r="B854" s="7" t="s">
        <v>2105</v>
      </c>
      <c r="C854" s="7" t="s">
        <v>1558</v>
      </c>
      <c r="D854" s="7" t="s">
        <v>2101</v>
      </c>
      <c r="E854" s="57" t="s">
        <v>2102</v>
      </c>
      <c r="F854" s="7" t="s">
        <v>2097</v>
      </c>
      <c r="G854" s="7" t="s">
        <v>2097</v>
      </c>
      <c r="H854" s="9" t="n">
        <v>207</v>
      </c>
      <c r="I854" s="9" t="n">
        <v>124.95</v>
      </c>
      <c r="J854" s="9" t="n">
        <v>374.85</v>
      </c>
      <c r="K854" s="52" t="n">
        <v>660</v>
      </c>
      <c r="L854" s="58" t="n">
        <v>32.2</v>
      </c>
      <c r="M854" s="59" t="n">
        <v>84.6</v>
      </c>
      <c r="N854" s="9" t="n">
        <v>7.760769</v>
      </c>
      <c r="O854" s="8" t="n">
        <v>2.416</v>
      </c>
      <c r="P854" s="9" t="n">
        <v>-167.85</v>
      </c>
      <c r="Q854" s="7" t="s">
        <v>2103</v>
      </c>
      <c r="R854" s="7" t="s">
        <v>2099</v>
      </c>
      <c r="S854" s="58" t="n">
        <v>0.5</v>
      </c>
      <c r="T854" s="9" t="n">
        <v>330</v>
      </c>
      <c r="U854" s="56" t="n">
        <f aca="false">I854*O854</f>
        <v>301.8792</v>
      </c>
      <c r="V854" s="56" t="n">
        <f aca="false">J854*O854</f>
        <v>905.6376</v>
      </c>
      <c r="W854" s="56" t="n">
        <f aca="false">((I854+J854)/2)*O854</f>
        <v>603.7584</v>
      </c>
      <c r="X854" s="56" t="n">
        <f aca="false">H854*O854</f>
        <v>500.112</v>
      </c>
    </row>
    <row r="855" customFormat="false" ht="32.8" hidden="false" customHeight="false" outlineLevel="0" collapsed="false">
      <c r="A855" s="76" t="s">
        <v>2063</v>
      </c>
      <c r="B855" s="62" t="s">
        <v>3477</v>
      </c>
      <c r="C855" s="62" t="s">
        <v>3478</v>
      </c>
      <c r="D855" s="62" t="s">
        <v>2101</v>
      </c>
      <c r="E855" s="78" t="s">
        <v>3474</v>
      </c>
      <c r="F855" s="64" t="s">
        <v>2170</v>
      </c>
      <c r="G855" s="62" t="s">
        <v>2097</v>
      </c>
      <c r="H855" s="65" t="n">
        <v>452</v>
      </c>
      <c r="I855" s="65" t="n">
        <v>675.09</v>
      </c>
      <c r="J855" s="65" t="n">
        <v>2025.27</v>
      </c>
      <c r="K855" s="66" t="n">
        <v>2200</v>
      </c>
      <c r="L855" s="67" t="n">
        <v>27</v>
      </c>
      <c r="M855" s="68" t="n">
        <v>78.9</v>
      </c>
      <c r="N855" s="65" t="n">
        <v>15.242721</v>
      </c>
      <c r="O855" s="69" t="n">
        <v>10.89</v>
      </c>
      <c r="P855" s="65" t="n">
        <v>-1573.27</v>
      </c>
      <c r="Q855" s="62" t="s">
        <v>2103</v>
      </c>
      <c r="R855" s="62" t="s">
        <v>3479</v>
      </c>
      <c r="S855" s="67" t="n">
        <v>0.5</v>
      </c>
      <c r="T855" s="65" t="n">
        <v>550</v>
      </c>
      <c r="U855" s="56" t="n">
        <f aca="false">I855*O855</f>
        <v>7351.7301</v>
      </c>
      <c r="V855" s="56" t="n">
        <f aca="false">J855*O855</f>
        <v>22055.1903</v>
      </c>
      <c r="W855" s="56" t="n">
        <f aca="false">((I855+J855)/2)*O855</f>
        <v>14703.4602</v>
      </c>
      <c r="X855" s="56" t="n">
        <f aca="false">H855*O855</f>
        <v>4922.28</v>
      </c>
    </row>
    <row r="856" customFormat="false" ht="15" hidden="false" customHeight="false" outlineLevel="0" collapsed="false">
      <c r="A856" s="76" t="s">
        <v>2063</v>
      </c>
      <c r="B856" s="7" t="s">
        <v>3480</v>
      </c>
      <c r="C856" s="7" t="s">
        <v>3478</v>
      </c>
      <c r="D856" s="7" t="s">
        <v>2101</v>
      </c>
      <c r="E856" s="50" t="s">
        <v>2096</v>
      </c>
      <c r="F856" s="7" t="s">
        <v>2097</v>
      </c>
      <c r="G856" s="7" t="s">
        <v>2097</v>
      </c>
      <c r="H856" s="9" t="n">
        <v>80</v>
      </c>
      <c r="I856" s="9" t="n">
        <v>21.75</v>
      </c>
      <c r="J856" s="9" t="n">
        <v>65.24</v>
      </c>
      <c r="K856" s="52" t="n">
        <v>80</v>
      </c>
      <c r="L856" s="58" t="n">
        <v>20.1</v>
      </c>
      <c r="M856" s="59" t="n">
        <v>61.1</v>
      </c>
      <c r="N856" s="9" t="n">
        <v>2.163838</v>
      </c>
      <c r="O856" s="8" t="n">
        <v>13.24</v>
      </c>
      <c r="P856" s="9" t="n">
        <v>14.76</v>
      </c>
      <c r="Q856" s="7" t="s">
        <v>2098</v>
      </c>
      <c r="R856" s="7" t="s">
        <v>2099</v>
      </c>
      <c r="S856" s="58" t="n">
        <v>0.5</v>
      </c>
      <c r="T856" s="9" t="n">
        <v>40</v>
      </c>
      <c r="U856" s="56" t="n">
        <f aca="false">I856*O856</f>
        <v>287.97</v>
      </c>
      <c r="V856" s="56" t="n">
        <f aca="false">J856*O856</f>
        <v>863.7776</v>
      </c>
      <c r="W856" s="56" t="n">
        <f aca="false">((I856+J856)/2)*O856</f>
        <v>575.8738</v>
      </c>
      <c r="X856" s="56" t="n">
        <f aca="false">H856*O856</f>
        <v>1059.2</v>
      </c>
    </row>
    <row r="857" customFormat="false" ht="22.35" hidden="false" customHeight="false" outlineLevel="0" collapsed="false">
      <c r="A857" s="76" t="s">
        <v>2063</v>
      </c>
      <c r="B857" s="49" t="s">
        <v>2106</v>
      </c>
      <c r="C857" s="49" t="s">
        <v>1558</v>
      </c>
      <c r="D857" s="49" t="s">
        <v>2101</v>
      </c>
      <c r="E857" s="57" t="s">
        <v>2102</v>
      </c>
      <c r="F857" s="49" t="s">
        <v>2097</v>
      </c>
      <c r="G857" s="49" t="s">
        <v>2097</v>
      </c>
      <c r="H857" s="51" t="n">
        <v>340</v>
      </c>
      <c r="I857" s="51" t="n">
        <v>240.38</v>
      </c>
      <c r="J857" s="51" t="n">
        <v>721.14</v>
      </c>
      <c r="K857" s="52" t="n">
        <v>1250</v>
      </c>
      <c r="L857" s="53" t="n">
        <v>46.9</v>
      </c>
      <c r="M857" s="54" t="n">
        <v>59.1</v>
      </c>
      <c r="N857" s="51" t="n">
        <v>10.250669</v>
      </c>
      <c r="O857" s="55" t="n">
        <v>1.76</v>
      </c>
      <c r="P857" s="51" t="n">
        <v>-381.14</v>
      </c>
      <c r="Q857" s="49" t="s">
        <v>2103</v>
      </c>
      <c r="R857" s="49" t="s">
        <v>2099</v>
      </c>
      <c r="S857" s="53" t="n">
        <v>0.5</v>
      </c>
      <c r="T857" s="51" t="n">
        <v>1250</v>
      </c>
      <c r="U857" s="56" t="n">
        <f aca="false">I857*O857</f>
        <v>423.0688</v>
      </c>
      <c r="V857" s="56" t="n">
        <f aca="false">J857*O857</f>
        <v>1269.2064</v>
      </c>
      <c r="W857" s="56" t="n">
        <f aca="false">((I857+J857)/2)*O857</f>
        <v>846.1376</v>
      </c>
      <c r="X857" s="56" t="n">
        <f aca="false">H857*O857</f>
        <v>598.4</v>
      </c>
    </row>
    <row r="858" customFormat="false" ht="22.35" hidden="false" customHeight="false" outlineLevel="0" collapsed="false">
      <c r="A858" s="76" t="s">
        <v>2063</v>
      </c>
      <c r="B858" s="7" t="s">
        <v>3481</v>
      </c>
      <c r="C858" s="7" t="s">
        <v>3482</v>
      </c>
      <c r="D858" s="7" t="s">
        <v>2095</v>
      </c>
      <c r="E858" s="61" t="s">
        <v>2113</v>
      </c>
      <c r="F858" s="7" t="s">
        <v>2097</v>
      </c>
      <c r="G858" s="7" t="s">
        <v>2097</v>
      </c>
      <c r="H858" s="9" t="n">
        <v>6303</v>
      </c>
      <c r="I858" s="9" t="n">
        <v>5798.92</v>
      </c>
      <c r="J858" s="9" t="n">
        <v>11597.84</v>
      </c>
      <c r="K858" s="52" t="n">
        <v>16128</v>
      </c>
      <c r="L858" s="58" t="n">
        <v>50.5</v>
      </c>
      <c r="M858" s="59" t="n">
        <v>68.4</v>
      </c>
      <c r="N858" s="9" t="n">
        <v>114.830137</v>
      </c>
      <c r="O858" s="8" t="n">
        <v>1.115</v>
      </c>
      <c r="P858" s="9" t="n">
        <v>-5294.84</v>
      </c>
      <c r="Q858" s="7" t="s">
        <v>2103</v>
      </c>
      <c r="R858" s="7" t="s">
        <v>2099</v>
      </c>
      <c r="S858" s="58" t="n">
        <v>1</v>
      </c>
      <c r="T858" s="9" t="n">
        <v>5376</v>
      </c>
      <c r="U858" s="56" t="n">
        <f aca="false">I858*O858</f>
        <v>6465.7958</v>
      </c>
      <c r="V858" s="56" t="n">
        <f aca="false">J858*O858</f>
        <v>12931.5916</v>
      </c>
      <c r="W858" s="56" t="n">
        <f aca="false">((I858+J858)/2)*O858</f>
        <v>9698.6937</v>
      </c>
      <c r="X858" s="56" t="n">
        <f aca="false">H858*O858</f>
        <v>7027.845</v>
      </c>
    </row>
    <row r="859" customFormat="false" ht="22.35" hidden="false" customHeight="false" outlineLevel="0" collapsed="false">
      <c r="A859" s="76" t="s">
        <v>2063</v>
      </c>
      <c r="B859" s="49" t="s">
        <v>2107</v>
      </c>
      <c r="C859" s="49" t="s">
        <v>2108</v>
      </c>
      <c r="D859" s="49" t="s">
        <v>2109</v>
      </c>
      <c r="E859" s="60" t="s">
        <v>2110</v>
      </c>
      <c r="F859" s="49" t="s">
        <v>2097</v>
      </c>
      <c r="G859" s="49" t="s">
        <v>2097</v>
      </c>
      <c r="H859" s="51" t="n">
        <v>28869</v>
      </c>
      <c r="I859" s="51" t="n">
        <v>54998.66</v>
      </c>
      <c r="J859" s="51" t="n">
        <v>91664.43</v>
      </c>
      <c r="K859" s="52" t="n">
        <v>91664.43</v>
      </c>
      <c r="L859" s="53" t="n">
        <v>59.9</v>
      </c>
      <c r="M859" s="54" t="n">
        <v>54.5</v>
      </c>
      <c r="N859" s="51" t="n">
        <v>612.116438</v>
      </c>
      <c r="O859" s="55" t="n">
        <v>0.942</v>
      </c>
      <c r="P859" s="51" t="n">
        <v>-62795.43</v>
      </c>
      <c r="Q859" s="49" t="s">
        <v>2103</v>
      </c>
      <c r="R859" s="49" t="s">
        <v>2099</v>
      </c>
      <c r="S859" s="53" t="n">
        <v>1.5</v>
      </c>
      <c r="T859" s="51" t="n">
        <v>1</v>
      </c>
      <c r="U859" s="56" t="n">
        <f aca="false">I859*O859</f>
        <v>51808.73772</v>
      </c>
      <c r="V859" s="56" t="n">
        <f aca="false">J859*O859</f>
        <v>86347.89306</v>
      </c>
      <c r="W859" s="56" t="n">
        <f aca="false">((I859+J859)/2)*O859</f>
        <v>69078.31539</v>
      </c>
      <c r="X859" s="56" t="n">
        <f aca="false">H859*O859</f>
        <v>27194.598</v>
      </c>
    </row>
    <row r="860" customFormat="false" ht="15" hidden="false" customHeight="false" outlineLevel="0" collapsed="false">
      <c r="A860" s="76" t="s">
        <v>2063</v>
      </c>
      <c r="B860" s="7" t="s">
        <v>3483</v>
      </c>
      <c r="C860" s="7" t="s">
        <v>3484</v>
      </c>
      <c r="D860" s="7" t="s">
        <v>2095</v>
      </c>
      <c r="E860" s="50" t="s">
        <v>2096</v>
      </c>
      <c r="F860" s="7" t="s">
        <v>2097</v>
      </c>
      <c r="G860" s="7" t="s">
        <v>2097</v>
      </c>
      <c r="H860" s="9" t="n">
        <v>96</v>
      </c>
      <c r="I860" s="9" t="n">
        <v>39.78</v>
      </c>
      <c r="J860" s="9" t="n">
        <v>79.56</v>
      </c>
      <c r="K860" s="52" t="n">
        <v>79.56</v>
      </c>
      <c r="L860" s="58" t="n">
        <v>33</v>
      </c>
      <c r="M860" s="59" t="n">
        <v>40</v>
      </c>
      <c r="N860" s="9" t="n">
        <v>1.205479</v>
      </c>
      <c r="O860" s="8" t="n">
        <v>0.317</v>
      </c>
      <c r="P860" s="9" t="n">
        <v>16.44</v>
      </c>
      <c r="Q860" s="7" t="s">
        <v>2098</v>
      </c>
      <c r="R860" s="7" t="s">
        <v>2099</v>
      </c>
      <c r="S860" s="58" t="n">
        <v>1</v>
      </c>
      <c r="T860" s="9" t="n">
        <v>1</v>
      </c>
      <c r="U860" s="56" t="n">
        <f aca="false">I860*O860</f>
        <v>12.61026</v>
      </c>
      <c r="V860" s="56" t="n">
        <f aca="false">J860*O860</f>
        <v>25.22052</v>
      </c>
      <c r="W860" s="56" t="n">
        <f aca="false">((I860+J860)/2)*O860</f>
        <v>18.91539</v>
      </c>
      <c r="X860" s="56" t="n">
        <f aca="false">H860*O860</f>
        <v>30.432</v>
      </c>
    </row>
    <row r="861" customFormat="false" ht="22.35" hidden="false" customHeight="false" outlineLevel="0" collapsed="false">
      <c r="A861" s="76" t="s">
        <v>2063</v>
      </c>
      <c r="B861" s="49" t="s">
        <v>3485</v>
      </c>
      <c r="C861" s="49" t="s">
        <v>3486</v>
      </c>
      <c r="D861" s="49" t="s">
        <v>2095</v>
      </c>
      <c r="E861" s="61" t="s">
        <v>2113</v>
      </c>
      <c r="F861" s="49" t="s">
        <v>2097</v>
      </c>
      <c r="G861" s="49" t="s">
        <v>2097</v>
      </c>
      <c r="H861" s="51" t="n">
        <v>2149</v>
      </c>
      <c r="I861" s="51" t="n">
        <v>2489.04</v>
      </c>
      <c r="J861" s="51" t="n">
        <v>4978.08</v>
      </c>
      <c r="K861" s="52" t="n">
        <v>9504</v>
      </c>
      <c r="L861" s="53" t="n">
        <v>50</v>
      </c>
      <c r="M861" s="54" t="n">
        <v>53.3</v>
      </c>
      <c r="N861" s="51" t="n">
        <v>49.780822</v>
      </c>
      <c r="O861" s="55" t="n">
        <v>0.8373</v>
      </c>
      <c r="P861" s="51" t="n">
        <v>-2829.08</v>
      </c>
      <c r="Q861" s="49" t="s">
        <v>2103</v>
      </c>
      <c r="R861" s="49" t="s">
        <v>2099</v>
      </c>
      <c r="S861" s="53" t="n">
        <v>1</v>
      </c>
      <c r="T861" s="51" t="n">
        <v>9504</v>
      </c>
      <c r="U861" s="56" t="n">
        <f aca="false">I861*O861</f>
        <v>2084.073192</v>
      </c>
      <c r="V861" s="56" t="n">
        <f aca="false">J861*O861</f>
        <v>4168.146384</v>
      </c>
      <c r="W861" s="56" t="n">
        <f aca="false">((I861+J861)/2)*O861</f>
        <v>3126.109788</v>
      </c>
      <c r="X861" s="56" t="n">
        <f aca="false">H861*O861</f>
        <v>1799.3577</v>
      </c>
    </row>
    <row r="862" customFormat="false" ht="15" hidden="false" customHeight="false" outlineLevel="0" collapsed="false">
      <c r="A862" s="76" t="s">
        <v>2063</v>
      </c>
      <c r="B862" s="7" t="s">
        <v>3487</v>
      </c>
      <c r="C862" s="7" t="s">
        <v>3488</v>
      </c>
      <c r="D862" s="7" t="s">
        <v>2101</v>
      </c>
      <c r="E862" s="50" t="s">
        <v>2096</v>
      </c>
      <c r="F862" s="7" t="s">
        <v>2097</v>
      </c>
      <c r="G862" s="7" t="s">
        <v>2097</v>
      </c>
      <c r="H862" s="9" t="n">
        <v>1184</v>
      </c>
      <c r="I862" s="9" t="n">
        <v>262.88</v>
      </c>
      <c r="J862" s="9" t="n">
        <v>788.65</v>
      </c>
      <c r="K862" s="52" t="n">
        <v>1365</v>
      </c>
      <c r="L862" s="58" t="n">
        <v>24.6</v>
      </c>
      <c r="M862" s="59" t="n">
        <v>75</v>
      </c>
      <c r="N862" s="9" t="n">
        <v>21.372603</v>
      </c>
      <c r="O862" s="8" t="n">
        <v>2.0997</v>
      </c>
      <c r="P862" s="9" t="n">
        <v>395.35</v>
      </c>
      <c r="Q862" s="7" t="s">
        <v>2098</v>
      </c>
      <c r="R862" s="7" t="s">
        <v>2099</v>
      </c>
      <c r="S862" s="58" t="n">
        <v>0.5</v>
      </c>
      <c r="T862" s="9" t="n">
        <v>1365</v>
      </c>
      <c r="U862" s="56" t="n">
        <f aca="false">I862*O862</f>
        <v>551.969136</v>
      </c>
      <c r="V862" s="56" t="n">
        <f aca="false">J862*O862</f>
        <v>1655.928405</v>
      </c>
      <c r="W862" s="56" t="n">
        <f aca="false">((I862+J862)/2)*O862</f>
        <v>1103.9487705</v>
      </c>
      <c r="X862" s="56" t="n">
        <f aca="false">H862*O862</f>
        <v>2486.0448</v>
      </c>
    </row>
    <row r="863" customFormat="false" ht="22.35" hidden="false" customHeight="false" outlineLevel="0" collapsed="false">
      <c r="A863" s="76" t="s">
        <v>2063</v>
      </c>
      <c r="B863" s="4" t="s">
        <v>3489</v>
      </c>
      <c r="C863" s="4" t="s">
        <v>3490</v>
      </c>
      <c r="D863" s="4" t="s">
        <v>2101</v>
      </c>
      <c r="E863" s="70" t="s">
        <v>2193</v>
      </c>
      <c r="F863" s="4" t="s">
        <v>2097</v>
      </c>
      <c r="G863" s="71" t="s">
        <v>2194</v>
      </c>
      <c r="H863" s="6" t="n">
        <v>131</v>
      </c>
      <c r="I863" s="6" t="n">
        <v>0</v>
      </c>
      <c r="J863" s="6" t="n">
        <v>0</v>
      </c>
      <c r="K863" s="52" t="n">
        <v>0</v>
      </c>
      <c r="L863" s="72" t="n">
        <v>51</v>
      </c>
      <c r="M863" s="73" t="n">
        <v>100</v>
      </c>
      <c r="N863" s="6" t="n">
        <v>2.224658</v>
      </c>
      <c r="O863" s="5" t="n">
        <v>7.4133</v>
      </c>
      <c r="P863" s="6" t="n">
        <v>131</v>
      </c>
      <c r="Q863" s="4" t="s">
        <v>2098</v>
      </c>
      <c r="R863" s="4" t="s">
        <v>2195</v>
      </c>
      <c r="S863" s="72" t="n">
        <v>0</v>
      </c>
      <c r="T863" s="6" t="n">
        <v>1</v>
      </c>
      <c r="U863" s="56" t="n">
        <f aca="false">I863*O863</f>
        <v>0</v>
      </c>
      <c r="V863" s="56" t="n">
        <f aca="false">J863*O863</f>
        <v>0</v>
      </c>
      <c r="W863" s="56" t="n">
        <f aca="false">((I863+J863)/2)*O863</f>
        <v>0</v>
      </c>
      <c r="X863" s="56" t="n">
        <f aca="false">H863*O863</f>
        <v>971.1423</v>
      </c>
    </row>
    <row r="864" customFormat="false" ht="22.35" hidden="false" customHeight="false" outlineLevel="0" collapsed="false">
      <c r="A864" s="76" t="s">
        <v>2063</v>
      </c>
      <c r="B864" s="7" t="s">
        <v>3491</v>
      </c>
      <c r="C864" s="7" t="s">
        <v>3492</v>
      </c>
      <c r="D864" s="7" t="s">
        <v>2101</v>
      </c>
      <c r="E864" s="57" t="s">
        <v>2102</v>
      </c>
      <c r="F864" s="7" t="s">
        <v>2097</v>
      </c>
      <c r="G864" s="7" t="s">
        <v>2097</v>
      </c>
      <c r="H864" s="9" t="n">
        <v>320</v>
      </c>
      <c r="I864" s="9" t="n">
        <v>177.27</v>
      </c>
      <c r="J864" s="9" t="n">
        <v>531.8</v>
      </c>
      <c r="K864" s="52" t="n">
        <v>800</v>
      </c>
      <c r="L864" s="58" t="n">
        <v>37.4</v>
      </c>
      <c r="M864" s="59" t="n">
        <v>68.4</v>
      </c>
      <c r="N864" s="9" t="n">
        <v>9.479452</v>
      </c>
      <c r="O864" s="8" t="n">
        <v>6.099</v>
      </c>
      <c r="P864" s="9" t="n">
        <v>-211.8</v>
      </c>
      <c r="Q864" s="7" t="s">
        <v>2103</v>
      </c>
      <c r="R864" s="7" t="s">
        <v>2099</v>
      </c>
      <c r="S864" s="58" t="n">
        <v>0.5</v>
      </c>
      <c r="T864" s="9" t="n">
        <v>400</v>
      </c>
      <c r="U864" s="56" t="n">
        <f aca="false">I864*O864</f>
        <v>1081.16973</v>
      </c>
      <c r="V864" s="56" t="n">
        <f aca="false">J864*O864</f>
        <v>3243.4482</v>
      </c>
      <c r="W864" s="56" t="n">
        <f aca="false">((I864+J864)/2)*O864</f>
        <v>2162.308965</v>
      </c>
      <c r="X864" s="56" t="n">
        <f aca="false">H864*O864</f>
        <v>1951.68</v>
      </c>
    </row>
    <row r="865" customFormat="false" ht="22.35" hidden="false" customHeight="false" outlineLevel="0" collapsed="false">
      <c r="A865" s="76" t="s">
        <v>2063</v>
      </c>
      <c r="B865" s="49" t="s">
        <v>2111</v>
      </c>
      <c r="C865" s="49" t="s">
        <v>2112</v>
      </c>
      <c r="D865" s="49" t="s">
        <v>2095</v>
      </c>
      <c r="E865" s="61" t="s">
        <v>2113</v>
      </c>
      <c r="F865" s="49" t="s">
        <v>2097</v>
      </c>
      <c r="G865" s="49" t="s">
        <v>2097</v>
      </c>
      <c r="H865" s="51" t="n">
        <v>8228</v>
      </c>
      <c r="I865" s="51" t="n">
        <v>9272.21</v>
      </c>
      <c r="J865" s="51" t="n">
        <v>18544.42</v>
      </c>
      <c r="K865" s="52" t="n">
        <v>22464</v>
      </c>
      <c r="L865" s="53" t="n">
        <v>48.6</v>
      </c>
      <c r="M865" s="54" t="n">
        <v>76</v>
      </c>
      <c r="N865" s="51" t="n">
        <v>190.786301</v>
      </c>
      <c r="O865" s="55" t="n">
        <v>2.02</v>
      </c>
      <c r="P865" s="51" t="n">
        <v>-10316.42</v>
      </c>
      <c r="Q865" s="49" t="s">
        <v>2103</v>
      </c>
      <c r="R865" s="49" t="s">
        <v>2099</v>
      </c>
      <c r="S865" s="53" t="n">
        <v>1</v>
      </c>
      <c r="T865" s="51" t="n">
        <v>7488</v>
      </c>
      <c r="U865" s="56" t="n">
        <f aca="false">I865*O865</f>
        <v>18729.8642</v>
      </c>
      <c r="V865" s="56" t="n">
        <f aca="false">J865*O865</f>
        <v>37459.7284</v>
      </c>
      <c r="W865" s="56" t="n">
        <f aca="false">((I865+J865)/2)*O865</f>
        <v>28094.7963</v>
      </c>
      <c r="X865" s="56" t="n">
        <f aca="false">H865*O865</f>
        <v>16620.56</v>
      </c>
    </row>
    <row r="866" customFormat="false" ht="22.35" hidden="false" customHeight="false" outlineLevel="0" collapsed="false">
      <c r="A866" s="76" t="s">
        <v>2063</v>
      </c>
      <c r="B866" s="7" t="s">
        <v>3493</v>
      </c>
      <c r="C866" s="7" t="s">
        <v>3494</v>
      </c>
      <c r="D866" s="7" t="s">
        <v>2109</v>
      </c>
      <c r="E866" s="60" t="s">
        <v>2110</v>
      </c>
      <c r="F866" s="7" t="s">
        <v>2097</v>
      </c>
      <c r="G866" s="7" t="s">
        <v>2097</v>
      </c>
      <c r="H866" s="9" t="n">
        <v>6400</v>
      </c>
      <c r="I866" s="9" t="n">
        <v>21401.77</v>
      </c>
      <c r="J866" s="9" t="n">
        <v>35669.62</v>
      </c>
      <c r="K866" s="52" t="n">
        <v>36000</v>
      </c>
      <c r="L866" s="58" t="n">
        <v>66.9</v>
      </c>
      <c r="M866" s="59" t="n">
        <v>70</v>
      </c>
      <c r="N866" s="9" t="n">
        <v>213.271233</v>
      </c>
      <c r="O866" s="8" t="n">
        <v>0.438</v>
      </c>
      <c r="P866" s="9" t="n">
        <v>-29269.62</v>
      </c>
      <c r="Q866" s="7" t="s">
        <v>2103</v>
      </c>
      <c r="R866" s="7" t="s">
        <v>2099</v>
      </c>
      <c r="S866" s="58" t="n">
        <v>1.5</v>
      </c>
      <c r="T866" s="9" t="n">
        <v>7200</v>
      </c>
      <c r="U866" s="56" t="n">
        <f aca="false">I866*O866</f>
        <v>9373.97526</v>
      </c>
      <c r="V866" s="56" t="n">
        <f aca="false">J866*O866</f>
        <v>15623.29356</v>
      </c>
      <c r="W866" s="56" t="n">
        <f aca="false">((I866+J866)/2)*O866</f>
        <v>12498.63441</v>
      </c>
      <c r="X866" s="56" t="n">
        <f aca="false">H866*O866</f>
        <v>2803.2</v>
      </c>
    </row>
    <row r="867" customFormat="false" ht="22.35" hidden="false" customHeight="false" outlineLevel="0" collapsed="false">
      <c r="A867" s="76" t="s">
        <v>2063</v>
      </c>
      <c r="B867" s="49" t="s">
        <v>2114</v>
      </c>
      <c r="C867" s="49" t="s">
        <v>2115</v>
      </c>
      <c r="D867" s="49" t="s">
        <v>2095</v>
      </c>
      <c r="E867" s="61" t="s">
        <v>2113</v>
      </c>
      <c r="F867" s="49" t="s">
        <v>2097</v>
      </c>
      <c r="G867" s="49" t="s">
        <v>2097</v>
      </c>
      <c r="H867" s="51" t="n">
        <v>480</v>
      </c>
      <c r="I867" s="51" t="n">
        <v>430.19</v>
      </c>
      <c r="J867" s="51" t="n">
        <v>860.38</v>
      </c>
      <c r="K867" s="52" t="n">
        <v>1344</v>
      </c>
      <c r="L867" s="53" t="n">
        <v>29</v>
      </c>
      <c r="M867" s="54" t="n">
        <v>72.5</v>
      </c>
      <c r="N867" s="51" t="n">
        <v>14.834247</v>
      </c>
      <c r="O867" s="55" t="n">
        <v>2.5</v>
      </c>
      <c r="P867" s="51" t="n">
        <v>-380.38</v>
      </c>
      <c r="Q867" s="49" t="s">
        <v>2103</v>
      </c>
      <c r="R867" s="49" t="s">
        <v>2099</v>
      </c>
      <c r="S867" s="53" t="n">
        <v>1</v>
      </c>
      <c r="T867" s="51" t="n">
        <v>672</v>
      </c>
      <c r="U867" s="56" t="n">
        <f aca="false">I867*O867</f>
        <v>1075.475</v>
      </c>
      <c r="V867" s="56" t="n">
        <f aca="false">J867*O867</f>
        <v>2150.95</v>
      </c>
      <c r="W867" s="56" t="n">
        <f aca="false">((I867+J867)/2)*O867</f>
        <v>1613.2125</v>
      </c>
      <c r="X867" s="56" t="n">
        <f aca="false">H867*O867</f>
        <v>1200</v>
      </c>
    </row>
    <row r="868" customFormat="false" ht="22.35" hidden="false" customHeight="false" outlineLevel="0" collapsed="false">
      <c r="A868" s="76" t="s">
        <v>2063</v>
      </c>
      <c r="B868" s="7" t="s">
        <v>2116</v>
      </c>
      <c r="C868" s="7" t="s">
        <v>2117</v>
      </c>
      <c r="D868" s="7" t="s">
        <v>2095</v>
      </c>
      <c r="E868" s="61" t="s">
        <v>2113</v>
      </c>
      <c r="F868" s="7" t="s">
        <v>2097</v>
      </c>
      <c r="G868" s="7" t="s">
        <v>2097</v>
      </c>
      <c r="H868" s="9" t="n">
        <v>620</v>
      </c>
      <c r="I868" s="9" t="n">
        <v>414.35</v>
      </c>
      <c r="J868" s="9" t="n">
        <v>828.7</v>
      </c>
      <c r="K868" s="52" t="n">
        <v>1440</v>
      </c>
      <c r="L868" s="58" t="n">
        <v>28.2</v>
      </c>
      <c r="M868" s="59" t="n">
        <v>69.8</v>
      </c>
      <c r="N868" s="9" t="n">
        <v>14.693151</v>
      </c>
      <c r="O868" s="8" t="n">
        <v>1.13</v>
      </c>
      <c r="P868" s="9" t="n">
        <v>-208.7</v>
      </c>
      <c r="Q868" s="7" t="s">
        <v>2103</v>
      </c>
      <c r="R868" s="7" t="s">
        <v>2099</v>
      </c>
      <c r="S868" s="58" t="n">
        <v>1</v>
      </c>
      <c r="T868" s="9" t="n">
        <v>720</v>
      </c>
      <c r="U868" s="56" t="n">
        <f aca="false">I868*O868</f>
        <v>468.2155</v>
      </c>
      <c r="V868" s="56" t="n">
        <f aca="false">J868*O868</f>
        <v>936.431</v>
      </c>
      <c r="W868" s="56" t="n">
        <f aca="false">((I868+J868)/2)*O868</f>
        <v>702.32325</v>
      </c>
      <c r="X868" s="56" t="n">
        <f aca="false">H868*O868</f>
        <v>700.6</v>
      </c>
    </row>
    <row r="869" customFormat="false" ht="22.35" hidden="false" customHeight="false" outlineLevel="0" collapsed="false">
      <c r="A869" s="76" t="s">
        <v>2063</v>
      </c>
      <c r="B869" s="49" t="s">
        <v>2118</v>
      </c>
      <c r="C869" s="49" t="s">
        <v>2119</v>
      </c>
      <c r="D869" s="49" t="s">
        <v>2109</v>
      </c>
      <c r="E869" s="60" t="s">
        <v>2110</v>
      </c>
      <c r="F869" s="49" t="s">
        <v>2097</v>
      </c>
      <c r="G869" s="49" t="s">
        <v>2097</v>
      </c>
      <c r="H869" s="51" t="n">
        <v>45626</v>
      </c>
      <c r="I869" s="51" t="n">
        <v>93883.48</v>
      </c>
      <c r="J869" s="51" t="n">
        <v>156472.47</v>
      </c>
      <c r="K869" s="52" t="n">
        <v>169344</v>
      </c>
      <c r="L869" s="53" t="n">
        <v>64.8</v>
      </c>
      <c r="M869" s="54" t="n">
        <v>77.8</v>
      </c>
      <c r="N869" s="51" t="n">
        <v>965.879452</v>
      </c>
      <c r="O869" s="55" t="n">
        <v>1.56</v>
      </c>
      <c r="P869" s="51" t="n">
        <v>-110846.47</v>
      </c>
      <c r="Q869" s="49" t="s">
        <v>2103</v>
      </c>
      <c r="R869" s="49" t="s">
        <v>2099</v>
      </c>
      <c r="S869" s="53" t="n">
        <v>1.5</v>
      </c>
      <c r="T869" s="51" t="n">
        <v>14112</v>
      </c>
      <c r="U869" s="56" t="n">
        <f aca="false">I869*O869</f>
        <v>146458.2288</v>
      </c>
      <c r="V869" s="56" t="n">
        <f aca="false">J869*O869</f>
        <v>244097.0532</v>
      </c>
      <c r="W869" s="56" t="n">
        <f aca="false">((I869+J869)/2)*O869</f>
        <v>195277.641</v>
      </c>
      <c r="X869" s="56" t="n">
        <f aca="false">H869*O869</f>
        <v>71176.56</v>
      </c>
    </row>
    <row r="870" customFormat="false" ht="15" hidden="false" customHeight="false" outlineLevel="0" collapsed="false">
      <c r="A870" s="76" t="s">
        <v>2063</v>
      </c>
      <c r="B870" s="7" t="s">
        <v>2120</v>
      </c>
      <c r="C870" s="7" t="s">
        <v>2121</v>
      </c>
      <c r="D870" s="7" t="s">
        <v>2101</v>
      </c>
      <c r="E870" s="50" t="s">
        <v>2096</v>
      </c>
      <c r="F870" s="7" t="s">
        <v>2097</v>
      </c>
      <c r="G870" s="7" t="s">
        <v>2097</v>
      </c>
      <c r="H870" s="9" t="n">
        <v>80</v>
      </c>
      <c r="I870" s="9" t="n">
        <v>15.93</v>
      </c>
      <c r="J870" s="9" t="n">
        <v>47.8</v>
      </c>
      <c r="K870" s="52" t="n">
        <v>47.8</v>
      </c>
      <c r="L870" s="58" t="n">
        <v>35.3</v>
      </c>
      <c r="M870" s="59" t="n">
        <v>42.9</v>
      </c>
      <c r="N870" s="9" t="n">
        <v>0.90274</v>
      </c>
      <c r="O870" s="8" t="n">
        <v>0.6784</v>
      </c>
      <c r="P870" s="9" t="n">
        <v>32.2</v>
      </c>
      <c r="Q870" s="7" t="s">
        <v>2098</v>
      </c>
      <c r="R870" s="7" t="s">
        <v>2099</v>
      </c>
      <c r="S870" s="58" t="n">
        <v>0.5</v>
      </c>
      <c r="T870" s="9" t="n">
        <v>1</v>
      </c>
      <c r="U870" s="56" t="n">
        <f aca="false">I870*O870</f>
        <v>10.806912</v>
      </c>
      <c r="V870" s="56" t="n">
        <f aca="false">J870*O870</f>
        <v>32.42752</v>
      </c>
      <c r="W870" s="56" t="n">
        <f aca="false">((I870+J870)/2)*O870</f>
        <v>21.617216</v>
      </c>
      <c r="X870" s="56" t="n">
        <f aca="false">H870*O870</f>
        <v>54.272</v>
      </c>
    </row>
    <row r="871" customFormat="false" ht="22.35" hidden="false" customHeight="false" outlineLevel="0" collapsed="false">
      <c r="A871" s="76" t="s">
        <v>2063</v>
      </c>
      <c r="B871" s="49" t="s">
        <v>2122</v>
      </c>
      <c r="C871" s="49" t="s">
        <v>2123</v>
      </c>
      <c r="D871" s="49" t="s">
        <v>2109</v>
      </c>
      <c r="E871" s="60" t="s">
        <v>2110</v>
      </c>
      <c r="F871" s="49" t="s">
        <v>2097</v>
      </c>
      <c r="G871" s="49" t="s">
        <v>2097</v>
      </c>
      <c r="H871" s="51" t="n">
        <v>45559</v>
      </c>
      <c r="I871" s="51" t="n">
        <v>95951.54</v>
      </c>
      <c r="J871" s="51" t="n">
        <v>159919.23</v>
      </c>
      <c r="K871" s="52" t="n">
        <v>172800</v>
      </c>
      <c r="L871" s="53" t="n">
        <v>66.3</v>
      </c>
      <c r="M871" s="54" t="n">
        <v>78.9</v>
      </c>
      <c r="N871" s="51" t="n">
        <v>964.821918</v>
      </c>
      <c r="O871" s="55" t="n">
        <v>0.34</v>
      </c>
      <c r="P871" s="51" t="n">
        <v>-114360.23</v>
      </c>
      <c r="Q871" s="49" t="s">
        <v>2103</v>
      </c>
      <c r="R871" s="49" t="s">
        <v>2099</v>
      </c>
      <c r="S871" s="53" t="n">
        <v>1.5</v>
      </c>
      <c r="T871" s="51" t="n">
        <v>14400</v>
      </c>
      <c r="U871" s="56" t="n">
        <f aca="false">I871*O871</f>
        <v>32623.5236</v>
      </c>
      <c r="V871" s="56" t="n">
        <f aca="false">J871*O871</f>
        <v>54372.5382</v>
      </c>
      <c r="W871" s="56" t="n">
        <f aca="false">((I871+J871)/2)*O871</f>
        <v>43498.0309</v>
      </c>
      <c r="X871" s="56" t="n">
        <f aca="false">H871*O871</f>
        <v>15490.06</v>
      </c>
    </row>
    <row r="872" customFormat="false" ht="32.8" hidden="false" customHeight="false" outlineLevel="0" collapsed="false">
      <c r="A872" s="76" t="s">
        <v>2063</v>
      </c>
      <c r="B872" s="62" t="s">
        <v>3495</v>
      </c>
      <c r="C872" s="62" t="s">
        <v>3496</v>
      </c>
      <c r="D872" s="62" t="s">
        <v>2101</v>
      </c>
      <c r="E872" s="78" t="s">
        <v>3474</v>
      </c>
      <c r="F872" s="64" t="s">
        <v>2170</v>
      </c>
      <c r="G872" s="62" t="s">
        <v>2097</v>
      </c>
      <c r="H872" s="65" t="n">
        <v>140</v>
      </c>
      <c r="I872" s="65" t="n">
        <v>209.9</v>
      </c>
      <c r="J872" s="65" t="n">
        <v>629.69</v>
      </c>
      <c r="K872" s="66" t="n">
        <v>629.69</v>
      </c>
      <c r="L872" s="67" t="n">
        <v>63.7</v>
      </c>
      <c r="M872" s="68" t="n">
        <v>66.7</v>
      </c>
      <c r="N872" s="65" t="n">
        <v>4.664384</v>
      </c>
      <c r="O872" s="69" t="n">
        <v>6.936</v>
      </c>
      <c r="P872" s="65" t="n">
        <v>-489.69</v>
      </c>
      <c r="Q872" s="62" t="s">
        <v>2103</v>
      </c>
      <c r="R872" s="62" t="s">
        <v>3497</v>
      </c>
      <c r="S872" s="67" t="n">
        <v>0.5</v>
      </c>
      <c r="T872" s="65" t="n">
        <v>1</v>
      </c>
      <c r="U872" s="56" t="n">
        <f aca="false">I872*O872</f>
        <v>1455.8664</v>
      </c>
      <c r="V872" s="56" t="n">
        <f aca="false">J872*O872</f>
        <v>4367.52984</v>
      </c>
      <c r="W872" s="56" t="n">
        <f aca="false">((I872+J872)/2)*O872</f>
        <v>2911.69812</v>
      </c>
      <c r="X872" s="56" t="n">
        <f aca="false">H872*O872</f>
        <v>971.04</v>
      </c>
    </row>
    <row r="873" customFormat="false" ht="22.35" hidden="false" customHeight="false" outlineLevel="0" collapsed="false">
      <c r="A873" s="76" t="s">
        <v>2063</v>
      </c>
      <c r="B873" s="49" t="s">
        <v>2124</v>
      </c>
      <c r="C873" s="49" t="s">
        <v>2125</v>
      </c>
      <c r="D873" s="49" t="s">
        <v>2101</v>
      </c>
      <c r="E873" s="57" t="s">
        <v>2102</v>
      </c>
      <c r="F873" s="49" t="s">
        <v>2097</v>
      </c>
      <c r="G873" s="49" t="s">
        <v>2097</v>
      </c>
      <c r="H873" s="51" t="n">
        <v>1460</v>
      </c>
      <c r="I873" s="51" t="n">
        <v>928.12</v>
      </c>
      <c r="J873" s="51" t="n">
        <v>2784.37</v>
      </c>
      <c r="K873" s="52" t="n">
        <v>3000</v>
      </c>
      <c r="L873" s="53" t="n">
        <v>50.9</v>
      </c>
      <c r="M873" s="54" t="n">
        <v>60</v>
      </c>
      <c r="N873" s="51" t="n">
        <v>36.468493</v>
      </c>
      <c r="O873" s="55" t="n">
        <v>4.3215</v>
      </c>
      <c r="P873" s="51" t="n">
        <v>-1324.37</v>
      </c>
      <c r="Q873" s="49" t="s">
        <v>2103</v>
      </c>
      <c r="R873" s="49" t="s">
        <v>2099</v>
      </c>
      <c r="S873" s="53" t="n">
        <v>0.5</v>
      </c>
      <c r="T873" s="51" t="n">
        <v>3000</v>
      </c>
      <c r="U873" s="56" t="n">
        <f aca="false">I873*O873</f>
        <v>4010.87058</v>
      </c>
      <c r="V873" s="56" t="n">
        <f aca="false">J873*O873</f>
        <v>12032.654955</v>
      </c>
      <c r="W873" s="56" t="n">
        <f aca="false">((I873+J873)/2)*O873</f>
        <v>8021.7627675</v>
      </c>
      <c r="X873" s="56" t="n">
        <f aca="false">H873*O873</f>
        <v>6309.39</v>
      </c>
    </row>
    <row r="874" customFormat="false" ht="22.35" hidden="false" customHeight="false" outlineLevel="0" collapsed="false">
      <c r="A874" s="76" t="s">
        <v>2063</v>
      </c>
      <c r="B874" s="7" t="s">
        <v>2126</v>
      </c>
      <c r="C874" s="7" t="s">
        <v>2127</v>
      </c>
      <c r="D874" s="7" t="s">
        <v>2101</v>
      </c>
      <c r="E874" s="57" t="s">
        <v>2102</v>
      </c>
      <c r="F874" s="7" t="s">
        <v>2097</v>
      </c>
      <c r="G874" s="7" t="s">
        <v>2097</v>
      </c>
      <c r="H874" s="9" t="n">
        <v>500</v>
      </c>
      <c r="I874" s="9" t="n">
        <v>1070.35</v>
      </c>
      <c r="J874" s="9" t="n">
        <v>3211.05</v>
      </c>
      <c r="K874" s="52" t="n">
        <v>4800</v>
      </c>
      <c r="L874" s="58" t="n">
        <v>58.7</v>
      </c>
      <c r="M874" s="59" t="n">
        <v>61.5</v>
      </c>
      <c r="N874" s="9" t="n">
        <v>36.468493</v>
      </c>
      <c r="O874" s="8" t="n">
        <v>2.3214</v>
      </c>
      <c r="P874" s="9" t="n">
        <v>-2711.05</v>
      </c>
      <c r="Q874" s="7" t="s">
        <v>2103</v>
      </c>
      <c r="R874" s="7" t="s">
        <v>2099</v>
      </c>
      <c r="S874" s="58" t="n">
        <v>0.5</v>
      </c>
      <c r="T874" s="9" t="n">
        <v>2400</v>
      </c>
      <c r="U874" s="56" t="n">
        <f aca="false">I874*O874</f>
        <v>2484.71049</v>
      </c>
      <c r="V874" s="56" t="n">
        <f aca="false">J874*O874</f>
        <v>7454.13147</v>
      </c>
      <c r="W874" s="56" t="n">
        <f aca="false">((I874+J874)/2)*O874</f>
        <v>4969.42098</v>
      </c>
      <c r="X874" s="56" t="n">
        <f aca="false">H874*O874</f>
        <v>1160.7</v>
      </c>
    </row>
    <row r="875" customFormat="false" ht="22.35" hidden="false" customHeight="false" outlineLevel="0" collapsed="false">
      <c r="A875" s="76" t="s">
        <v>2063</v>
      </c>
      <c r="B875" s="4" t="s">
        <v>3498</v>
      </c>
      <c r="C875" s="4" t="s">
        <v>3499</v>
      </c>
      <c r="D875" s="4" t="s">
        <v>2101</v>
      </c>
      <c r="E875" s="70" t="s">
        <v>2193</v>
      </c>
      <c r="F875" s="4" t="s">
        <v>2097</v>
      </c>
      <c r="G875" s="71" t="s">
        <v>2194</v>
      </c>
      <c r="H875" s="6" t="n">
        <v>40</v>
      </c>
      <c r="I875" s="6" t="n">
        <v>0</v>
      </c>
      <c r="J875" s="6" t="n">
        <v>0</v>
      </c>
      <c r="K875" s="52" t="n">
        <v>0</v>
      </c>
      <c r="L875" s="72" t="n">
        <v>123</v>
      </c>
      <c r="M875" s="73" t="n">
        <v>0</v>
      </c>
      <c r="N875" s="6" t="n">
        <v>0.468493</v>
      </c>
      <c r="O875" s="5" t="n">
        <v>2.375</v>
      </c>
      <c r="P875" s="6" t="n">
        <v>40</v>
      </c>
      <c r="Q875" s="4" t="s">
        <v>2098</v>
      </c>
      <c r="R875" s="4" t="s">
        <v>2195</v>
      </c>
      <c r="S875" s="72" t="n">
        <v>0</v>
      </c>
      <c r="T875" s="6" t="n">
        <v>1</v>
      </c>
      <c r="U875" s="56" t="n">
        <f aca="false">I875*O875</f>
        <v>0</v>
      </c>
      <c r="V875" s="56" t="n">
        <f aca="false">J875*O875</f>
        <v>0</v>
      </c>
      <c r="W875" s="56" t="n">
        <f aca="false">((I875+J875)/2)*O875</f>
        <v>0</v>
      </c>
      <c r="X875" s="56" t="n">
        <f aca="false">H875*O875</f>
        <v>95</v>
      </c>
    </row>
    <row r="876" customFormat="false" ht="22.35" hidden="false" customHeight="false" outlineLevel="0" collapsed="false">
      <c r="A876" s="76" t="s">
        <v>2063</v>
      </c>
      <c r="B876" s="7" t="s">
        <v>2130</v>
      </c>
      <c r="C876" s="7" t="s">
        <v>2131</v>
      </c>
      <c r="D876" s="7" t="s">
        <v>2095</v>
      </c>
      <c r="E876" s="61" t="s">
        <v>2113</v>
      </c>
      <c r="F876" s="7" t="s">
        <v>2097</v>
      </c>
      <c r="G876" s="7" t="s">
        <v>2097</v>
      </c>
      <c r="H876" s="9" t="n">
        <v>2464</v>
      </c>
      <c r="I876" s="9" t="n">
        <v>2854.45</v>
      </c>
      <c r="J876" s="9" t="n">
        <v>5708.9</v>
      </c>
      <c r="K876" s="52" t="n">
        <v>6120</v>
      </c>
      <c r="L876" s="58" t="n">
        <v>63.1</v>
      </c>
      <c r="M876" s="59" t="n">
        <v>47.8</v>
      </c>
      <c r="N876" s="9" t="n">
        <v>45.236986</v>
      </c>
      <c r="O876" s="8" t="n">
        <v>6.398</v>
      </c>
      <c r="P876" s="9" t="n">
        <v>-3244.9</v>
      </c>
      <c r="Q876" s="7" t="s">
        <v>2103</v>
      </c>
      <c r="R876" s="7" t="s">
        <v>2099</v>
      </c>
      <c r="S876" s="58" t="n">
        <v>1</v>
      </c>
      <c r="T876" s="9" t="n">
        <v>2040</v>
      </c>
      <c r="U876" s="56" t="n">
        <f aca="false">I876*O876</f>
        <v>18262.7711</v>
      </c>
      <c r="V876" s="56" t="n">
        <f aca="false">J876*O876</f>
        <v>36525.5422</v>
      </c>
      <c r="W876" s="56" t="n">
        <f aca="false">((I876+J876)/2)*O876</f>
        <v>27394.15665</v>
      </c>
      <c r="X876" s="56" t="n">
        <f aca="false">H876*O876</f>
        <v>15764.672</v>
      </c>
    </row>
    <row r="877" customFormat="false" ht="22.35" hidden="false" customHeight="false" outlineLevel="0" collapsed="false">
      <c r="A877" s="76" t="s">
        <v>2063</v>
      </c>
      <c r="B877" s="49" t="s">
        <v>2132</v>
      </c>
      <c r="C877" s="49" t="s">
        <v>2133</v>
      </c>
      <c r="D877" s="49" t="s">
        <v>2095</v>
      </c>
      <c r="E877" s="61" t="s">
        <v>2113</v>
      </c>
      <c r="F877" s="49" t="s">
        <v>2097</v>
      </c>
      <c r="G877" s="49" t="s">
        <v>2097</v>
      </c>
      <c r="H877" s="51" t="n">
        <v>1490</v>
      </c>
      <c r="I877" s="51" t="n">
        <v>2110.93</v>
      </c>
      <c r="J877" s="51" t="n">
        <v>4221.86</v>
      </c>
      <c r="K877" s="52" t="n">
        <v>6120</v>
      </c>
      <c r="L877" s="53" t="n">
        <v>51.6</v>
      </c>
      <c r="M877" s="54" t="n">
        <v>50</v>
      </c>
      <c r="N877" s="51" t="n">
        <v>40.909589</v>
      </c>
      <c r="O877" s="55" t="n">
        <v>2.57</v>
      </c>
      <c r="P877" s="51" t="n">
        <v>-2731.86</v>
      </c>
      <c r="Q877" s="49" t="s">
        <v>2103</v>
      </c>
      <c r="R877" s="49" t="s">
        <v>2099</v>
      </c>
      <c r="S877" s="53" t="n">
        <v>1</v>
      </c>
      <c r="T877" s="51" t="n">
        <v>2040</v>
      </c>
      <c r="U877" s="56" t="n">
        <f aca="false">I877*O877</f>
        <v>5425.0901</v>
      </c>
      <c r="V877" s="56" t="n">
        <f aca="false">J877*O877</f>
        <v>10850.1802</v>
      </c>
      <c r="W877" s="56" t="n">
        <f aca="false">((I877+J877)/2)*O877</f>
        <v>8137.63515</v>
      </c>
      <c r="X877" s="56" t="n">
        <f aca="false">H877*O877</f>
        <v>3829.3</v>
      </c>
    </row>
    <row r="878" customFormat="false" ht="22.35" hidden="false" customHeight="false" outlineLevel="0" collapsed="false">
      <c r="A878" s="76" t="s">
        <v>2063</v>
      </c>
      <c r="B878" s="7" t="s">
        <v>2134</v>
      </c>
      <c r="C878" s="7" t="s">
        <v>2135</v>
      </c>
      <c r="D878" s="7" t="s">
        <v>2095</v>
      </c>
      <c r="E878" s="61" t="s">
        <v>2113</v>
      </c>
      <c r="F878" s="7" t="s">
        <v>2097</v>
      </c>
      <c r="G878" s="7" t="s">
        <v>2097</v>
      </c>
      <c r="H878" s="9" t="n">
        <v>214</v>
      </c>
      <c r="I878" s="9" t="n">
        <v>362.6</v>
      </c>
      <c r="J878" s="9" t="n">
        <v>725.2</v>
      </c>
      <c r="K878" s="52" t="n">
        <v>725.2</v>
      </c>
      <c r="L878" s="58" t="n">
        <v>63.4</v>
      </c>
      <c r="M878" s="59" t="n">
        <v>33.3</v>
      </c>
      <c r="N878" s="9" t="n">
        <v>5.719178</v>
      </c>
      <c r="O878" s="8" t="n">
        <v>2.85</v>
      </c>
      <c r="P878" s="9" t="n">
        <v>-511.2</v>
      </c>
      <c r="Q878" s="7" t="s">
        <v>2103</v>
      </c>
      <c r="R878" s="7" t="s">
        <v>2099</v>
      </c>
      <c r="S878" s="58" t="n">
        <v>1</v>
      </c>
      <c r="T878" s="9" t="n">
        <v>1</v>
      </c>
      <c r="U878" s="56" t="n">
        <f aca="false">I878*O878</f>
        <v>1033.41</v>
      </c>
      <c r="V878" s="56" t="n">
        <f aca="false">J878*O878</f>
        <v>2066.82</v>
      </c>
      <c r="W878" s="56" t="n">
        <f aca="false">((I878+J878)/2)*O878</f>
        <v>1550.115</v>
      </c>
      <c r="X878" s="56" t="n">
        <f aca="false">H878*O878</f>
        <v>609.9</v>
      </c>
    </row>
    <row r="879" customFormat="false" ht="22.35" hidden="false" customHeight="false" outlineLevel="0" collapsed="false">
      <c r="A879" s="76" t="s">
        <v>2063</v>
      </c>
      <c r="B879" s="49" t="s">
        <v>2136</v>
      </c>
      <c r="C879" s="49" t="s">
        <v>2137</v>
      </c>
      <c r="D879" s="49" t="s">
        <v>2095</v>
      </c>
      <c r="E879" s="61" t="s">
        <v>2113</v>
      </c>
      <c r="F879" s="49" t="s">
        <v>2097</v>
      </c>
      <c r="G879" s="49" t="s">
        <v>2097</v>
      </c>
      <c r="H879" s="51" t="n">
        <v>194</v>
      </c>
      <c r="I879" s="51" t="n">
        <v>385.33</v>
      </c>
      <c r="J879" s="51" t="n">
        <v>770.66</v>
      </c>
      <c r="K879" s="52" t="n">
        <v>770.66</v>
      </c>
      <c r="L879" s="53" t="n">
        <v>69.8</v>
      </c>
      <c r="M879" s="54" t="n">
        <v>36</v>
      </c>
      <c r="N879" s="51" t="n">
        <v>5.520548</v>
      </c>
      <c r="O879" s="55" t="n">
        <v>6.14</v>
      </c>
      <c r="P879" s="51" t="n">
        <v>-576.66</v>
      </c>
      <c r="Q879" s="49" t="s">
        <v>2103</v>
      </c>
      <c r="R879" s="49" t="s">
        <v>2099</v>
      </c>
      <c r="S879" s="53" t="n">
        <v>1</v>
      </c>
      <c r="T879" s="51" t="n">
        <v>1</v>
      </c>
      <c r="U879" s="56" t="n">
        <f aca="false">I879*O879</f>
        <v>2365.9262</v>
      </c>
      <c r="V879" s="56" t="n">
        <f aca="false">J879*O879</f>
        <v>4731.8524</v>
      </c>
      <c r="W879" s="56" t="n">
        <f aca="false">((I879+J879)/2)*O879</f>
        <v>3548.8893</v>
      </c>
      <c r="X879" s="56" t="n">
        <f aca="false">H879*O879</f>
        <v>1191.16</v>
      </c>
    </row>
    <row r="880" customFormat="false" ht="22.35" hidden="false" customHeight="false" outlineLevel="0" collapsed="false">
      <c r="A880" s="76" t="s">
        <v>2063</v>
      </c>
      <c r="B880" s="7" t="s">
        <v>3500</v>
      </c>
      <c r="C880" s="7" t="s">
        <v>3501</v>
      </c>
      <c r="D880" s="7" t="s">
        <v>2101</v>
      </c>
      <c r="E880" s="57" t="s">
        <v>2102</v>
      </c>
      <c r="F880" s="7" t="s">
        <v>2097</v>
      </c>
      <c r="G880" s="7" t="s">
        <v>2097</v>
      </c>
      <c r="H880" s="9" t="n">
        <v>872</v>
      </c>
      <c r="I880" s="9" t="n">
        <v>407.34</v>
      </c>
      <c r="J880" s="9" t="n">
        <v>1222.01</v>
      </c>
      <c r="K880" s="52" t="n">
        <v>1222.01</v>
      </c>
      <c r="L880" s="58" t="n">
        <v>64.3</v>
      </c>
      <c r="M880" s="59" t="n">
        <v>71.4</v>
      </c>
      <c r="N880" s="9" t="n">
        <v>12.669863</v>
      </c>
      <c r="O880" s="8" t="n">
        <v>6.74</v>
      </c>
      <c r="P880" s="9" t="n">
        <v>-350.01</v>
      </c>
      <c r="Q880" s="7" t="s">
        <v>2103</v>
      </c>
      <c r="R880" s="7" t="s">
        <v>2099</v>
      </c>
      <c r="S880" s="58" t="n">
        <v>0.5</v>
      </c>
      <c r="T880" s="9" t="n">
        <v>1</v>
      </c>
      <c r="U880" s="56" t="n">
        <f aca="false">I880*O880</f>
        <v>2745.4716</v>
      </c>
      <c r="V880" s="56" t="n">
        <f aca="false">J880*O880</f>
        <v>8236.3474</v>
      </c>
      <c r="W880" s="56" t="n">
        <f aca="false">((I880+J880)/2)*O880</f>
        <v>5490.9095</v>
      </c>
      <c r="X880" s="56" t="n">
        <f aca="false">H880*O880</f>
        <v>5877.28</v>
      </c>
    </row>
    <row r="881" customFormat="false" ht="22.35" hidden="false" customHeight="false" outlineLevel="0" collapsed="false">
      <c r="A881" s="76" t="s">
        <v>2063</v>
      </c>
      <c r="B881" s="49" t="s">
        <v>3502</v>
      </c>
      <c r="C881" s="49" t="s">
        <v>3503</v>
      </c>
      <c r="D881" s="49" t="s">
        <v>2101</v>
      </c>
      <c r="E881" s="57" t="s">
        <v>2102</v>
      </c>
      <c r="F881" s="49" t="s">
        <v>2097</v>
      </c>
      <c r="G881" s="49" t="s">
        <v>2097</v>
      </c>
      <c r="H881" s="51" t="n">
        <v>876</v>
      </c>
      <c r="I881" s="51" t="n">
        <v>357.17</v>
      </c>
      <c r="J881" s="51" t="n">
        <v>1071.52</v>
      </c>
      <c r="K881" s="52" t="n">
        <v>1071.52</v>
      </c>
      <c r="L881" s="53" t="n">
        <v>56</v>
      </c>
      <c r="M881" s="54" t="n">
        <v>60</v>
      </c>
      <c r="N881" s="51" t="n">
        <v>12.756164</v>
      </c>
      <c r="O881" s="55" t="n">
        <v>3.023</v>
      </c>
      <c r="P881" s="51" t="n">
        <v>-195.52</v>
      </c>
      <c r="Q881" s="49" t="s">
        <v>2103</v>
      </c>
      <c r="R881" s="49" t="s">
        <v>2099</v>
      </c>
      <c r="S881" s="53" t="n">
        <v>0.5</v>
      </c>
      <c r="T881" s="51" t="n">
        <v>1</v>
      </c>
      <c r="U881" s="56" t="n">
        <f aca="false">I881*O881</f>
        <v>1079.72491</v>
      </c>
      <c r="V881" s="56" t="n">
        <f aca="false">J881*O881</f>
        <v>3239.20496</v>
      </c>
      <c r="W881" s="56" t="n">
        <f aca="false">((I881+J881)/2)*O881</f>
        <v>2159.464935</v>
      </c>
      <c r="X881" s="56" t="n">
        <f aca="false">H881*O881</f>
        <v>2648.148</v>
      </c>
    </row>
    <row r="882" customFormat="false" ht="22.35" hidden="false" customHeight="false" outlineLevel="0" collapsed="false">
      <c r="A882" s="76" t="s">
        <v>2063</v>
      </c>
      <c r="B882" s="7" t="s">
        <v>2138</v>
      </c>
      <c r="C882" s="7" t="s">
        <v>2139</v>
      </c>
      <c r="D882" s="7" t="s">
        <v>2101</v>
      </c>
      <c r="E882" s="57" t="s">
        <v>2102</v>
      </c>
      <c r="F882" s="7" t="s">
        <v>2097</v>
      </c>
      <c r="G882" s="7" t="s">
        <v>2097</v>
      </c>
      <c r="H882" s="9" t="n">
        <v>718</v>
      </c>
      <c r="I882" s="9" t="n">
        <v>371.82</v>
      </c>
      <c r="J882" s="9" t="n">
        <v>1115.47</v>
      </c>
      <c r="K882" s="52" t="n">
        <v>1115.47</v>
      </c>
      <c r="L882" s="58" t="n">
        <v>56</v>
      </c>
      <c r="M882" s="59" t="n">
        <v>50</v>
      </c>
      <c r="N882" s="9" t="n">
        <v>13.279452</v>
      </c>
      <c r="O882" s="8" t="n">
        <v>3.749</v>
      </c>
      <c r="P882" s="9" t="n">
        <v>-397.47</v>
      </c>
      <c r="Q882" s="7" t="s">
        <v>2103</v>
      </c>
      <c r="R882" s="7" t="s">
        <v>2099</v>
      </c>
      <c r="S882" s="58" t="n">
        <v>0.5</v>
      </c>
      <c r="T882" s="9" t="n">
        <v>1</v>
      </c>
      <c r="U882" s="56" t="n">
        <f aca="false">I882*O882</f>
        <v>1393.95318</v>
      </c>
      <c r="V882" s="56" t="n">
        <f aca="false">J882*O882</f>
        <v>4181.89703</v>
      </c>
      <c r="W882" s="56" t="n">
        <f aca="false">((I882+J882)/2)*O882</f>
        <v>2787.925105</v>
      </c>
      <c r="X882" s="56" t="n">
        <f aca="false">H882*O882</f>
        <v>2691.782</v>
      </c>
    </row>
    <row r="883" customFormat="false" ht="22.35" hidden="false" customHeight="false" outlineLevel="0" collapsed="false">
      <c r="A883" s="76" t="s">
        <v>2063</v>
      </c>
      <c r="B883" s="49" t="s">
        <v>3504</v>
      </c>
      <c r="C883" s="49" t="s">
        <v>3505</v>
      </c>
      <c r="D883" s="49" t="s">
        <v>2101</v>
      </c>
      <c r="E883" s="57" t="s">
        <v>2102</v>
      </c>
      <c r="F883" s="49" t="s">
        <v>2097</v>
      </c>
      <c r="G883" s="49" t="s">
        <v>2097</v>
      </c>
      <c r="H883" s="51" t="n">
        <v>202</v>
      </c>
      <c r="I883" s="51" t="n">
        <v>137.42</v>
      </c>
      <c r="J883" s="51" t="n">
        <v>412.27</v>
      </c>
      <c r="K883" s="52" t="n">
        <v>412.27</v>
      </c>
      <c r="L883" s="53" t="n">
        <v>64</v>
      </c>
      <c r="M883" s="54" t="n">
        <v>33.3</v>
      </c>
      <c r="N883" s="51" t="n">
        <v>4.294521</v>
      </c>
      <c r="O883" s="55" t="n">
        <v>4.126</v>
      </c>
      <c r="P883" s="51" t="n">
        <v>-210.27</v>
      </c>
      <c r="Q883" s="49" t="s">
        <v>2103</v>
      </c>
      <c r="R883" s="49" t="s">
        <v>2099</v>
      </c>
      <c r="S883" s="53" t="n">
        <v>0.5</v>
      </c>
      <c r="T883" s="51" t="n">
        <v>1</v>
      </c>
      <c r="U883" s="56" t="n">
        <f aca="false">I883*O883</f>
        <v>566.99492</v>
      </c>
      <c r="V883" s="56" t="n">
        <f aca="false">J883*O883</f>
        <v>1701.02602</v>
      </c>
      <c r="W883" s="56" t="n">
        <f aca="false">((I883+J883)/2)*O883</f>
        <v>1134.01047</v>
      </c>
      <c r="X883" s="56" t="n">
        <f aca="false">H883*O883</f>
        <v>833.452</v>
      </c>
    </row>
    <row r="884" customFormat="false" ht="22.35" hidden="false" customHeight="false" outlineLevel="0" collapsed="false">
      <c r="A884" s="76" t="s">
        <v>2063</v>
      </c>
      <c r="B884" s="7" t="s">
        <v>2140</v>
      </c>
      <c r="C884" s="7" t="s">
        <v>2141</v>
      </c>
      <c r="D884" s="7" t="s">
        <v>2095</v>
      </c>
      <c r="E884" s="61" t="s">
        <v>2113</v>
      </c>
      <c r="F884" s="7" t="s">
        <v>2097</v>
      </c>
      <c r="G884" s="7" t="s">
        <v>2097</v>
      </c>
      <c r="H884" s="9" t="n">
        <v>149</v>
      </c>
      <c r="I884" s="9" t="n">
        <v>106.66</v>
      </c>
      <c r="J884" s="9" t="n">
        <v>213.32</v>
      </c>
      <c r="K884" s="52" t="n">
        <v>480</v>
      </c>
      <c r="L884" s="58" t="n">
        <v>50.2</v>
      </c>
      <c r="M884" s="59" t="n">
        <v>61.9</v>
      </c>
      <c r="N884" s="9" t="n">
        <v>2.124658</v>
      </c>
      <c r="O884" s="8" t="n">
        <v>6.12</v>
      </c>
      <c r="P884" s="9" t="n">
        <v>-64.32</v>
      </c>
      <c r="Q884" s="7" t="s">
        <v>2103</v>
      </c>
      <c r="R884" s="7" t="s">
        <v>2099</v>
      </c>
      <c r="S884" s="58" t="n">
        <v>1</v>
      </c>
      <c r="T884" s="9" t="n">
        <v>480</v>
      </c>
      <c r="U884" s="56" t="n">
        <f aca="false">I884*O884</f>
        <v>652.7592</v>
      </c>
      <c r="V884" s="56" t="n">
        <f aca="false">J884*O884</f>
        <v>1305.5184</v>
      </c>
      <c r="W884" s="56" t="n">
        <f aca="false">((I884+J884)/2)*O884</f>
        <v>979.1388</v>
      </c>
      <c r="X884" s="56" t="n">
        <f aca="false">H884*O884</f>
        <v>911.88</v>
      </c>
    </row>
    <row r="885" customFormat="false" ht="22.35" hidden="false" customHeight="false" outlineLevel="0" collapsed="false">
      <c r="A885" s="76" t="s">
        <v>2063</v>
      </c>
      <c r="B885" s="49" t="s">
        <v>2142</v>
      </c>
      <c r="C885" s="49" t="s">
        <v>2143</v>
      </c>
      <c r="D885" s="49" t="s">
        <v>2095</v>
      </c>
      <c r="E885" s="61" t="s">
        <v>2113</v>
      </c>
      <c r="F885" s="49" t="s">
        <v>2097</v>
      </c>
      <c r="G885" s="49" t="s">
        <v>2097</v>
      </c>
      <c r="H885" s="51" t="n">
        <v>108</v>
      </c>
      <c r="I885" s="51" t="n">
        <v>64.19</v>
      </c>
      <c r="J885" s="51" t="n">
        <v>128.38</v>
      </c>
      <c r="K885" s="52" t="n">
        <v>128.38</v>
      </c>
      <c r="L885" s="53" t="n">
        <v>53.8</v>
      </c>
      <c r="M885" s="54" t="n">
        <v>60</v>
      </c>
      <c r="N885" s="51" t="n">
        <v>1.193151</v>
      </c>
      <c r="O885" s="55" t="n">
        <v>1.4812</v>
      </c>
      <c r="P885" s="51" t="n">
        <v>-20.38</v>
      </c>
      <c r="Q885" s="49" t="s">
        <v>2103</v>
      </c>
      <c r="R885" s="49" t="s">
        <v>2099</v>
      </c>
      <c r="S885" s="53" t="n">
        <v>1</v>
      </c>
      <c r="T885" s="51" t="n">
        <v>1</v>
      </c>
      <c r="U885" s="56" t="n">
        <f aca="false">I885*O885</f>
        <v>95.078228</v>
      </c>
      <c r="V885" s="56" t="n">
        <f aca="false">J885*O885</f>
        <v>190.156456</v>
      </c>
      <c r="W885" s="56" t="n">
        <f aca="false">((I885+J885)/2)*O885</f>
        <v>142.617342</v>
      </c>
      <c r="X885" s="56" t="n">
        <f aca="false">H885*O885</f>
        <v>159.9696</v>
      </c>
    </row>
    <row r="886" customFormat="false" ht="22.35" hidden="false" customHeight="false" outlineLevel="0" collapsed="false">
      <c r="A886" s="76" t="s">
        <v>2063</v>
      </c>
      <c r="B886" s="4" t="s">
        <v>3506</v>
      </c>
      <c r="C886" s="4" t="s">
        <v>3507</v>
      </c>
      <c r="D886" s="4" t="s">
        <v>2101</v>
      </c>
      <c r="E886" s="70" t="s">
        <v>2193</v>
      </c>
      <c r="F886" s="4" t="s">
        <v>2097</v>
      </c>
      <c r="G886" s="71" t="s">
        <v>2194</v>
      </c>
      <c r="H886" s="6" t="n">
        <v>40</v>
      </c>
      <c r="I886" s="6" t="n">
        <v>0</v>
      </c>
      <c r="J886" s="6" t="n">
        <v>0</v>
      </c>
      <c r="K886" s="52" t="n">
        <v>0</v>
      </c>
      <c r="L886" s="72" t="n">
        <v>32</v>
      </c>
      <c r="M886" s="73" t="n">
        <v>100</v>
      </c>
      <c r="N886" s="6" t="n">
        <v>0.449315</v>
      </c>
      <c r="O886" s="5" t="n">
        <v>3.1257</v>
      </c>
      <c r="P886" s="6" t="n">
        <v>40</v>
      </c>
      <c r="Q886" s="4" t="s">
        <v>2098</v>
      </c>
      <c r="R886" s="4" t="s">
        <v>2195</v>
      </c>
      <c r="S886" s="72" t="n">
        <v>0</v>
      </c>
      <c r="T886" s="6" t="n">
        <v>1</v>
      </c>
      <c r="U886" s="56" t="n">
        <f aca="false">I886*O886</f>
        <v>0</v>
      </c>
      <c r="V886" s="56" t="n">
        <f aca="false">J886*O886</f>
        <v>0</v>
      </c>
      <c r="W886" s="56" t="n">
        <f aca="false">((I886+J886)/2)*O886</f>
        <v>0</v>
      </c>
      <c r="X886" s="56" t="n">
        <f aca="false">H886*O886</f>
        <v>125.028</v>
      </c>
    </row>
    <row r="887" customFormat="false" ht="22.35" hidden="false" customHeight="false" outlineLevel="0" collapsed="false">
      <c r="A887" s="76" t="s">
        <v>2063</v>
      </c>
      <c r="B887" s="49" t="s">
        <v>2144</v>
      </c>
      <c r="C887" s="49" t="s">
        <v>2145</v>
      </c>
      <c r="D887" s="49" t="s">
        <v>2109</v>
      </c>
      <c r="E887" s="60" t="s">
        <v>2110</v>
      </c>
      <c r="F887" s="49" t="s">
        <v>2097</v>
      </c>
      <c r="G887" s="49" t="s">
        <v>2097</v>
      </c>
      <c r="H887" s="51" t="n">
        <v>11328</v>
      </c>
      <c r="I887" s="51" t="n">
        <v>31378.34</v>
      </c>
      <c r="J887" s="51" t="n">
        <v>52297.23</v>
      </c>
      <c r="K887" s="52" t="n">
        <v>56640</v>
      </c>
      <c r="L887" s="53" t="n">
        <v>78.7</v>
      </c>
      <c r="M887" s="54" t="n">
        <v>61</v>
      </c>
      <c r="N887" s="51" t="n">
        <v>265.805479</v>
      </c>
      <c r="O887" s="55" t="n">
        <v>5.45</v>
      </c>
      <c r="P887" s="51" t="n">
        <v>-40969.23</v>
      </c>
      <c r="Q887" s="49" t="s">
        <v>2103</v>
      </c>
      <c r="R887" s="49" t="s">
        <v>2099</v>
      </c>
      <c r="S887" s="53" t="n">
        <v>1.5</v>
      </c>
      <c r="T887" s="51" t="n">
        <v>7080</v>
      </c>
      <c r="U887" s="56" t="n">
        <f aca="false">I887*O887</f>
        <v>171011.953</v>
      </c>
      <c r="V887" s="56" t="n">
        <f aca="false">J887*O887</f>
        <v>285019.9035</v>
      </c>
      <c r="W887" s="56" t="n">
        <f aca="false">((I887+J887)/2)*O887</f>
        <v>228015.92825</v>
      </c>
      <c r="X887" s="56" t="n">
        <f aca="false">H887*O887</f>
        <v>61737.6</v>
      </c>
    </row>
    <row r="888" customFormat="false" ht="22.35" hidden="false" customHeight="false" outlineLevel="0" collapsed="false">
      <c r="A888" s="76" t="s">
        <v>2063</v>
      </c>
      <c r="B888" s="7" t="s">
        <v>3508</v>
      </c>
      <c r="C888" s="7" t="s">
        <v>3509</v>
      </c>
      <c r="D888" s="7" t="s">
        <v>2101</v>
      </c>
      <c r="E888" s="57" t="s">
        <v>2102</v>
      </c>
      <c r="F888" s="7" t="s">
        <v>2097</v>
      </c>
      <c r="G888" s="7" t="s">
        <v>2097</v>
      </c>
      <c r="H888" s="9" t="n">
        <v>151</v>
      </c>
      <c r="I888" s="9" t="n">
        <v>96.35</v>
      </c>
      <c r="J888" s="9" t="n">
        <v>289.05</v>
      </c>
      <c r="K888" s="52" t="n">
        <v>289.05</v>
      </c>
      <c r="L888" s="58" t="n">
        <v>67.5</v>
      </c>
      <c r="M888" s="59" t="n">
        <v>50</v>
      </c>
      <c r="N888" s="9" t="n">
        <v>2.854795</v>
      </c>
      <c r="O888" s="8" t="n">
        <v>4.707</v>
      </c>
      <c r="P888" s="9" t="n">
        <v>-138.05</v>
      </c>
      <c r="Q888" s="7" t="s">
        <v>2103</v>
      </c>
      <c r="R888" s="7" t="s">
        <v>2099</v>
      </c>
      <c r="S888" s="58" t="n">
        <v>0.5</v>
      </c>
      <c r="T888" s="9" t="n">
        <v>1</v>
      </c>
      <c r="U888" s="56" t="n">
        <f aca="false">I888*O888</f>
        <v>453.51945</v>
      </c>
      <c r="V888" s="56" t="n">
        <f aca="false">J888*O888</f>
        <v>1360.55835</v>
      </c>
      <c r="W888" s="56" t="n">
        <f aca="false">((I888+J888)/2)*O888</f>
        <v>907.0389</v>
      </c>
      <c r="X888" s="56" t="n">
        <f aca="false">H888*O888</f>
        <v>710.757</v>
      </c>
    </row>
    <row r="889" customFormat="false" ht="22.35" hidden="false" customHeight="false" outlineLevel="0" collapsed="false">
      <c r="A889" s="76" t="s">
        <v>2063</v>
      </c>
      <c r="B889" s="49" t="s">
        <v>2146</v>
      </c>
      <c r="C889" s="49" t="s">
        <v>2147</v>
      </c>
      <c r="D889" s="49" t="s">
        <v>2095</v>
      </c>
      <c r="E889" s="61" t="s">
        <v>2113</v>
      </c>
      <c r="F889" s="49" t="s">
        <v>2097</v>
      </c>
      <c r="G889" s="49" t="s">
        <v>2097</v>
      </c>
      <c r="H889" s="51" t="n">
        <v>4582</v>
      </c>
      <c r="I889" s="51" t="n">
        <v>6296.48</v>
      </c>
      <c r="J889" s="51" t="n">
        <v>12592.96</v>
      </c>
      <c r="K889" s="52" t="n">
        <v>14280</v>
      </c>
      <c r="L889" s="53" t="n">
        <v>60.9</v>
      </c>
      <c r="M889" s="54" t="n">
        <v>44.2</v>
      </c>
      <c r="N889" s="51" t="n">
        <v>103.390411</v>
      </c>
      <c r="O889" s="55" t="n">
        <v>6.06</v>
      </c>
      <c r="P889" s="51" t="n">
        <v>-8010.96</v>
      </c>
      <c r="Q889" s="49" t="s">
        <v>2103</v>
      </c>
      <c r="R889" s="49" t="s">
        <v>2099</v>
      </c>
      <c r="S889" s="53" t="n">
        <v>1</v>
      </c>
      <c r="T889" s="51" t="n">
        <v>2040</v>
      </c>
      <c r="U889" s="56" t="n">
        <f aca="false">I889*O889</f>
        <v>38156.6688</v>
      </c>
      <c r="V889" s="56" t="n">
        <f aca="false">J889*O889</f>
        <v>76313.3376</v>
      </c>
      <c r="W889" s="56" t="n">
        <f aca="false">((I889+J889)/2)*O889</f>
        <v>57235.0032</v>
      </c>
      <c r="X889" s="56" t="n">
        <f aca="false">H889*O889</f>
        <v>27766.92</v>
      </c>
    </row>
    <row r="890" customFormat="false" ht="22.35" hidden="false" customHeight="false" outlineLevel="0" collapsed="false">
      <c r="A890" s="76" t="s">
        <v>2063</v>
      </c>
      <c r="B890" s="7" t="s">
        <v>2148</v>
      </c>
      <c r="C890" s="7" t="s">
        <v>2149</v>
      </c>
      <c r="D890" s="7" t="s">
        <v>2109</v>
      </c>
      <c r="E890" s="60" t="s">
        <v>2110</v>
      </c>
      <c r="F890" s="7" t="s">
        <v>2097</v>
      </c>
      <c r="G890" s="7" t="s">
        <v>2097</v>
      </c>
      <c r="H890" s="9" t="n">
        <v>5011</v>
      </c>
      <c r="I890" s="9" t="n">
        <v>12741.42</v>
      </c>
      <c r="J890" s="9" t="n">
        <v>21235.7</v>
      </c>
      <c r="K890" s="52" t="n">
        <v>21235.7</v>
      </c>
      <c r="L890" s="58" t="n">
        <v>81.1</v>
      </c>
      <c r="M890" s="59" t="n">
        <v>51.6</v>
      </c>
      <c r="N890" s="9" t="n">
        <v>104.738356</v>
      </c>
      <c r="O890" s="8" t="n">
        <v>5.9</v>
      </c>
      <c r="P890" s="9" t="n">
        <v>-16224.7</v>
      </c>
      <c r="Q890" s="7" t="s">
        <v>2103</v>
      </c>
      <c r="R890" s="7" t="s">
        <v>2099</v>
      </c>
      <c r="S890" s="58" t="n">
        <v>1.5</v>
      </c>
      <c r="T890" s="9" t="n">
        <v>1</v>
      </c>
      <c r="U890" s="56" t="n">
        <f aca="false">I890*O890</f>
        <v>75174.378</v>
      </c>
      <c r="V890" s="56" t="n">
        <f aca="false">J890*O890</f>
        <v>125290.63</v>
      </c>
      <c r="W890" s="56" t="n">
        <f aca="false">((I890+J890)/2)*O890</f>
        <v>100232.504</v>
      </c>
      <c r="X890" s="56" t="n">
        <f aca="false">H890*O890</f>
        <v>29564.9</v>
      </c>
    </row>
    <row r="891" customFormat="false" ht="15" hidden="false" customHeight="false" outlineLevel="0" collapsed="false">
      <c r="A891" s="76" t="s">
        <v>2063</v>
      </c>
      <c r="B891" s="49" t="s">
        <v>3510</v>
      </c>
      <c r="C891" s="49" t="s">
        <v>3511</v>
      </c>
      <c r="D891" s="49" t="s">
        <v>2101</v>
      </c>
      <c r="E891" s="50" t="s">
        <v>2096</v>
      </c>
      <c r="F891" s="49" t="s">
        <v>2097</v>
      </c>
      <c r="G891" s="49" t="s">
        <v>2097</v>
      </c>
      <c r="H891" s="51" t="n">
        <v>400</v>
      </c>
      <c r="I891" s="51" t="n">
        <v>21.19</v>
      </c>
      <c r="J891" s="51" t="n">
        <v>63.57</v>
      </c>
      <c r="K891" s="52" t="n">
        <v>120</v>
      </c>
      <c r="L891" s="53" t="n">
        <v>53.9</v>
      </c>
      <c r="M891" s="54" t="n">
        <v>57.1</v>
      </c>
      <c r="N891" s="51" t="n">
        <v>0.786301</v>
      </c>
      <c r="O891" s="55" t="n">
        <v>5.41</v>
      </c>
      <c r="P891" s="51" t="n">
        <v>336.43</v>
      </c>
      <c r="Q891" s="49" t="s">
        <v>2098</v>
      </c>
      <c r="R891" s="49" t="s">
        <v>2099</v>
      </c>
      <c r="S891" s="53" t="n">
        <v>0.5</v>
      </c>
      <c r="T891" s="51" t="n">
        <v>120</v>
      </c>
      <c r="U891" s="56" t="n">
        <f aca="false">I891*O891</f>
        <v>114.6379</v>
      </c>
      <c r="V891" s="56" t="n">
        <f aca="false">J891*O891</f>
        <v>343.9137</v>
      </c>
      <c r="W891" s="56" t="n">
        <f aca="false">((I891+J891)/2)*O891</f>
        <v>229.2758</v>
      </c>
      <c r="X891" s="56" t="n">
        <f aca="false">H891*O891</f>
        <v>2164</v>
      </c>
    </row>
    <row r="892" customFormat="false" ht="22.35" hidden="false" customHeight="false" outlineLevel="0" collapsed="false">
      <c r="A892" s="76" t="s">
        <v>2063</v>
      </c>
      <c r="B892" s="7" t="s">
        <v>3512</v>
      </c>
      <c r="C892" s="7" t="s">
        <v>3513</v>
      </c>
      <c r="D892" s="7" t="s">
        <v>2101</v>
      </c>
      <c r="E892" s="57" t="s">
        <v>2102</v>
      </c>
      <c r="F892" s="7" t="s">
        <v>2097</v>
      </c>
      <c r="G892" s="7" t="s">
        <v>2097</v>
      </c>
      <c r="H892" s="9" t="n">
        <v>1491</v>
      </c>
      <c r="I892" s="9" t="n">
        <v>736.88</v>
      </c>
      <c r="J892" s="9" t="n">
        <v>2210.64</v>
      </c>
      <c r="K892" s="52" t="n">
        <v>3360</v>
      </c>
      <c r="L892" s="58" t="n">
        <v>52.2</v>
      </c>
      <c r="M892" s="59" t="n">
        <v>75</v>
      </c>
      <c r="N892" s="9" t="n">
        <v>28.232877</v>
      </c>
      <c r="O892" s="8" t="n">
        <v>5.9</v>
      </c>
      <c r="P892" s="9" t="n">
        <v>-719.64</v>
      </c>
      <c r="Q892" s="7" t="s">
        <v>2103</v>
      </c>
      <c r="R892" s="7" t="s">
        <v>2099</v>
      </c>
      <c r="S892" s="58" t="n">
        <v>0.5</v>
      </c>
      <c r="T892" s="9" t="n">
        <v>3360</v>
      </c>
      <c r="U892" s="56" t="n">
        <f aca="false">I892*O892</f>
        <v>4347.592</v>
      </c>
      <c r="V892" s="56" t="n">
        <f aca="false">J892*O892</f>
        <v>13042.776</v>
      </c>
      <c r="W892" s="56" t="n">
        <f aca="false">((I892+J892)/2)*O892</f>
        <v>8695.184</v>
      </c>
      <c r="X892" s="56" t="n">
        <f aca="false">H892*O892</f>
        <v>8796.9</v>
      </c>
    </row>
    <row r="893" customFormat="false" ht="22.35" hidden="false" customHeight="false" outlineLevel="0" collapsed="false">
      <c r="A893" s="76" t="s">
        <v>2063</v>
      </c>
      <c r="B893" s="49" t="s">
        <v>2150</v>
      </c>
      <c r="C893" s="49" t="s">
        <v>2151</v>
      </c>
      <c r="D893" s="49" t="s">
        <v>2109</v>
      </c>
      <c r="E893" s="60" t="s">
        <v>2110</v>
      </c>
      <c r="F893" s="49" t="s">
        <v>2097</v>
      </c>
      <c r="G893" s="49" t="s">
        <v>2097</v>
      </c>
      <c r="H893" s="51" t="n">
        <v>21951</v>
      </c>
      <c r="I893" s="51" t="n">
        <v>55250.49</v>
      </c>
      <c r="J893" s="51" t="n">
        <v>92084.15</v>
      </c>
      <c r="K893" s="52" t="n">
        <v>92160</v>
      </c>
      <c r="L893" s="53" t="n">
        <v>80.4</v>
      </c>
      <c r="M893" s="54" t="n">
        <v>56.4</v>
      </c>
      <c r="N893" s="51" t="n">
        <v>458.130137</v>
      </c>
      <c r="O893" s="55" t="n">
        <v>2.348</v>
      </c>
      <c r="P893" s="51" t="n">
        <v>-70133.15</v>
      </c>
      <c r="Q893" s="49" t="s">
        <v>2103</v>
      </c>
      <c r="R893" s="49" t="s">
        <v>2099</v>
      </c>
      <c r="S893" s="53" t="n">
        <v>1.5</v>
      </c>
      <c r="T893" s="51" t="n">
        <v>7680</v>
      </c>
      <c r="U893" s="56" t="n">
        <f aca="false">I893*O893</f>
        <v>129728.15052</v>
      </c>
      <c r="V893" s="56" t="n">
        <f aca="false">J893*O893</f>
        <v>216213.5842</v>
      </c>
      <c r="W893" s="56" t="n">
        <f aca="false">((I893+J893)/2)*O893</f>
        <v>172970.86736</v>
      </c>
      <c r="X893" s="56" t="n">
        <f aca="false">H893*O893</f>
        <v>51540.948</v>
      </c>
    </row>
    <row r="894" customFormat="false" ht="22.35" hidden="false" customHeight="false" outlineLevel="0" collapsed="false">
      <c r="A894" s="76" t="s">
        <v>2063</v>
      </c>
      <c r="B894" s="7" t="s">
        <v>3514</v>
      </c>
      <c r="C894" s="7" t="s">
        <v>3515</v>
      </c>
      <c r="D894" s="7" t="s">
        <v>2101</v>
      </c>
      <c r="E894" s="57" t="s">
        <v>2102</v>
      </c>
      <c r="F894" s="7" t="s">
        <v>2097</v>
      </c>
      <c r="G894" s="7" t="s">
        <v>2097</v>
      </c>
      <c r="H894" s="9" t="n">
        <v>150</v>
      </c>
      <c r="I894" s="9" t="n">
        <v>95.05</v>
      </c>
      <c r="J894" s="9" t="n">
        <v>285.16</v>
      </c>
      <c r="K894" s="52" t="n">
        <v>285.16</v>
      </c>
      <c r="L894" s="58" t="n">
        <v>67.5</v>
      </c>
      <c r="M894" s="59" t="n">
        <v>50</v>
      </c>
      <c r="N894" s="9" t="n">
        <v>2.816438</v>
      </c>
      <c r="O894" s="8" t="n">
        <v>1.799</v>
      </c>
      <c r="P894" s="9" t="n">
        <v>-135.16</v>
      </c>
      <c r="Q894" s="7" t="s">
        <v>2103</v>
      </c>
      <c r="R894" s="7" t="s">
        <v>2099</v>
      </c>
      <c r="S894" s="58" t="n">
        <v>0.5</v>
      </c>
      <c r="T894" s="9" t="n">
        <v>1</v>
      </c>
      <c r="U894" s="56" t="n">
        <f aca="false">I894*O894</f>
        <v>170.99495</v>
      </c>
      <c r="V894" s="56" t="n">
        <f aca="false">J894*O894</f>
        <v>513.00284</v>
      </c>
      <c r="W894" s="56" t="n">
        <f aca="false">((I894+J894)/2)*O894</f>
        <v>341.998895</v>
      </c>
      <c r="X894" s="56" t="n">
        <f aca="false">H894*O894</f>
        <v>269.85</v>
      </c>
    </row>
    <row r="895" customFormat="false" ht="22.35" hidden="false" customHeight="false" outlineLevel="0" collapsed="false">
      <c r="A895" s="76" t="s">
        <v>2063</v>
      </c>
      <c r="B895" s="49" t="s">
        <v>3516</v>
      </c>
      <c r="C895" s="49" t="s">
        <v>3517</v>
      </c>
      <c r="D895" s="49" t="s">
        <v>2101</v>
      </c>
      <c r="E895" s="57" t="s">
        <v>2102</v>
      </c>
      <c r="F895" s="49" t="s">
        <v>2097</v>
      </c>
      <c r="G895" s="49" t="s">
        <v>2097</v>
      </c>
      <c r="H895" s="51" t="n">
        <v>619</v>
      </c>
      <c r="I895" s="51" t="n">
        <v>444.58</v>
      </c>
      <c r="J895" s="51" t="n">
        <v>1333.74</v>
      </c>
      <c r="K895" s="52" t="n">
        <v>1333.74</v>
      </c>
      <c r="L895" s="53" t="n">
        <v>61.7</v>
      </c>
      <c r="M895" s="54" t="n">
        <v>42.9</v>
      </c>
      <c r="N895" s="51" t="n">
        <v>14.410959</v>
      </c>
      <c r="O895" s="55" t="n">
        <v>7.894</v>
      </c>
      <c r="P895" s="51" t="n">
        <v>-714.74</v>
      </c>
      <c r="Q895" s="49" t="s">
        <v>2103</v>
      </c>
      <c r="R895" s="49" t="s">
        <v>2099</v>
      </c>
      <c r="S895" s="53" t="n">
        <v>0.5</v>
      </c>
      <c r="T895" s="51" t="n">
        <v>1</v>
      </c>
      <c r="U895" s="56" t="n">
        <f aca="false">I895*O895</f>
        <v>3509.51452</v>
      </c>
      <c r="V895" s="56" t="n">
        <f aca="false">J895*O895</f>
        <v>10528.54356</v>
      </c>
      <c r="W895" s="56" t="n">
        <f aca="false">((I895+J895)/2)*O895</f>
        <v>7019.02904</v>
      </c>
      <c r="X895" s="56" t="n">
        <f aca="false">H895*O895</f>
        <v>4886.386</v>
      </c>
    </row>
    <row r="896" customFormat="false" ht="22.35" hidden="false" customHeight="false" outlineLevel="0" collapsed="false">
      <c r="A896" s="76" t="s">
        <v>2063</v>
      </c>
      <c r="B896" s="7" t="s">
        <v>2152</v>
      </c>
      <c r="C896" s="7" t="s">
        <v>2153</v>
      </c>
      <c r="D896" s="7" t="s">
        <v>2095</v>
      </c>
      <c r="E896" s="61" t="s">
        <v>2113</v>
      </c>
      <c r="F896" s="7" t="s">
        <v>2097</v>
      </c>
      <c r="G896" s="7" t="s">
        <v>2097</v>
      </c>
      <c r="H896" s="9" t="n">
        <v>1785</v>
      </c>
      <c r="I896" s="9" t="n">
        <v>2084.93</v>
      </c>
      <c r="J896" s="9" t="n">
        <v>4169.86</v>
      </c>
      <c r="K896" s="52" t="n">
        <v>5760</v>
      </c>
      <c r="L896" s="58" t="n">
        <v>47.8</v>
      </c>
      <c r="M896" s="59" t="n">
        <v>41.5</v>
      </c>
      <c r="N896" s="9" t="n">
        <v>43.617808</v>
      </c>
      <c r="O896" s="8" t="n">
        <v>3.53</v>
      </c>
      <c r="P896" s="9" t="n">
        <v>-2384.86</v>
      </c>
      <c r="Q896" s="7" t="s">
        <v>2103</v>
      </c>
      <c r="R896" s="7" t="s">
        <v>2099</v>
      </c>
      <c r="S896" s="58" t="n">
        <v>1</v>
      </c>
      <c r="T896" s="9" t="n">
        <v>1920</v>
      </c>
      <c r="U896" s="56" t="n">
        <f aca="false">I896*O896</f>
        <v>7359.8029</v>
      </c>
      <c r="V896" s="56" t="n">
        <f aca="false">J896*O896</f>
        <v>14719.6058</v>
      </c>
      <c r="W896" s="56" t="n">
        <f aca="false">((I896+J896)/2)*O896</f>
        <v>11039.70435</v>
      </c>
      <c r="X896" s="56" t="n">
        <f aca="false">H896*O896</f>
        <v>6301.05</v>
      </c>
    </row>
    <row r="897" customFormat="false" ht="22.35" hidden="false" customHeight="false" outlineLevel="0" collapsed="false">
      <c r="A897" s="76" t="s">
        <v>2063</v>
      </c>
      <c r="B897" s="4" t="s">
        <v>3518</v>
      </c>
      <c r="C897" s="4" t="s">
        <v>3519</v>
      </c>
      <c r="D897" s="4" t="s">
        <v>2101</v>
      </c>
      <c r="E897" s="70" t="s">
        <v>2193</v>
      </c>
      <c r="F897" s="4" t="s">
        <v>2097</v>
      </c>
      <c r="G897" s="71" t="s">
        <v>2194</v>
      </c>
      <c r="H897" s="6" t="n">
        <v>40</v>
      </c>
      <c r="I897" s="6" t="n">
        <v>0</v>
      </c>
      <c r="J897" s="6" t="n">
        <v>0</v>
      </c>
      <c r="K897" s="52" t="n">
        <v>0</v>
      </c>
      <c r="L897" s="72" t="n">
        <v>41.8</v>
      </c>
      <c r="M897" s="73" t="n">
        <v>60</v>
      </c>
      <c r="N897" s="6" t="n">
        <v>0.283562</v>
      </c>
      <c r="O897" s="5" t="n">
        <v>9.847</v>
      </c>
      <c r="P897" s="6" t="n">
        <v>40</v>
      </c>
      <c r="Q897" s="4" t="s">
        <v>2098</v>
      </c>
      <c r="R897" s="4" t="s">
        <v>2195</v>
      </c>
      <c r="S897" s="72" t="n">
        <v>0</v>
      </c>
      <c r="T897" s="6" t="n">
        <v>1</v>
      </c>
      <c r="U897" s="56" t="n">
        <f aca="false">I897*O897</f>
        <v>0</v>
      </c>
      <c r="V897" s="56" t="n">
        <f aca="false">J897*O897</f>
        <v>0</v>
      </c>
      <c r="W897" s="56" t="n">
        <f aca="false">((I897+J897)/2)*O897</f>
        <v>0</v>
      </c>
      <c r="X897" s="56" t="n">
        <f aca="false">H897*O897</f>
        <v>393.88</v>
      </c>
    </row>
    <row r="898" customFormat="false" ht="15" hidden="false" customHeight="false" outlineLevel="0" collapsed="false">
      <c r="A898" s="76" t="s">
        <v>2063</v>
      </c>
      <c r="B898" s="7" t="s">
        <v>2154</v>
      </c>
      <c r="C898" s="7" t="s">
        <v>2155</v>
      </c>
      <c r="D898" s="7" t="s">
        <v>2101</v>
      </c>
      <c r="E898" s="50" t="s">
        <v>2096</v>
      </c>
      <c r="F898" s="7" t="s">
        <v>2097</v>
      </c>
      <c r="G898" s="7" t="s">
        <v>2097</v>
      </c>
      <c r="H898" s="9" t="n">
        <v>400</v>
      </c>
      <c r="I898" s="9" t="n">
        <v>13.25</v>
      </c>
      <c r="J898" s="9" t="n">
        <v>39.76</v>
      </c>
      <c r="K898" s="52" t="n">
        <v>39.76</v>
      </c>
      <c r="L898" s="58" t="n">
        <v>40.4</v>
      </c>
      <c r="M898" s="59" t="n">
        <v>81.2</v>
      </c>
      <c r="N898" s="9" t="n">
        <v>0.656164</v>
      </c>
      <c r="O898" s="8" t="n">
        <v>18.51</v>
      </c>
      <c r="P898" s="9" t="n">
        <v>360.24</v>
      </c>
      <c r="Q898" s="7" t="s">
        <v>2098</v>
      </c>
      <c r="R898" s="7" t="s">
        <v>2099</v>
      </c>
      <c r="S898" s="58" t="n">
        <v>0.5</v>
      </c>
      <c r="T898" s="9" t="n">
        <v>1</v>
      </c>
      <c r="U898" s="56" t="n">
        <f aca="false">I898*O898</f>
        <v>245.2575</v>
      </c>
      <c r="V898" s="56" t="n">
        <f aca="false">J898*O898</f>
        <v>735.9576</v>
      </c>
      <c r="W898" s="56" t="n">
        <f aca="false">((I898+J898)/2)*O898</f>
        <v>490.60755</v>
      </c>
      <c r="X898" s="56" t="n">
        <f aca="false">H898*O898</f>
        <v>7404</v>
      </c>
    </row>
    <row r="899" customFormat="false" ht="22.35" hidden="false" customHeight="false" outlineLevel="0" collapsed="false">
      <c r="A899" s="76" t="s">
        <v>2063</v>
      </c>
      <c r="B899" s="49" t="s">
        <v>2156</v>
      </c>
      <c r="C899" s="49" t="s">
        <v>2157</v>
      </c>
      <c r="D899" s="49" t="s">
        <v>2101</v>
      </c>
      <c r="E899" s="57" t="s">
        <v>2102</v>
      </c>
      <c r="F899" s="49" t="s">
        <v>2097</v>
      </c>
      <c r="G899" s="49" t="s">
        <v>2097</v>
      </c>
      <c r="H899" s="51" t="n">
        <v>240</v>
      </c>
      <c r="I899" s="51" t="n">
        <v>103.54</v>
      </c>
      <c r="J899" s="51" t="n">
        <v>310.63</v>
      </c>
      <c r="K899" s="52" t="n">
        <v>400</v>
      </c>
      <c r="L899" s="53" t="n">
        <v>44.1</v>
      </c>
      <c r="M899" s="54" t="n">
        <v>81.4</v>
      </c>
      <c r="N899" s="51" t="n">
        <v>4.69589</v>
      </c>
      <c r="O899" s="55" t="n">
        <v>0.0005</v>
      </c>
      <c r="P899" s="51" t="n">
        <v>-70.63</v>
      </c>
      <c r="Q899" s="49" t="s">
        <v>2103</v>
      </c>
      <c r="R899" s="49" t="s">
        <v>2099</v>
      </c>
      <c r="S899" s="53" t="n">
        <v>0.5</v>
      </c>
      <c r="T899" s="51" t="n">
        <v>100</v>
      </c>
      <c r="U899" s="56" t="n">
        <f aca="false">I899*O899</f>
        <v>0.05177</v>
      </c>
      <c r="V899" s="56" t="n">
        <f aca="false">J899*O899</f>
        <v>0.155315</v>
      </c>
      <c r="W899" s="56" t="n">
        <f aca="false">((I899+J899)/2)*O899</f>
        <v>0.1035425</v>
      </c>
      <c r="X899" s="56" t="n">
        <f aca="false">H899*O899</f>
        <v>0.12</v>
      </c>
    </row>
    <row r="900" customFormat="false" ht="15" hidden="false" customHeight="false" outlineLevel="0" collapsed="false">
      <c r="A900" s="76" t="s">
        <v>2063</v>
      </c>
      <c r="B900" s="7" t="s">
        <v>2158</v>
      </c>
      <c r="C900" s="7" t="s">
        <v>2159</v>
      </c>
      <c r="D900" s="7" t="s">
        <v>2101</v>
      </c>
      <c r="E900" s="50" t="s">
        <v>2096</v>
      </c>
      <c r="F900" s="7" t="s">
        <v>2097</v>
      </c>
      <c r="G900" s="7" t="s">
        <v>2097</v>
      </c>
      <c r="H900" s="9" t="n">
        <v>680</v>
      </c>
      <c r="I900" s="9" t="n">
        <v>28.4</v>
      </c>
      <c r="J900" s="9" t="n">
        <v>85.19</v>
      </c>
      <c r="K900" s="52" t="n">
        <v>85.19</v>
      </c>
      <c r="L900" s="58" t="n">
        <v>63.2</v>
      </c>
      <c r="M900" s="59" t="n">
        <v>75.9</v>
      </c>
      <c r="N900" s="9" t="n">
        <v>0.89863</v>
      </c>
      <c r="O900" s="8" t="n">
        <v>0.0005</v>
      </c>
      <c r="P900" s="9" t="n">
        <v>594.81</v>
      </c>
      <c r="Q900" s="7" t="s">
        <v>2098</v>
      </c>
      <c r="R900" s="7" t="s">
        <v>2099</v>
      </c>
      <c r="S900" s="58" t="n">
        <v>0.5</v>
      </c>
      <c r="T900" s="9" t="n">
        <v>1</v>
      </c>
      <c r="U900" s="56" t="n">
        <f aca="false">I900*O900</f>
        <v>0.0142</v>
      </c>
      <c r="V900" s="56" t="n">
        <f aca="false">J900*O900</f>
        <v>0.042595</v>
      </c>
      <c r="W900" s="56" t="n">
        <f aca="false">((I900+J900)/2)*O900</f>
        <v>0.0283975</v>
      </c>
      <c r="X900" s="56" t="n">
        <f aca="false">H900*O900</f>
        <v>0.34</v>
      </c>
    </row>
    <row r="901" customFormat="false" ht="22.35" hidden="false" customHeight="false" outlineLevel="0" collapsed="false">
      <c r="A901" s="76" t="s">
        <v>2063</v>
      </c>
      <c r="B901" s="49" t="s">
        <v>2160</v>
      </c>
      <c r="C901" s="49" t="s">
        <v>2161</v>
      </c>
      <c r="D901" s="49" t="s">
        <v>2101</v>
      </c>
      <c r="E901" s="57" t="s">
        <v>2102</v>
      </c>
      <c r="F901" s="49" t="s">
        <v>2097</v>
      </c>
      <c r="G901" s="49" t="s">
        <v>2097</v>
      </c>
      <c r="H901" s="51" t="n">
        <v>240</v>
      </c>
      <c r="I901" s="51" t="n">
        <v>128.71</v>
      </c>
      <c r="J901" s="51" t="n">
        <v>386.13</v>
      </c>
      <c r="K901" s="52" t="n">
        <v>400</v>
      </c>
      <c r="L901" s="53" t="n">
        <v>45.6</v>
      </c>
      <c r="M901" s="54" t="n">
        <v>82.8</v>
      </c>
      <c r="N901" s="51" t="n">
        <v>5.645205</v>
      </c>
      <c r="O901" s="55" t="n">
        <v>78.2541</v>
      </c>
      <c r="P901" s="51" t="n">
        <v>-146.13</v>
      </c>
      <c r="Q901" s="49" t="s">
        <v>2103</v>
      </c>
      <c r="R901" s="49" t="s">
        <v>2099</v>
      </c>
      <c r="S901" s="53" t="n">
        <v>0.5</v>
      </c>
      <c r="T901" s="51" t="n">
        <v>100</v>
      </c>
      <c r="U901" s="56" t="n">
        <f aca="false">I901*O901</f>
        <v>10072.085211</v>
      </c>
      <c r="V901" s="56" t="n">
        <f aca="false">J901*O901</f>
        <v>30216.255633</v>
      </c>
      <c r="W901" s="56" t="n">
        <f aca="false">((I901+J901)/2)*O901</f>
        <v>20144.170422</v>
      </c>
      <c r="X901" s="56" t="n">
        <f aca="false">H901*O901</f>
        <v>18780.984</v>
      </c>
    </row>
    <row r="902" customFormat="false" ht="22.35" hidden="false" customHeight="false" outlineLevel="0" collapsed="false">
      <c r="A902" s="76" t="s">
        <v>2063</v>
      </c>
      <c r="B902" s="7" t="s">
        <v>3520</v>
      </c>
      <c r="C902" s="7" t="s">
        <v>3521</v>
      </c>
      <c r="D902" s="7" t="s">
        <v>2101</v>
      </c>
      <c r="E902" s="57" t="s">
        <v>2102</v>
      </c>
      <c r="F902" s="7" t="s">
        <v>2097</v>
      </c>
      <c r="G902" s="7" t="s">
        <v>2097</v>
      </c>
      <c r="H902" s="9" t="n">
        <v>1126</v>
      </c>
      <c r="I902" s="9" t="n">
        <v>1324.33</v>
      </c>
      <c r="J902" s="9" t="n">
        <v>3972.99</v>
      </c>
      <c r="K902" s="52" t="n">
        <v>3972.99</v>
      </c>
      <c r="L902" s="58" t="n">
        <v>116.4</v>
      </c>
      <c r="M902" s="59" t="n">
        <v>20</v>
      </c>
      <c r="N902" s="9" t="n">
        <v>22.754795</v>
      </c>
      <c r="O902" s="8" t="n">
        <v>4.9</v>
      </c>
      <c r="P902" s="9" t="n">
        <v>-2846.99</v>
      </c>
      <c r="Q902" s="7" t="s">
        <v>2103</v>
      </c>
      <c r="R902" s="7" t="s">
        <v>2099</v>
      </c>
      <c r="S902" s="58" t="n">
        <v>0.5</v>
      </c>
      <c r="T902" s="9" t="n">
        <v>1</v>
      </c>
      <c r="U902" s="56" t="n">
        <f aca="false">I902*O902</f>
        <v>6489.217</v>
      </c>
      <c r="V902" s="56" t="n">
        <f aca="false">J902*O902</f>
        <v>19467.651</v>
      </c>
      <c r="W902" s="56" t="n">
        <f aca="false">((I902+J902)/2)*O902</f>
        <v>12978.434</v>
      </c>
      <c r="X902" s="56" t="n">
        <f aca="false">H902*O902</f>
        <v>5517.4</v>
      </c>
    </row>
    <row r="903" customFormat="false" ht="22.35" hidden="false" customHeight="false" outlineLevel="0" collapsed="false">
      <c r="A903" s="76" t="s">
        <v>2063</v>
      </c>
      <c r="B903" s="4" t="s">
        <v>3522</v>
      </c>
      <c r="C903" s="4" t="s">
        <v>3523</v>
      </c>
      <c r="D903" s="4" t="s">
        <v>2101</v>
      </c>
      <c r="E903" s="70" t="s">
        <v>2193</v>
      </c>
      <c r="F903" s="4" t="s">
        <v>2097</v>
      </c>
      <c r="G903" s="71" t="s">
        <v>2194</v>
      </c>
      <c r="H903" s="6" t="n">
        <v>80</v>
      </c>
      <c r="I903" s="6" t="n">
        <v>0</v>
      </c>
      <c r="J903" s="6" t="n">
        <v>0</v>
      </c>
      <c r="K903" s="52" t="n">
        <v>0</v>
      </c>
      <c r="L903" s="72" t="n">
        <v>84</v>
      </c>
      <c r="M903" s="73" t="n">
        <v>0</v>
      </c>
      <c r="N903" s="6" t="n">
        <v>0.178082</v>
      </c>
      <c r="O903" s="5" t="n">
        <v>4.737</v>
      </c>
      <c r="P903" s="6" t="n">
        <v>80</v>
      </c>
      <c r="Q903" s="4" t="s">
        <v>2098</v>
      </c>
      <c r="R903" s="4" t="s">
        <v>2195</v>
      </c>
      <c r="S903" s="72" t="n">
        <v>0</v>
      </c>
      <c r="T903" s="6" t="n">
        <v>1</v>
      </c>
      <c r="U903" s="56" t="n">
        <f aca="false">I903*O903</f>
        <v>0</v>
      </c>
      <c r="V903" s="56" t="n">
        <f aca="false">J903*O903</f>
        <v>0</v>
      </c>
      <c r="W903" s="56" t="n">
        <f aca="false">((I903+J903)/2)*O903</f>
        <v>0</v>
      </c>
      <c r="X903" s="56" t="n">
        <f aca="false">H903*O903</f>
        <v>378.96</v>
      </c>
    </row>
    <row r="904" customFormat="false" ht="22.35" hidden="false" customHeight="false" outlineLevel="0" collapsed="false">
      <c r="A904" s="76" t="s">
        <v>2063</v>
      </c>
      <c r="B904" s="4" t="s">
        <v>3524</v>
      </c>
      <c r="C904" s="4" t="s">
        <v>1707</v>
      </c>
      <c r="D904" s="4" t="s">
        <v>2101</v>
      </c>
      <c r="E904" s="70" t="s">
        <v>2193</v>
      </c>
      <c r="F904" s="4" t="s">
        <v>2097</v>
      </c>
      <c r="G904" s="71" t="s">
        <v>2194</v>
      </c>
      <c r="H904" s="6" t="n">
        <v>40</v>
      </c>
      <c r="I904" s="6" t="n">
        <v>0</v>
      </c>
      <c r="J904" s="6" t="n">
        <v>0</v>
      </c>
      <c r="K904" s="52" t="n">
        <v>0</v>
      </c>
      <c r="L904" s="72" t="n">
        <v>9.8</v>
      </c>
      <c r="M904" s="73" t="n">
        <v>95</v>
      </c>
      <c r="N904" s="6" t="n">
        <v>0.98588</v>
      </c>
      <c r="O904" s="5" t="n">
        <v>5.61</v>
      </c>
      <c r="P904" s="6" t="n">
        <v>40</v>
      </c>
      <c r="Q904" s="4" t="s">
        <v>2098</v>
      </c>
      <c r="R904" s="4" t="s">
        <v>2195</v>
      </c>
      <c r="S904" s="72" t="n">
        <v>0</v>
      </c>
      <c r="T904" s="6" t="n">
        <v>64</v>
      </c>
      <c r="U904" s="56" t="n">
        <f aca="false">I904*O904</f>
        <v>0</v>
      </c>
      <c r="V904" s="56" t="n">
        <f aca="false">J904*O904</f>
        <v>0</v>
      </c>
      <c r="W904" s="56" t="n">
        <f aca="false">((I904+J904)/2)*O904</f>
        <v>0</v>
      </c>
      <c r="X904" s="56" t="n">
        <f aca="false">H904*O904</f>
        <v>224.4</v>
      </c>
    </row>
    <row r="905" customFormat="false" ht="22.35" hidden="false" customHeight="false" outlineLevel="0" collapsed="false">
      <c r="A905" s="76" t="s">
        <v>2063</v>
      </c>
      <c r="B905" s="4" t="s">
        <v>3525</v>
      </c>
      <c r="C905" s="4" t="s">
        <v>1615</v>
      </c>
      <c r="D905" s="4" t="s">
        <v>2101</v>
      </c>
      <c r="E905" s="70" t="s">
        <v>2193</v>
      </c>
      <c r="F905" s="4" t="s">
        <v>2097</v>
      </c>
      <c r="G905" s="71" t="s">
        <v>2194</v>
      </c>
      <c r="H905" s="6" t="n">
        <v>40</v>
      </c>
      <c r="I905" s="6" t="n">
        <v>0</v>
      </c>
      <c r="J905" s="6" t="n">
        <v>0</v>
      </c>
      <c r="K905" s="52" t="n">
        <v>0</v>
      </c>
      <c r="L905" s="72" t="n">
        <v>7.7</v>
      </c>
      <c r="M905" s="73" t="n">
        <v>100</v>
      </c>
      <c r="N905" s="6" t="n">
        <v>1.021603</v>
      </c>
      <c r="O905" s="5" t="n">
        <v>4.28</v>
      </c>
      <c r="P905" s="6" t="n">
        <v>40</v>
      </c>
      <c r="Q905" s="4" t="s">
        <v>2098</v>
      </c>
      <c r="R905" s="4" t="s">
        <v>2195</v>
      </c>
      <c r="S905" s="72" t="n">
        <v>0</v>
      </c>
      <c r="T905" s="6" t="n">
        <v>440</v>
      </c>
      <c r="U905" s="56" t="n">
        <f aca="false">I905*O905</f>
        <v>0</v>
      </c>
      <c r="V905" s="56" t="n">
        <f aca="false">J905*O905</f>
        <v>0</v>
      </c>
      <c r="W905" s="56" t="n">
        <f aca="false">((I905+J905)/2)*O905</f>
        <v>0</v>
      </c>
      <c r="X905" s="56" t="n">
        <f aca="false">H905*O905</f>
        <v>171.2</v>
      </c>
    </row>
    <row r="906" customFormat="false" ht="22.35" hidden="false" customHeight="false" outlineLevel="0" collapsed="false">
      <c r="A906" s="76" t="s">
        <v>2063</v>
      </c>
      <c r="B906" s="4" t="s">
        <v>3526</v>
      </c>
      <c r="C906" s="4" t="s">
        <v>1615</v>
      </c>
      <c r="D906" s="4" t="s">
        <v>2101</v>
      </c>
      <c r="E906" s="70" t="s">
        <v>2193</v>
      </c>
      <c r="F906" s="4" t="s">
        <v>2097</v>
      </c>
      <c r="G906" s="71" t="s">
        <v>2194</v>
      </c>
      <c r="H906" s="6" t="n">
        <v>40</v>
      </c>
      <c r="I906" s="6" t="n">
        <v>0</v>
      </c>
      <c r="J906" s="6" t="n">
        <v>0</v>
      </c>
      <c r="K906" s="52" t="n">
        <v>0</v>
      </c>
      <c r="L906" s="72" t="n">
        <v>5</v>
      </c>
      <c r="M906" s="73" t="n">
        <v>100</v>
      </c>
      <c r="N906" s="6" t="n">
        <v>0.966808</v>
      </c>
      <c r="O906" s="5" t="n">
        <v>5.81</v>
      </c>
      <c r="P906" s="6" t="n">
        <v>40</v>
      </c>
      <c r="Q906" s="4" t="s">
        <v>2098</v>
      </c>
      <c r="R906" s="4" t="s">
        <v>2195</v>
      </c>
      <c r="S906" s="72" t="n">
        <v>0</v>
      </c>
      <c r="T906" s="6" t="n">
        <v>1</v>
      </c>
      <c r="U906" s="56" t="n">
        <f aca="false">I906*O906</f>
        <v>0</v>
      </c>
      <c r="V906" s="56" t="n">
        <f aca="false">J906*O906</f>
        <v>0</v>
      </c>
      <c r="W906" s="56" t="n">
        <f aca="false">((I906+J906)/2)*O906</f>
        <v>0</v>
      </c>
      <c r="X906" s="56" t="n">
        <f aca="false">H906*O906</f>
        <v>232.4</v>
      </c>
    </row>
    <row r="907" customFormat="false" ht="22.35" hidden="false" customHeight="false" outlineLevel="0" collapsed="false">
      <c r="A907" s="76" t="s">
        <v>2063</v>
      </c>
      <c r="B907" s="49" t="s">
        <v>2162</v>
      </c>
      <c r="C907" s="49" t="s">
        <v>1615</v>
      </c>
      <c r="D907" s="49" t="s">
        <v>2101</v>
      </c>
      <c r="E907" s="57" t="s">
        <v>2102</v>
      </c>
      <c r="F907" s="49" t="s">
        <v>2097</v>
      </c>
      <c r="G907" s="49" t="s">
        <v>2097</v>
      </c>
      <c r="H907" s="51" t="n">
        <v>333</v>
      </c>
      <c r="I907" s="51" t="n">
        <v>184.22</v>
      </c>
      <c r="J907" s="51" t="n">
        <v>552.66</v>
      </c>
      <c r="K907" s="52" t="n">
        <v>552.66</v>
      </c>
      <c r="L907" s="53" t="n">
        <v>21.5</v>
      </c>
      <c r="M907" s="54" t="n">
        <v>87.9</v>
      </c>
      <c r="N907" s="51" t="n">
        <v>17.13674</v>
      </c>
      <c r="O907" s="55" t="n">
        <v>3.08</v>
      </c>
      <c r="P907" s="51" t="n">
        <v>-219.66</v>
      </c>
      <c r="Q907" s="49" t="s">
        <v>2103</v>
      </c>
      <c r="R907" s="49" t="s">
        <v>2099</v>
      </c>
      <c r="S907" s="53" t="n">
        <v>0.5</v>
      </c>
      <c r="T907" s="51" t="n">
        <v>1</v>
      </c>
      <c r="U907" s="56" t="n">
        <f aca="false">I907*O907</f>
        <v>567.3976</v>
      </c>
      <c r="V907" s="56" t="n">
        <f aca="false">J907*O907</f>
        <v>1702.1928</v>
      </c>
      <c r="W907" s="56" t="n">
        <f aca="false">((I907+J907)/2)*O907</f>
        <v>1134.7952</v>
      </c>
      <c r="X907" s="56" t="n">
        <f aca="false">H907*O907</f>
        <v>1025.64</v>
      </c>
    </row>
    <row r="908" customFormat="false" ht="22.35" hidden="false" customHeight="false" outlineLevel="0" collapsed="false">
      <c r="A908" s="76" t="s">
        <v>2063</v>
      </c>
      <c r="B908" s="7" t="s">
        <v>3527</v>
      </c>
      <c r="C908" s="7" t="s">
        <v>1615</v>
      </c>
      <c r="D908" s="7" t="s">
        <v>2101</v>
      </c>
      <c r="E908" s="57" t="s">
        <v>2102</v>
      </c>
      <c r="F908" s="7" t="s">
        <v>2097</v>
      </c>
      <c r="G908" s="7" t="s">
        <v>2097</v>
      </c>
      <c r="H908" s="9" t="n">
        <v>1196</v>
      </c>
      <c r="I908" s="9" t="n">
        <v>590.78</v>
      </c>
      <c r="J908" s="9" t="n">
        <v>1772.34</v>
      </c>
      <c r="K908" s="52" t="n">
        <v>1772.34</v>
      </c>
      <c r="L908" s="58" t="n">
        <v>22.2</v>
      </c>
      <c r="M908" s="59" t="n">
        <v>66.7</v>
      </c>
      <c r="N908" s="9" t="n">
        <v>53.223288</v>
      </c>
      <c r="O908" s="8" t="n">
        <v>2.124</v>
      </c>
      <c r="P908" s="9" t="n">
        <v>-576.34</v>
      </c>
      <c r="Q908" s="7" t="s">
        <v>2103</v>
      </c>
      <c r="R908" s="7" t="s">
        <v>2099</v>
      </c>
      <c r="S908" s="58" t="n">
        <v>0.5</v>
      </c>
      <c r="T908" s="9" t="n">
        <v>1</v>
      </c>
      <c r="U908" s="56" t="n">
        <f aca="false">I908*O908</f>
        <v>1254.81672</v>
      </c>
      <c r="V908" s="56" t="n">
        <f aca="false">J908*O908</f>
        <v>3764.45016</v>
      </c>
      <c r="W908" s="56" t="n">
        <f aca="false">((I908+J908)/2)*O908</f>
        <v>2509.63344</v>
      </c>
      <c r="X908" s="56" t="n">
        <f aca="false">H908*O908</f>
        <v>2540.304</v>
      </c>
    </row>
    <row r="909" customFormat="false" ht="22.35" hidden="false" customHeight="false" outlineLevel="0" collapsed="false">
      <c r="A909" s="76" t="s">
        <v>2063</v>
      </c>
      <c r="B909" s="49" t="s">
        <v>2163</v>
      </c>
      <c r="C909" s="49" t="s">
        <v>1615</v>
      </c>
      <c r="D909" s="49" t="s">
        <v>2101</v>
      </c>
      <c r="E909" s="57" t="s">
        <v>2102</v>
      </c>
      <c r="F909" s="49" t="s">
        <v>2097</v>
      </c>
      <c r="G909" s="49" t="s">
        <v>2097</v>
      </c>
      <c r="H909" s="51" t="n">
        <v>132</v>
      </c>
      <c r="I909" s="51" t="n">
        <v>52.32</v>
      </c>
      <c r="J909" s="51" t="n">
        <v>156.97</v>
      </c>
      <c r="K909" s="52" t="n">
        <v>156.97</v>
      </c>
      <c r="L909" s="53" t="n">
        <v>12.8</v>
      </c>
      <c r="M909" s="54" t="n">
        <v>80.8</v>
      </c>
      <c r="N909" s="51" t="n">
        <v>8.175493</v>
      </c>
      <c r="O909" s="55" t="n">
        <v>4.5826</v>
      </c>
      <c r="P909" s="51" t="n">
        <v>-24.97</v>
      </c>
      <c r="Q909" s="49" t="s">
        <v>2103</v>
      </c>
      <c r="R909" s="49" t="s">
        <v>2099</v>
      </c>
      <c r="S909" s="53" t="n">
        <v>0.5</v>
      </c>
      <c r="T909" s="51" t="n">
        <v>1</v>
      </c>
      <c r="U909" s="56" t="n">
        <f aca="false">I909*O909</f>
        <v>239.761632</v>
      </c>
      <c r="V909" s="56" t="n">
        <f aca="false">J909*O909</f>
        <v>719.330722</v>
      </c>
      <c r="W909" s="56" t="n">
        <f aca="false">((I909+J909)/2)*O909</f>
        <v>479.546177</v>
      </c>
      <c r="X909" s="56" t="n">
        <f aca="false">H909*O909</f>
        <v>604.9032</v>
      </c>
    </row>
    <row r="910" customFormat="false" ht="22.35" hidden="false" customHeight="false" outlineLevel="0" collapsed="false">
      <c r="A910" s="76" t="s">
        <v>2063</v>
      </c>
      <c r="B910" s="62" t="s">
        <v>3528</v>
      </c>
      <c r="C910" s="62" t="s">
        <v>2215</v>
      </c>
      <c r="D910" s="62" t="s">
        <v>2101</v>
      </c>
      <c r="E910" s="63" t="s">
        <v>2169</v>
      </c>
      <c r="F910" s="64" t="s">
        <v>2170</v>
      </c>
      <c r="G910" s="62" t="s">
        <v>2097</v>
      </c>
      <c r="H910" s="65" t="n">
        <v>80</v>
      </c>
      <c r="I910" s="65" t="n">
        <v>11.35</v>
      </c>
      <c r="J910" s="65" t="n">
        <v>34.05</v>
      </c>
      <c r="K910" s="66" t="n">
        <v>474</v>
      </c>
      <c r="L910" s="67" t="n">
        <v>9.3</v>
      </c>
      <c r="M910" s="68" t="n">
        <v>100</v>
      </c>
      <c r="N910" s="65" t="n">
        <v>3.24274</v>
      </c>
      <c r="O910" s="69" t="n">
        <v>4.9399</v>
      </c>
      <c r="P910" s="65" t="n">
        <v>45.95</v>
      </c>
      <c r="Q910" s="62" t="s">
        <v>2098</v>
      </c>
      <c r="R910" s="62" t="s">
        <v>2294</v>
      </c>
      <c r="S910" s="67" t="n">
        <v>0.5</v>
      </c>
      <c r="T910" s="65" t="n">
        <v>474</v>
      </c>
      <c r="U910" s="56" t="n">
        <f aca="false">I910*O910</f>
        <v>56.067865</v>
      </c>
      <c r="V910" s="56" t="n">
        <f aca="false">J910*O910</f>
        <v>168.203595</v>
      </c>
      <c r="W910" s="56" t="n">
        <f aca="false">((I910+J910)/2)*O910</f>
        <v>112.13573</v>
      </c>
      <c r="X910" s="56" t="n">
        <f aca="false">H910*O910</f>
        <v>395.192</v>
      </c>
    </row>
    <row r="911" customFormat="false" ht="15" hidden="false" customHeight="false" outlineLevel="0" collapsed="false">
      <c r="A911" s="76" t="s">
        <v>2063</v>
      </c>
      <c r="B911" s="49" t="s">
        <v>3529</v>
      </c>
      <c r="C911" s="49" t="s">
        <v>2215</v>
      </c>
      <c r="D911" s="49" t="s">
        <v>2101</v>
      </c>
      <c r="E911" s="50" t="s">
        <v>2096</v>
      </c>
      <c r="F911" s="49" t="s">
        <v>2097</v>
      </c>
      <c r="G911" s="49" t="s">
        <v>2097</v>
      </c>
      <c r="H911" s="51" t="n">
        <v>287</v>
      </c>
      <c r="I911" s="51" t="n">
        <v>53.44</v>
      </c>
      <c r="J911" s="51" t="n">
        <v>160.33</v>
      </c>
      <c r="K911" s="52" t="n">
        <v>758.4</v>
      </c>
      <c r="L911" s="53" t="n">
        <v>10.7</v>
      </c>
      <c r="M911" s="54" t="n">
        <v>100</v>
      </c>
      <c r="N911" s="51" t="n">
        <v>9.98963</v>
      </c>
      <c r="O911" s="55" t="n">
        <v>4.6199</v>
      </c>
      <c r="P911" s="51" t="n">
        <v>126.67</v>
      </c>
      <c r="Q911" s="49" t="s">
        <v>2098</v>
      </c>
      <c r="R911" s="49" t="s">
        <v>2099</v>
      </c>
      <c r="S911" s="53" t="n">
        <v>0.5</v>
      </c>
      <c r="T911" s="51" t="n">
        <v>758.4</v>
      </c>
      <c r="U911" s="56" t="n">
        <f aca="false">I911*O911</f>
        <v>246.887456</v>
      </c>
      <c r="V911" s="56" t="n">
        <f aca="false">J911*O911</f>
        <v>740.708567</v>
      </c>
      <c r="W911" s="56" t="n">
        <f aca="false">((I911+J911)/2)*O911</f>
        <v>493.7980115</v>
      </c>
      <c r="X911" s="56" t="n">
        <f aca="false">H911*O911</f>
        <v>1325.9113</v>
      </c>
    </row>
    <row r="912" customFormat="false" ht="32.8" hidden="false" customHeight="false" outlineLevel="0" collapsed="false">
      <c r="A912" s="76" t="s">
        <v>2063</v>
      </c>
      <c r="B912" s="62" t="s">
        <v>3530</v>
      </c>
      <c r="C912" s="62" t="s">
        <v>1615</v>
      </c>
      <c r="D912" s="62" t="s">
        <v>2101</v>
      </c>
      <c r="E912" s="78" t="s">
        <v>3474</v>
      </c>
      <c r="F912" s="64" t="s">
        <v>2170</v>
      </c>
      <c r="G912" s="62" t="s">
        <v>2097</v>
      </c>
      <c r="H912" s="65" t="n">
        <v>628</v>
      </c>
      <c r="I912" s="65" t="n">
        <v>230.58</v>
      </c>
      <c r="J912" s="65" t="n">
        <v>691.74</v>
      </c>
      <c r="K912" s="66" t="n">
        <v>881</v>
      </c>
      <c r="L912" s="67" t="n">
        <v>36.7</v>
      </c>
      <c r="M912" s="68" t="n">
        <v>68.4</v>
      </c>
      <c r="N912" s="65" t="n">
        <v>28.284699</v>
      </c>
      <c r="O912" s="69" t="n">
        <v>5.141</v>
      </c>
      <c r="P912" s="65" t="n">
        <v>-63.74</v>
      </c>
      <c r="Q912" s="62" t="s">
        <v>2103</v>
      </c>
      <c r="R912" s="62" t="s">
        <v>3531</v>
      </c>
      <c r="S912" s="67" t="n">
        <v>0.5</v>
      </c>
      <c r="T912" s="65" t="n">
        <v>440.5</v>
      </c>
      <c r="U912" s="56" t="n">
        <f aca="false">I912*O912</f>
        <v>1185.41178</v>
      </c>
      <c r="V912" s="56" t="n">
        <f aca="false">J912*O912</f>
        <v>3556.23534</v>
      </c>
      <c r="W912" s="56" t="n">
        <f aca="false">((I912+J912)/2)*O912</f>
        <v>2370.82356</v>
      </c>
      <c r="X912" s="56" t="n">
        <f aca="false">H912*O912</f>
        <v>3228.548</v>
      </c>
    </row>
    <row r="913" customFormat="false" ht="22.35" hidden="false" customHeight="false" outlineLevel="0" collapsed="false">
      <c r="A913" s="76" t="s">
        <v>2063</v>
      </c>
      <c r="B913" s="49" t="s">
        <v>3532</v>
      </c>
      <c r="C913" s="49" t="s">
        <v>1615</v>
      </c>
      <c r="D913" s="49" t="s">
        <v>2095</v>
      </c>
      <c r="E913" s="61" t="s">
        <v>2113</v>
      </c>
      <c r="F913" s="49" t="s">
        <v>2097</v>
      </c>
      <c r="G913" s="49" t="s">
        <v>2097</v>
      </c>
      <c r="H913" s="51" t="n">
        <v>4839</v>
      </c>
      <c r="I913" s="51" t="n">
        <v>7508.62</v>
      </c>
      <c r="J913" s="51" t="n">
        <v>15017.24</v>
      </c>
      <c r="K913" s="52" t="n">
        <v>17584</v>
      </c>
      <c r="L913" s="53" t="n">
        <v>39.8</v>
      </c>
      <c r="M913" s="54" t="n">
        <v>75</v>
      </c>
      <c r="N913" s="51" t="n">
        <v>188.658773</v>
      </c>
      <c r="O913" s="55" t="n">
        <v>4.04</v>
      </c>
      <c r="P913" s="51" t="n">
        <v>-10178.24</v>
      </c>
      <c r="Q913" s="49" t="s">
        <v>2103</v>
      </c>
      <c r="R913" s="49" t="s">
        <v>2099</v>
      </c>
      <c r="S913" s="53" t="n">
        <v>1</v>
      </c>
      <c r="T913" s="51" t="n">
        <v>8792</v>
      </c>
      <c r="U913" s="56" t="n">
        <f aca="false">I913*O913</f>
        <v>30334.8248</v>
      </c>
      <c r="V913" s="56" t="n">
        <f aca="false">J913*O913</f>
        <v>60669.6496</v>
      </c>
      <c r="W913" s="56" t="n">
        <f aca="false">((I913+J913)/2)*O913</f>
        <v>45502.2372</v>
      </c>
      <c r="X913" s="56" t="n">
        <f aca="false">H913*O913</f>
        <v>19549.56</v>
      </c>
    </row>
    <row r="914" customFormat="false" ht="22.35" hidden="false" customHeight="false" outlineLevel="0" collapsed="false">
      <c r="A914" s="76" t="s">
        <v>2063</v>
      </c>
      <c r="B914" s="7" t="s">
        <v>2164</v>
      </c>
      <c r="C914" s="7" t="s">
        <v>1965</v>
      </c>
      <c r="D914" s="7" t="s">
        <v>2101</v>
      </c>
      <c r="E914" s="57" t="s">
        <v>2102</v>
      </c>
      <c r="F914" s="7" t="s">
        <v>2097</v>
      </c>
      <c r="G914" s="7" t="s">
        <v>2097</v>
      </c>
      <c r="H914" s="9" t="n">
        <v>240</v>
      </c>
      <c r="I914" s="9" t="n">
        <v>136.02</v>
      </c>
      <c r="J914" s="9" t="n">
        <v>408.06</v>
      </c>
      <c r="K914" s="52" t="n">
        <v>423</v>
      </c>
      <c r="L914" s="58" t="n">
        <v>16.2</v>
      </c>
      <c r="M914" s="59" t="n">
        <v>85.3</v>
      </c>
      <c r="N914" s="9" t="n">
        <v>16.792658</v>
      </c>
      <c r="O914" s="8" t="n">
        <v>4.7453</v>
      </c>
      <c r="P914" s="9" t="n">
        <v>-168.06</v>
      </c>
      <c r="Q914" s="7" t="s">
        <v>2103</v>
      </c>
      <c r="R914" s="7" t="s">
        <v>2099</v>
      </c>
      <c r="S914" s="58" t="n">
        <v>0.5</v>
      </c>
      <c r="T914" s="9" t="n">
        <v>423</v>
      </c>
      <c r="U914" s="56" t="n">
        <f aca="false">I914*O914</f>
        <v>645.455706</v>
      </c>
      <c r="V914" s="56" t="n">
        <f aca="false">J914*O914</f>
        <v>1936.367118</v>
      </c>
      <c r="W914" s="56" t="n">
        <f aca="false">((I914+J914)/2)*O914</f>
        <v>1290.911412</v>
      </c>
      <c r="X914" s="56" t="n">
        <f aca="false">H914*O914</f>
        <v>1138.872</v>
      </c>
    </row>
    <row r="915" customFormat="false" ht="22.35" hidden="false" customHeight="false" outlineLevel="0" collapsed="false">
      <c r="A915" s="76" t="s">
        <v>2063</v>
      </c>
      <c r="B915" s="49" t="s">
        <v>2165</v>
      </c>
      <c r="C915" s="49" t="s">
        <v>1615</v>
      </c>
      <c r="D915" s="49" t="s">
        <v>2101</v>
      </c>
      <c r="E915" s="57" t="s">
        <v>2102</v>
      </c>
      <c r="F915" s="49" t="s">
        <v>2097</v>
      </c>
      <c r="G915" s="49" t="s">
        <v>2097</v>
      </c>
      <c r="H915" s="51" t="n">
        <v>1550</v>
      </c>
      <c r="I915" s="51" t="n">
        <v>884.36</v>
      </c>
      <c r="J915" s="51" t="n">
        <v>2653.08</v>
      </c>
      <c r="K915" s="52" t="n">
        <v>3969</v>
      </c>
      <c r="L915" s="53" t="n">
        <v>24.4</v>
      </c>
      <c r="M915" s="54" t="n">
        <v>66.7</v>
      </c>
      <c r="N915" s="51" t="n">
        <v>72.488425</v>
      </c>
      <c r="O915" s="55" t="n">
        <v>5.18</v>
      </c>
      <c r="P915" s="51" t="n">
        <v>-1103.08</v>
      </c>
      <c r="Q915" s="49" t="s">
        <v>2103</v>
      </c>
      <c r="R915" s="49" t="s">
        <v>2099</v>
      </c>
      <c r="S915" s="53" t="n">
        <v>0.5</v>
      </c>
      <c r="T915" s="51" t="n">
        <v>1323</v>
      </c>
      <c r="U915" s="56" t="n">
        <f aca="false">I915*O915</f>
        <v>4580.9848</v>
      </c>
      <c r="V915" s="56" t="n">
        <f aca="false">J915*O915</f>
        <v>13742.9544</v>
      </c>
      <c r="W915" s="56" t="n">
        <f aca="false">((I915+J915)/2)*O915</f>
        <v>9161.9696</v>
      </c>
      <c r="X915" s="56" t="n">
        <f aca="false">H915*O915</f>
        <v>8029</v>
      </c>
    </row>
    <row r="916" customFormat="false" ht="22.35" hidden="false" customHeight="false" outlineLevel="0" collapsed="false">
      <c r="A916" s="76" t="s">
        <v>2063</v>
      </c>
      <c r="B916" s="4" t="s">
        <v>3533</v>
      </c>
      <c r="C916" s="4" t="s">
        <v>1531</v>
      </c>
      <c r="D916" s="4" t="s">
        <v>2101</v>
      </c>
      <c r="E916" s="70" t="s">
        <v>2193</v>
      </c>
      <c r="F916" s="4" t="s">
        <v>2097</v>
      </c>
      <c r="G916" s="71" t="s">
        <v>2194</v>
      </c>
      <c r="H916" s="6" t="n">
        <v>40</v>
      </c>
      <c r="I916" s="6" t="n">
        <v>0</v>
      </c>
      <c r="J916" s="6" t="n">
        <v>0</v>
      </c>
      <c r="K916" s="52" t="n">
        <v>0</v>
      </c>
      <c r="L916" s="72" t="n">
        <v>12</v>
      </c>
      <c r="M916" s="73" t="n">
        <v>33.3</v>
      </c>
      <c r="N916" s="6" t="n">
        <v>0.086811</v>
      </c>
      <c r="O916" s="5" t="n">
        <v>24.5737</v>
      </c>
      <c r="P916" s="6" t="n">
        <v>40</v>
      </c>
      <c r="Q916" s="4" t="s">
        <v>2098</v>
      </c>
      <c r="R916" s="4" t="s">
        <v>2195</v>
      </c>
      <c r="S916" s="72" t="n">
        <v>0</v>
      </c>
      <c r="T916" s="6" t="n">
        <v>1</v>
      </c>
      <c r="U916" s="56" t="n">
        <f aca="false">I916*O916</f>
        <v>0</v>
      </c>
      <c r="V916" s="56" t="n">
        <f aca="false">J916*O916</f>
        <v>0</v>
      </c>
      <c r="W916" s="56" t="n">
        <f aca="false">((I916+J916)/2)*O916</f>
        <v>0</v>
      </c>
      <c r="X916" s="56" t="n">
        <f aca="false">H916*O916</f>
        <v>982.948</v>
      </c>
    </row>
    <row r="917" customFormat="false" ht="22.35" hidden="false" customHeight="false" outlineLevel="0" collapsed="false">
      <c r="A917" s="76" t="s">
        <v>2063</v>
      </c>
      <c r="B917" s="49" t="s">
        <v>3534</v>
      </c>
      <c r="C917" s="49" t="s">
        <v>1531</v>
      </c>
      <c r="D917" s="49" t="s">
        <v>2101</v>
      </c>
      <c r="E917" s="57" t="s">
        <v>2102</v>
      </c>
      <c r="F917" s="49" t="s">
        <v>2097</v>
      </c>
      <c r="G917" s="49" t="s">
        <v>2097</v>
      </c>
      <c r="H917" s="51" t="n">
        <v>179</v>
      </c>
      <c r="I917" s="51" t="n">
        <v>65.94</v>
      </c>
      <c r="J917" s="51" t="n">
        <v>197.82</v>
      </c>
      <c r="K917" s="52" t="n">
        <v>399</v>
      </c>
      <c r="L917" s="53" t="n">
        <v>20.7</v>
      </c>
      <c r="M917" s="54" t="n">
        <v>79.2</v>
      </c>
      <c r="N917" s="51" t="n">
        <v>6.371186</v>
      </c>
      <c r="O917" s="55" t="n">
        <v>13.538</v>
      </c>
      <c r="P917" s="51" t="n">
        <v>-18.82</v>
      </c>
      <c r="Q917" s="49" t="s">
        <v>2103</v>
      </c>
      <c r="R917" s="49" t="s">
        <v>2099</v>
      </c>
      <c r="S917" s="53" t="n">
        <v>0.5</v>
      </c>
      <c r="T917" s="51" t="n">
        <v>399</v>
      </c>
      <c r="U917" s="56" t="n">
        <f aca="false">I917*O917</f>
        <v>892.69572</v>
      </c>
      <c r="V917" s="56" t="n">
        <f aca="false">J917*O917</f>
        <v>2678.08716</v>
      </c>
      <c r="W917" s="56" t="n">
        <f aca="false">((I917+J917)/2)*O917</f>
        <v>1785.39144</v>
      </c>
      <c r="X917" s="56" t="n">
        <f aca="false">H917*O917</f>
        <v>2423.302</v>
      </c>
    </row>
    <row r="918" customFormat="false" ht="22.35" hidden="false" customHeight="false" outlineLevel="0" collapsed="false">
      <c r="A918" s="76" t="s">
        <v>2063</v>
      </c>
      <c r="B918" s="7" t="s">
        <v>3535</v>
      </c>
      <c r="C918" s="7" t="s">
        <v>2190</v>
      </c>
      <c r="D918" s="7" t="s">
        <v>2101</v>
      </c>
      <c r="E918" s="57" t="s">
        <v>2102</v>
      </c>
      <c r="F918" s="7" t="s">
        <v>2097</v>
      </c>
      <c r="G918" s="7" t="s">
        <v>2097</v>
      </c>
      <c r="H918" s="9" t="n">
        <v>1627</v>
      </c>
      <c r="I918" s="9" t="n">
        <v>1389.08</v>
      </c>
      <c r="J918" s="9" t="n">
        <v>4167.24</v>
      </c>
      <c r="K918" s="52" t="n">
        <v>9850</v>
      </c>
      <c r="L918" s="58" t="n">
        <v>51.2</v>
      </c>
      <c r="M918" s="59" t="n">
        <v>33.3</v>
      </c>
      <c r="N918" s="9" t="n">
        <v>54.261017</v>
      </c>
      <c r="O918" s="8" t="n">
        <v>5.87</v>
      </c>
      <c r="P918" s="9" t="n">
        <v>-2540.24</v>
      </c>
      <c r="Q918" s="7" t="s">
        <v>2103</v>
      </c>
      <c r="R918" s="7" t="s">
        <v>2099</v>
      </c>
      <c r="S918" s="58" t="n">
        <v>0.5</v>
      </c>
      <c r="T918" s="9" t="n">
        <v>9850</v>
      </c>
      <c r="U918" s="56" t="n">
        <f aca="false">I918*O918</f>
        <v>8153.8996</v>
      </c>
      <c r="V918" s="56" t="n">
        <f aca="false">J918*O918</f>
        <v>24461.6988</v>
      </c>
      <c r="W918" s="56" t="n">
        <f aca="false">((I918+J918)/2)*O918</f>
        <v>16307.7992</v>
      </c>
      <c r="X918" s="56" t="n">
        <f aca="false">H918*O918</f>
        <v>9550.49</v>
      </c>
    </row>
    <row r="919" customFormat="false" ht="22.35" hidden="false" customHeight="false" outlineLevel="0" collapsed="false">
      <c r="A919" s="76" t="s">
        <v>2063</v>
      </c>
      <c r="B919" s="49" t="s">
        <v>2166</v>
      </c>
      <c r="C919" s="49" t="s">
        <v>1542</v>
      </c>
      <c r="D919" s="49" t="s">
        <v>2101</v>
      </c>
      <c r="E919" s="57" t="s">
        <v>2102</v>
      </c>
      <c r="F919" s="49" t="s">
        <v>2097</v>
      </c>
      <c r="G919" s="49" t="s">
        <v>2097</v>
      </c>
      <c r="H919" s="51" t="n">
        <v>88</v>
      </c>
      <c r="I919" s="51" t="n">
        <v>50.12</v>
      </c>
      <c r="J919" s="51" t="n">
        <v>150.36</v>
      </c>
      <c r="K919" s="52" t="n">
        <v>440</v>
      </c>
      <c r="L919" s="53" t="n">
        <v>30.7</v>
      </c>
      <c r="M919" s="54" t="n">
        <v>75.9</v>
      </c>
      <c r="N919" s="51" t="n">
        <v>3.265205</v>
      </c>
      <c r="O919" s="55" t="n">
        <v>22.8152</v>
      </c>
      <c r="P919" s="51" t="n">
        <v>-62.36</v>
      </c>
      <c r="Q919" s="49" t="s">
        <v>2103</v>
      </c>
      <c r="R919" s="49" t="s">
        <v>2099</v>
      </c>
      <c r="S919" s="53" t="n">
        <v>0.5</v>
      </c>
      <c r="T919" s="51" t="n">
        <v>440</v>
      </c>
      <c r="U919" s="56" t="n">
        <f aca="false">I919*O919</f>
        <v>1143.497824</v>
      </c>
      <c r="V919" s="56" t="n">
        <f aca="false">J919*O919</f>
        <v>3430.493472</v>
      </c>
      <c r="W919" s="56" t="n">
        <f aca="false">((I919+J919)/2)*O919</f>
        <v>2286.995648</v>
      </c>
      <c r="X919" s="56" t="n">
        <f aca="false">H919*O919</f>
        <v>2007.7376</v>
      </c>
    </row>
    <row r="920" customFormat="false" ht="22.35" hidden="false" customHeight="false" outlineLevel="0" collapsed="false">
      <c r="A920" s="76" t="s">
        <v>2063</v>
      </c>
      <c r="B920" s="4" t="s">
        <v>3536</v>
      </c>
      <c r="C920" s="4" t="s">
        <v>3537</v>
      </c>
      <c r="D920" s="4" t="s">
        <v>2101</v>
      </c>
      <c r="E920" s="70" t="s">
        <v>2193</v>
      </c>
      <c r="F920" s="4" t="s">
        <v>2097</v>
      </c>
      <c r="G920" s="71" t="s">
        <v>2194</v>
      </c>
      <c r="H920" s="6" t="n">
        <v>26</v>
      </c>
      <c r="I920" s="6" t="n">
        <v>0</v>
      </c>
      <c r="J920" s="6" t="n">
        <v>0</v>
      </c>
      <c r="K920" s="52" t="n">
        <v>0</v>
      </c>
      <c r="L920" s="72" t="n">
        <v>13.2</v>
      </c>
      <c r="M920" s="73" t="n">
        <v>50</v>
      </c>
      <c r="N920" s="6" t="n">
        <v>0.178795</v>
      </c>
      <c r="O920" s="5" t="n">
        <v>19.7064</v>
      </c>
      <c r="P920" s="6" t="n">
        <v>26</v>
      </c>
      <c r="Q920" s="4" t="s">
        <v>2098</v>
      </c>
      <c r="R920" s="4" t="s">
        <v>2195</v>
      </c>
      <c r="S920" s="72" t="n">
        <v>0</v>
      </c>
      <c r="T920" s="6" t="n">
        <v>33</v>
      </c>
      <c r="U920" s="56" t="n">
        <f aca="false">I920*O920</f>
        <v>0</v>
      </c>
      <c r="V920" s="56" t="n">
        <f aca="false">J920*O920</f>
        <v>0</v>
      </c>
      <c r="W920" s="56" t="n">
        <f aca="false">((I920+J920)/2)*O920</f>
        <v>0</v>
      </c>
      <c r="X920" s="56" t="n">
        <f aca="false">H920*O920</f>
        <v>512.3664</v>
      </c>
    </row>
    <row r="921" customFormat="false" ht="22.35" hidden="false" customHeight="false" outlineLevel="0" collapsed="false">
      <c r="A921" s="76" t="s">
        <v>2063</v>
      </c>
      <c r="B921" s="49" t="s">
        <v>3538</v>
      </c>
      <c r="C921" s="49" t="s">
        <v>1531</v>
      </c>
      <c r="D921" s="49" t="s">
        <v>2101</v>
      </c>
      <c r="E921" s="57" t="s">
        <v>2102</v>
      </c>
      <c r="F921" s="49" t="s">
        <v>2097</v>
      </c>
      <c r="G921" s="49" t="s">
        <v>2097</v>
      </c>
      <c r="H921" s="51" t="n">
        <v>273</v>
      </c>
      <c r="I921" s="51" t="n">
        <v>178.82</v>
      </c>
      <c r="J921" s="51" t="n">
        <v>536.47</v>
      </c>
      <c r="K921" s="52" t="n">
        <v>900</v>
      </c>
      <c r="L921" s="53" t="n">
        <v>29.9</v>
      </c>
      <c r="M921" s="54" t="n">
        <v>64.7</v>
      </c>
      <c r="N921" s="51" t="n">
        <v>11.96149</v>
      </c>
      <c r="O921" s="55" t="n">
        <v>3.8171</v>
      </c>
      <c r="P921" s="51" t="n">
        <v>-263.47</v>
      </c>
      <c r="Q921" s="49" t="s">
        <v>2103</v>
      </c>
      <c r="R921" s="49" t="s">
        <v>2099</v>
      </c>
      <c r="S921" s="53" t="n">
        <v>0.5</v>
      </c>
      <c r="T921" s="51" t="n">
        <v>450</v>
      </c>
      <c r="U921" s="56" t="n">
        <f aca="false">I921*O921</f>
        <v>682.573822</v>
      </c>
      <c r="V921" s="56" t="n">
        <f aca="false">J921*O921</f>
        <v>2047.759637</v>
      </c>
      <c r="W921" s="56" t="n">
        <f aca="false">((I921+J921)/2)*O921</f>
        <v>1365.1667295</v>
      </c>
      <c r="X921" s="56" t="n">
        <f aca="false">H921*O921</f>
        <v>1042.0683</v>
      </c>
    </row>
    <row r="922" customFormat="false" ht="22.35" hidden="false" customHeight="false" outlineLevel="0" collapsed="false">
      <c r="A922" s="76" t="s">
        <v>2063</v>
      </c>
      <c r="B922" s="7" t="s">
        <v>3539</v>
      </c>
      <c r="C922" s="7" t="s">
        <v>3540</v>
      </c>
      <c r="D922" s="7" t="s">
        <v>2101</v>
      </c>
      <c r="E922" s="57" t="s">
        <v>2102</v>
      </c>
      <c r="F922" s="7" t="s">
        <v>2097</v>
      </c>
      <c r="G922" s="7" t="s">
        <v>2097</v>
      </c>
      <c r="H922" s="9" t="n">
        <v>2816</v>
      </c>
      <c r="I922" s="9" t="n">
        <v>1206.46</v>
      </c>
      <c r="J922" s="9" t="n">
        <v>3619.38</v>
      </c>
      <c r="K922" s="52" t="n">
        <v>4232</v>
      </c>
      <c r="L922" s="58" t="n">
        <v>20</v>
      </c>
      <c r="M922" s="59" t="n">
        <v>82.5</v>
      </c>
      <c r="N922" s="9" t="n">
        <v>120.6462</v>
      </c>
      <c r="O922" s="8" t="n">
        <v>3.77</v>
      </c>
      <c r="P922" s="9" t="n">
        <v>-803.38</v>
      </c>
      <c r="Q922" s="7" t="s">
        <v>2103</v>
      </c>
      <c r="R922" s="7" t="s">
        <v>2099</v>
      </c>
      <c r="S922" s="58" t="n">
        <v>0.5</v>
      </c>
      <c r="T922" s="9" t="n">
        <v>4232</v>
      </c>
      <c r="U922" s="56" t="n">
        <f aca="false">I922*O922</f>
        <v>4548.3542</v>
      </c>
      <c r="V922" s="56" t="n">
        <f aca="false">J922*O922</f>
        <v>13645.0626</v>
      </c>
      <c r="W922" s="56" t="n">
        <f aca="false">((I922+J922)/2)*O922</f>
        <v>9096.7084</v>
      </c>
      <c r="X922" s="56" t="n">
        <f aca="false">H922*O922</f>
        <v>10616.32</v>
      </c>
    </row>
    <row r="923" customFormat="false" ht="22.35" hidden="false" customHeight="false" outlineLevel="0" collapsed="false">
      <c r="A923" s="76" t="s">
        <v>2063</v>
      </c>
      <c r="B923" s="49" t="s">
        <v>2172</v>
      </c>
      <c r="C923" s="49" t="s">
        <v>2173</v>
      </c>
      <c r="D923" s="49" t="s">
        <v>2101</v>
      </c>
      <c r="E923" s="57" t="s">
        <v>2102</v>
      </c>
      <c r="F923" s="49" t="s">
        <v>2097</v>
      </c>
      <c r="G923" s="49" t="s">
        <v>2097</v>
      </c>
      <c r="H923" s="51" t="n">
        <v>80</v>
      </c>
      <c r="I923" s="51" t="n">
        <v>55.45</v>
      </c>
      <c r="J923" s="51" t="n">
        <v>166.35</v>
      </c>
      <c r="K923" s="52" t="n">
        <v>166.35</v>
      </c>
      <c r="L923" s="53" t="n">
        <v>28.4</v>
      </c>
      <c r="M923" s="54" t="n">
        <v>74.3</v>
      </c>
      <c r="N923" s="51" t="n">
        <v>3.904945</v>
      </c>
      <c r="O923" s="55" t="n">
        <v>9.34</v>
      </c>
      <c r="P923" s="51" t="n">
        <v>-86.35</v>
      </c>
      <c r="Q923" s="49" t="s">
        <v>2103</v>
      </c>
      <c r="R923" s="49" t="s">
        <v>2099</v>
      </c>
      <c r="S923" s="53" t="n">
        <v>0.5</v>
      </c>
      <c r="T923" s="51" t="n">
        <v>1</v>
      </c>
      <c r="U923" s="56" t="n">
        <f aca="false">I923*O923</f>
        <v>517.903</v>
      </c>
      <c r="V923" s="56" t="n">
        <f aca="false">J923*O923</f>
        <v>1553.709</v>
      </c>
      <c r="W923" s="56" t="n">
        <f aca="false">((I923+J923)/2)*O923</f>
        <v>1035.806</v>
      </c>
      <c r="X923" s="56" t="n">
        <f aca="false">H923*O923</f>
        <v>747.2</v>
      </c>
    </row>
    <row r="924" customFormat="false" ht="22.35" hidden="false" customHeight="false" outlineLevel="0" collapsed="false">
      <c r="A924" s="76" t="s">
        <v>2063</v>
      </c>
      <c r="B924" s="7" t="s">
        <v>3541</v>
      </c>
      <c r="C924" s="7" t="s">
        <v>3542</v>
      </c>
      <c r="D924" s="7" t="s">
        <v>2101</v>
      </c>
      <c r="E924" s="57" t="s">
        <v>2102</v>
      </c>
      <c r="F924" s="7" t="s">
        <v>2097</v>
      </c>
      <c r="G924" s="7" t="s">
        <v>2097</v>
      </c>
      <c r="H924" s="9" t="n">
        <v>143</v>
      </c>
      <c r="I924" s="9" t="n">
        <v>86.18</v>
      </c>
      <c r="J924" s="9" t="n">
        <v>258.54</v>
      </c>
      <c r="K924" s="52" t="n">
        <v>399</v>
      </c>
      <c r="L924" s="58" t="n">
        <v>34.2</v>
      </c>
      <c r="M924" s="59" t="n">
        <v>58.3</v>
      </c>
      <c r="N924" s="9" t="n">
        <v>5.039668</v>
      </c>
      <c r="O924" s="8" t="n">
        <v>8.01</v>
      </c>
      <c r="P924" s="9" t="n">
        <v>-115.54</v>
      </c>
      <c r="Q924" s="7" t="s">
        <v>2103</v>
      </c>
      <c r="R924" s="7" t="s">
        <v>2099</v>
      </c>
      <c r="S924" s="58" t="n">
        <v>0.5</v>
      </c>
      <c r="T924" s="9" t="n">
        <v>399</v>
      </c>
      <c r="U924" s="56" t="n">
        <f aca="false">I924*O924</f>
        <v>690.3018</v>
      </c>
      <c r="V924" s="56" t="n">
        <f aca="false">J924*O924</f>
        <v>2070.9054</v>
      </c>
      <c r="W924" s="56" t="n">
        <f aca="false">((I924+J924)/2)*O924</f>
        <v>1380.6036</v>
      </c>
      <c r="X924" s="56" t="n">
        <f aca="false">H924*O924</f>
        <v>1145.43</v>
      </c>
    </row>
    <row r="925" customFormat="false" ht="22.35" hidden="false" customHeight="false" outlineLevel="0" collapsed="false">
      <c r="A925" s="76" t="s">
        <v>2063</v>
      </c>
      <c r="B925" s="49" t="s">
        <v>2174</v>
      </c>
      <c r="C925" s="49" t="s">
        <v>2175</v>
      </c>
      <c r="D925" s="49" t="s">
        <v>2101</v>
      </c>
      <c r="E925" s="57" t="s">
        <v>2102</v>
      </c>
      <c r="F925" s="49" t="s">
        <v>2097</v>
      </c>
      <c r="G925" s="49" t="s">
        <v>2097</v>
      </c>
      <c r="H925" s="51" t="n">
        <v>373</v>
      </c>
      <c r="I925" s="51" t="n">
        <v>275.85</v>
      </c>
      <c r="J925" s="51" t="n">
        <v>827.55</v>
      </c>
      <c r="K925" s="52" t="n">
        <v>1197</v>
      </c>
      <c r="L925" s="53" t="n">
        <v>35.2</v>
      </c>
      <c r="M925" s="54" t="n">
        <v>88.4</v>
      </c>
      <c r="N925" s="51" t="n">
        <v>15.673384</v>
      </c>
      <c r="O925" s="55" t="n">
        <v>4.52</v>
      </c>
      <c r="P925" s="51" t="n">
        <v>-454.55</v>
      </c>
      <c r="Q925" s="49" t="s">
        <v>2103</v>
      </c>
      <c r="R925" s="49" t="s">
        <v>2099</v>
      </c>
      <c r="S925" s="53" t="n">
        <v>0.5</v>
      </c>
      <c r="T925" s="51" t="n">
        <v>399</v>
      </c>
      <c r="U925" s="56" t="n">
        <f aca="false">I925*O925</f>
        <v>1246.842</v>
      </c>
      <c r="V925" s="56" t="n">
        <f aca="false">J925*O925</f>
        <v>3740.526</v>
      </c>
      <c r="W925" s="56" t="n">
        <f aca="false">((I925+J925)/2)*O925</f>
        <v>2493.684</v>
      </c>
      <c r="X925" s="56" t="n">
        <f aca="false">H925*O925</f>
        <v>1685.96</v>
      </c>
    </row>
    <row r="926" customFormat="false" ht="22.35" hidden="false" customHeight="false" outlineLevel="0" collapsed="false">
      <c r="A926" s="76" t="s">
        <v>2063</v>
      </c>
      <c r="B926" s="4" t="s">
        <v>3543</v>
      </c>
      <c r="C926" s="4" t="s">
        <v>3544</v>
      </c>
      <c r="D926" s="4" t="s">
        <v>2101</v>
      </c>
      <c r="E926" s="70" t="s">
        <v>2193</v>
      </c>
      <c r="F926" s="4" t="s">
        <v>2097</v>
      </c>
      <c r="G926" s="71" t="s">
        <v>2194</v>
      </c>
      <c r="H926" s="6" t="n">
        <v>80</v>
      </c>
      <c r="I926" s="6" t="n">
        <v>0</v>
      </c>
      <c r="J926" s="6" t="n">
        <v>0</v>
      </c>
      <c r="K926" s="52" t="n">
        <v>0</v>
      </c>
      <c r="L926" s="72" t="n">
        <v>19.1</v>
      </c>
      <c r="M926" s="73" t="n">
        <v>73.3</v>
      </c>
      <c r="N926" s="6" t="n">
        <v>1.474301</v>
      </c>
      <c r="O926" s="5" t="n">
        <v>7.91</v>
      </c>
      <c r="P926" s="6" t="n">
        <v>80</v>
      </c>
      <c r="Q926" s="4" t="s">
        <v>2098</v>
      </c>
      <c r="R926" s="4" t="s">
        <v>2195</v>
      </c>
      <c r="S926" s="72" t="n">
        <v>0</v>
      </c>
      <c r="T926" s="6" t="n">
        <v>35</v>
      </c>
      <c r="U926" s="56" t="n">
        <f aca="false">I926*O926</f>
        <v>0</v>
      </c>
      <c r="V926" s="56" t="n">
        <f aca="false">J926*O926</f>
        <v>0</v>
      </c>
      <c r="W926" s="56" t="n">
        <f aca="false">((I926+J926)/2)*O926</f>
        <v>0</v>
      </c>
      <c r="X926" s="56" t="n">
        <f aca="false">H926*O926</f>
        <v>632.8</v>
      </c>
    </row>
    <row r="927" customFormat="false" ht="22.35" hidden="false" customHeight="false" outlineLevel="0" collapsed="false">
      <c r="A927" s="76" t="s">
        <v>2063</v>
      </c>
      <c r="B927" s="49" t="s">
        <v>3545</v>
      </c>
      <c r="C927" s="49" t="s">
        <v>1628</v>
      </c>
      <c r="D927" s="49" t="s">
        <v>2101</v>
      </c>
      <c r="E927" s="57" t="s">
        <v>2102</v>
      </c>
      <c r="F927" s="49" t="s">
        <v>2097</v>
      </c>
      <c r="G927" s="49" t="s">
        <v>2097</v>
      </c>
      <c r="H927" s="51" t="n">
        <v>132</v>
      </c>
      <c r="I927" s="51" t="n">
        <v>169.97</v>
      </c>
      <c r="J927" s="51" t="n">
        <v>509.91</v>
      </c>
      <c r="K927" s="52" t="n">
        <v>660</v>
      </c>
      <c r="L927" s="53" t="n">
        <v>32.6</v>
      </c>
      <c r="M927" s="54" t="n">
        <v>72.2</v>
      </c>
      <c r="N927" s="51" t="n">
        <v>10.427696</v>
      </c>
      <c r="O927" s="55" t="n">
        <v>3.693</v>
      </c>
      <c r="P927" s="51" t="n">
        <v>-377.91</v>
      </c>
      <c r="Q927" s="49" t="s">
        <v>2103</v>
      </c>
      <c r="R927" s="49" t="s">
        <v>2099</v>
      </c>
      <c r="S927" s="53" t="n">
        <v>0.5</v>
      </c>
      <c r="T927" s="51" t="n">
        <v>220</v>
      </c>
      <c r="U927" s="56" t="n">
        <f aca="false">I927*O927</f>
        <v>627.69921</v>
      </c>
      <c r="V927" s="56" t="n">
        <f aca="false">J927*O927</f>
        <v>1883.09763</v>
      </c>
      <c r="W927" s="56" t="n">
        <f aca="false">((I927+J927)/2)*O927</f>
        <v>1255.39842</v>
      </c>
      <c r="X927" s="56" t="n">
        <f aca="false">H927*O927</f>
        <v>487.476</v>
      </c>
    </row>
    <row r="928" customFormat="false" ht="22.35" hidden="false" customHeight="false" outlineLevel="0" collapsed="false">
      <c r="A928" s="76" t="s">
        <v>2063</v>
      </c>
      <c r="B928" s="4" t="s">
        <v>3546</v>
      </c>
      <c r="C928" s="4" t="s">
        <v>1531</v>
      </c>
      <c r="D928" s="4" t="s">
        <v>2101</v>
      </c>
      <c r="E928" s="70" t="s">
        <v>2193</v>
      </c>
      <c r="F928" s="4" t="s">
        <v>2097</v>
      </c>
      <c r="G928" s="71" t="s">
        <v>2194</v>
      </c>
      <c r="H928" s="6" t="n">
        <v>40</v>
      </c>
      <c r="I928" s="6" t="n">
        <v>0</v>
      </c>
      <c r="J928" s="6" t="n">
        <v>0</v>
      </c>
      <c r="K928" s="52" t="n">
        <v>0</v>
      </c>
      <c r="L928" s="72" t="n">
        <v>20.2</v>
      </c>
      <c r="M928" s="73" t="n">
        <v>80</v>
      </c>
      <c r="N928" s="6" t="n">
        <v>0.207562</v>
      </c>
      <c r="O928" s="5" t="n">
        <v>18.37</v>
      </c>
      <c r="P928" s="6" t="n">
        <v>40</v>
      </c>
      <c r="Q928" s="4" t="s">
        <v>2098</v>
      </c>
      <c r="R928" s="4" t="s">
        <v>2195</v>
      </c>
      <c r="S928" s="72" t="n">
        <v>0</v>
      </c>
      <c r="T928" s="6" t="n">
        <v>55</v>
      </c>
      <c r="U928" s="56" t="n">
        <f aca="false">I928*O928</f>
        <v>0</v>
      </c>
      <c r="V928" s="56" t="n">
        <f aca="false">J928*O928</f>
        <v>0</v>
      </c>
      <c r="W928" s="56" t="n">
        <f aca="false">((I928+J928)/2)*O928</f>
        <v>0</v>
      </c>
      <c r="X928" s="56" t="n">
        <f aca="false">H928*O928</f>
        <v>734.8</v>
      </c>
    </row>
    <row r="929" customFormat="false" ht="22.35" hidden="false" customHeight="false" outlineLevel="0" collapsed="false">
      <c r="A929" s="76" t="s">
        <v>2063</v>
      </c>
      <c r="B929" s="49" t="s">
        <v>2176</v>
      </c>
      <c r="C929" s="49" t="s">
        <v>1615</v>
      </c>
      <c r="D929" s="49" t="s">
        <v>2109</v>
      </c>
      <c r="E929" s="60" t="s">
        <v>2110</v>
      </c>
      <c r="F929" s="49" t="s">
        <v>2097</v>
      </c>
      <c r="G929" s="49" t="s">
        <v>2097</v>
      </c>
      <c r="H929" s="51" t="n">
        <v>2459</v>
      </c>
      <c r="I929" s="51" t="n">
        <v>6952.86</v>
      </c>
      <c r="J929" s="51" t="n">
        <v>11588.1</v>
      </c>
      <c r="K929" s="52" t="n">
        <v>20000</v>
      </c>
      <c r="L929" s="53" t="n">
        <v>43.4</v>
      </c>
      <c r="M929" s="54" t="n">
        <v>79.2</v>
      </c>
      <c r="N929" s="51" t="n">
        <v>106.802748</v>
      </c>
      <c r="O929" s="55" t="n">
        <v>2.655</v>
      </c>
      <c r="P929" s="51" t="n">
        <v>-9129.1</v>
      </c>
      <c r="Q929" s="49" t="s">
        <v>2103</v>
      </c>
      <c r="R929" s="49" t="s">
        <v>2099</v>
      </c>
      <c r="S929" s="53" t="n">
        <v>1.5</v>
      </c>
      <c r="T929" s="51" t="n">
        <v>10000</v>
      </c>
      <c r="U929" s="56" t="n">
        <f aca="false">I929*O929</f>
        <v>18459.8433</v>
      </c>
      <c r="V929" s="56" t="n">
        <f aca="false">J929*O929</f>
        <v>30766.4055</v>
      </c>
      <c r="W929" s="56" t="n">
        <f aca="false">((I929+J929)/2)*O929</f>
        <v>24613.1244</v>
      </c>
      <c r="X929" s="56" t="n">
        <f aca="false">H929*O929</f>
        <v>6528.645</v>
      </c>
    </row>
    <row r="930" customFormat="false" ht="15" hidden="false" customHeight="false" outlineLevel="0" collapsed="false">
      <c r="A930" s="76" t="s">
        <v>2063</v>
      </c>
      <c r="B930" s="7" t="s">
        <v>2178</v>
      </c>
      <c r="C930" s="7" t="s">
        <v>1617</v>
      </c>
      <c r="D930" s="7" t="s">
        <v>2101</v>
      </c>
      <c r="E930" s="50" t="s">
        <v>2096</v>
      </c>
      <c r="F930" s="7" t="s">
        <v>2097</v>
      </c>
      <c r="G930" s="7" t="s">
        <v>2097</v>
      </c>
      <c r="H930" s="9" t="n">
        <v>40</v>
      </c>
      <c r="I930" s="9" t="n">
        <v>7.03</v>
      </c>
      <c r="J930" s="9" t="n">
        <v>21.09</v>
      </c>
      <c r="K930" s="52" t="n">
        <v>21.09</v>
      </c>
      <c r="L930" s="58" t="n">
        <v>17.5</v>
      </c>
      <c r="M930" s="59" t="n">
        <v>40</v>
      </c>
      <c r="N930" s="9" t="n">
        <v>0.803605</v>
      </c>
      <c r="O930" s="8" t="n">
        <v>9.47</v>
      </c>
      <c r="P930" s="9" t="n">
        <v>18.91</v>
      </c>
      <c r="Q930" s="7" t="s">
        <v>2098</v>
      </c>
      <c r="R930" s="7" t="s">
        <v>2099</v>
      </c>
      <c r="S930" s="58" t="n">
        <v>0.5</v>
      </c>
      <c r="T930" s="9" t="n">
        <v>1</v>
      </c>
      <c r="U930" s="56" t="n">
        <f aca="false">I930*O930</f>
        <v>66.5741</v>
      </c>
      <c r="V930" s="56" t="n">
        <f aca="false">J930*O930</f>
        <v>199.7223</v>
      </c>
      <c r="W930" s="56" t="n">
        <f aca="false">((I930+J930)/2)*O930</f>
        <v>133.1482</v>
      </c>
      <c r="X930" s="56" t="n">
        <f aca="false">H930*O930</f>
        <v>378.8</v>
      </c>
    </row>
    <row r="931" customFormat="false" ht="22.35" hidden="false" customHeight="false" outlineLevel="0" collapsed="false">
      <c r="A931" s="76" t="s">
        <v>2063</v>
      </c>
      <c r="B931" s="4" t="s">
        <v>3547</v>
      </c>
      <c r="C931" s="4" t="s">
        <v>1531</v>
      </c>
      <c r="D931" s="4" t="s">
        <v>2101</v>
      </c>
      <c r="E931" s="70" t="s">
        <v>2193</v>
      </c>
      <c r="F931" s="4" t="s">
        <v>2097</v>
      </c>
      <c r="G931" s="71" t="s">
        <v>2194</v>
      </c>
      <c r="H931" s="6" t="n">
        <v>26</v>
      </c>
      <c r="I931" s="6" t="n">
        <v>0</v>
      </c>
      <c r="J931" s="6" t="n">
        <v>0</v>
      </c>
      <c r="K931" s="52" t="n">
        <v>0</v>
      </c>
      <c r="L931" s="72" t="n">
        <v>17.5</v>
      </c>
      <c r="M931" s="73" t="n">
        <v>70</v>
      </c>
      <c r="N931" s="6" t="n">
        <v>1.070617</v>
      </c>
      <c r="O931" s="5" t="n">
        <v>9.755</v>
      </c>
      <c r="P931" s="6" t="n">
        <v>26</v>
      </c>
      <c r="Q931" s="4" t="s">
        <v>2098</v>
      </c>
      <c r="R931" s="4" t="s">
        <v>2195</v>
      </c>
      <c r="S931" s="72" t="n">
        <v>0</v>
      </c>
      <c r="T931" s="6" t="n">
        <v>132</v>
      </c>
      <c r="U931" s="56" t="n">
        <f aca="false">I931*O931</f>
        <v>0</v>
      </c>
      <c r="V931" s="56" t="n">
        <f aca="false">J931*O931</f>
        <v>0</v>
      </c>
      <c r="W931" s="56" t="n">
        <f aca="false">((I931+J931)/2)*O931</f>
        <v>0</v>
      </c>
      <c r="X931" s="56" t="n">
        <f aca="false">H931*O931</f>
        <v>253.63</v>
      </c>
    </row>
    <row r="932" customFormat="false" ht="15" hidden="false" customHeight="false" outlineLevel="0" collapsed="false">
      <c r="A932" s="76" t="s">
        <v>2063</v>
      </c>
      <c r="B932" s="7" t="s">
        <v>3548</v>
      </c>
      <c r="C932" s="7" t="s">
        <v>1531</v>
      </c>
      <c r="D932" s="7" t="s">
        <v>2101</v>
      </c>
      <c r="E932" s="50" t="s">
        <v>2096</v>
      </c>
      <c r="F932" s="7" t="s">
        <v>2097</v>
      </c>
      <c r="G932" s="7" t="s">
        <v>2097</v>
      </c>
      <c r="H932" s="9" t="n">
        <v>40</v>
      </c>
      <c r="I932" s="9" t="n">
        <v>8.75</v>
      </c>
      <c r="J932" s="9" t="n">
        <v>26.24</v>
      </c>
      <c r="K932" s="52" t="n">
        <v>55</v>
      </c>
      <c r="L932" s="58" t="n">
        <v>25.2</v>
      </c>
      <c r="M932" s="59" t="n">
        <v>40</v>
      </c>
      <c r="N932" s="9" t="n">
        <v>0.694192</v>
      </c>
      <c r="O932" s="8" t="n">
        <v>15.5582</v>
      </c>
      <c r="P932" s="9" t="n">
        <v>13.76</v>
      </c>
      <c r="Q932" s="7" t="s">
        <v>2098</v>
      </c>
      <c r="R932" s="7" t="s">
        <v>2099</v>
      </c>
      <c r="S932" s="58" t="n">
        <v>0.5</v>
      </c>
      <c r="T932" s="9" t="n">
        <v>55</v>
      </c>
      <c r="U932" s="56" t="n">
        <f aca="false">I932*O932</f>
        <v>136.13425</v>
      </c>
      <c r="V932" s="56" t="n">
        <f aca="false">J932*O932</f>
        <v>408.247168</v>
      </c>
      <c r="W932" s="56" t="n">
        <f aca="false">((I932+J932)/2)*O932</f>
        <v>272.190709</v>
      </c>
      <c r="X932" s="56" t="n">
        <f aca="false">H932*O932</f>
        <v>622.328</v>
      </c>
    </row>
    <row r="933" customFormat="false" ht="22.35" hidden="false" customHeight="false" outlineLevel="0" collapsed="false">
      <c r="A933" s="76" t="s">
        <v>2063</v>
      </c>
      <c r="B933" s="49" t="s">
        <v>3549</v>
      </c>
      <c r="C933" s="49" t="s">
        <v>1838</v>
      </c>
      <c r="D933" s="49" t="s">
        <v>2095</v>
      </c>
      <c r="E933" s="61" t="s">
        <v>2113</v>
      </c>
      <c r="F933" s="49" t="s">
        <v>2097</v>
      </c>
      <c r="G933" s="49" t="s">
        <v>2097</v>
      </c>
      <c r="H933" s="51" t="n">
        <v>10240</v>
      </c>
      <c r="I933" s="51" t="n">
        <v>22409.14</v>
      </c>
      <c r="J933" s="51" t="n">
        <v>44818.28</v>
      </c>
      <c r="K933" s="52" t="n">
        <v>45000</v>
      </c>
      <c r="L933" s="53" t="n">
        <v>41.3</v>
      </c>
      <c r="M933" s="54" t="n">
        <v>81.5</v>
      </c>
      <c r="N933" s="51" t="n">
        <v>542.594205</v>
      </c>
      <c r="O933" s="55" t="n">
        <v>2.94</v>
      </c>
      <c r="P933" s="51" t="n">
        <v>-34578.28</v>
      </c>
      <c r="Q933" s="49" t="s">
        <v>2103</v>
      </c>
      <c r="R933" s="49" t="s">
        <v>2099</v>
      </c>
      <c r="S933" s="53" t="n">
        <v>1</v>
      </c>
      <c r="T933" s="51" t="n">
        <v>1000</v>
      </c>
      <c r="U933" s="56" t="n">
        <f aca="false">I933*O933</f>
        <v>65882.8716</v>
      </c>
      <c r="V933" s="56" t="n">
        <f aca="false">J933*O933</f>
        <v>131765.7432</v>
      </c>
      <c r="W933" s="56" t="n">
        <f aca="false">((I933+J933)/2)*O933</f>
        <v>98824.3074</v>
      </c>
      <c r="X933" s="56" t="n">
        <f aca="false">H933*O933</f>
        <v>30105.6</v>
      </c>
    </row>
    <row r="934" customFormat="false" ht="22.35" hidden="false" customHeight="false" outlineLevel="0" collapsed="false">
      <c r="A934" s="76" t="s">
        <v>2063</v>
      </c>
      <c r="B934" s="7" t="s">
        <v>3550</v>
      </c>
      <c r="C934" s="7" t="s">
        <v>1617</v>
      </c>
      <c r="D934" s="7" t="s">
        <v>2101</v>
      </c>
      <c r="E934" s="57" t="s">
        <v>2102</v>
      </c>
      <c r="F934" s="7" t="s">
        <v>2097</v>
      </c>
      <c r="G934" s="7" t="s">
        <v>2097</v>
      </c>
      <c r="H934" s="9" t="n">
        <v>391</v>
      </c>
      <c r="I934" s="9" t="n">
        <v>315.3</v>
      </c>
      <c r="J934" s="9" t="n">
        <v>945.89</v>
      </c>
      <c r="K934" s="52" t="n">
        <v>1320</v>
      </c>
      <c r="L934" s="58" t="n">
        <v>48.4</v>
      </c>
      <c r="M934" s="59" t="n">
        <v>77.8</v>
      </c>
      <c r="N934" s="9" t="n">
        <v>13.028783</v>
      </c>
      <c r="O934" s="8" t="n">
        <v>8.4</v>
      </c>
      <c r="P934" s="9" t="n">
        <v>-554.89</v>
      </c>
      <c r="Q934" s="7" t="s">
        <v>2103</v>
      </c>
      <c r="R934" s="7" t="s">
        <v>2099</v>
      </c>
      <c r="S934" s="58" t="n">
        <v>0.5</v>
      </c>
      <c r="T934" s="9" t="n">
        <v>440</v>
      </c>
      <c r="U934" s="56" t="n">
        <f aca="false">I934*O934</f>
        <v>2648.52</v>
      </c>
      <c r="V934" s="56" t="n">
        <f aca="false">J934*O934</f>
        <v>7945.476</v>
      </c>
      <c r="W934" s="56" t="n">
        <f aca="false">((I934+J934)/2)*O934</f>
        <v>5296.998</v>
      </c>
      <c r="X934" s="56" t="n">
        <f aca="false">H934*O934</f>
        <v>3284.4</v>
      </c>
    </row>
    <row r="935" customFormat="false" ht="22.35" hidden="false" customHeight="false" outlineLevel="0" collapsed="false">
      <c r="A935" s="76" t="s">
        <v>2063</v>
      </c>
      <c r="B935" s="49" t="s">
        <v>3551</v>
      </c>
      <c r="C935" s="49" t="s">
        <v>1531</v>
      </c>
      <c r="D935" s="49" t="s">
        <v>2101</v>
      </c>
      <c r="E935" s="57" t="s">
        <v>2102</v>
      </c>
      <c r="F935" s="49" t="s">
        <v>2097</v>
      </c>
      <c r="G935" s="49" t="s">
        <v>2097</v>
      </c>
      <c r="H935" s="51" t="n">
        <v>289</v>
      </c>
      <c r="I935" s="51" t="n">
        <v>170.96</v>
      </c>
      <c r="J935" s="51" t="n">
        <v>512.87</v>
      </c>
      <c r="K935" s="52" t="n">
        <v>816</v>
      </c>
      <c r="L935" s="53" t="n">
        <v>35.7</v>
      </c>
      <c r="M935" s="54" t="n">
        <v>78.9</v>
      </c>
      <c r="N935" s="51" t="n">
        <v>9.57741</v>
      </c>
      <c r="O935" s="55" t="n">
        <v>6.42</v>
      </c>
      <c r="P935" s="51" t="n">
        <v>-223.87</v>
      </c>
      <c r="Q935" s="49" t="s">
        <v>2103</v>
      </c>
      <c r="R935" s="49" t="s">
        <v>2099</v>
      </c>
      <c r="S935" s="53" t="n">
        <v>0.5</v>
      </c>
      <c r="T935" s="51" t="n">
        <v>408</v>
      </c>
      <c r="U935" s="56" t="n">
        <f aca="false">I935*O935</f>
        <v>1097.5632</v>
      </c>
      <c r="V935" s="56" t="n">
        <f aca="false">J935*O935</f>
        <v>3292.6254</v>
      </c>
      <c r="W935" s="56" t="n">
        <f aca="false">((I935+J935)/2)*O935</f>
        <v>2195.0943</v>
      </c>
      <c r="X935" s="56" t="n">
        <f aca="false">H935*O935</f>
        <v>1855.38</v>
      </c>
    </row>
    <row r="936" customFormat="false" ht="22.35" hidden="false" customHeight="false" outlineLevel="0" collapsed="false">
      <c r="A936" s="76" t="s">
        <v>2063</v>
      </c>
      <c r="B936" s="7" t="s">
        <v>3552</v>
      </c>
      <c r="C936" s="7" t="s">
        <v>3540</v>
      </c>
      <c r="D936" s="7" t="s">
        <v>2101</v>
      </c>
      <c r="E936" s="57" t="s">
        <v>2102</v>
      </c>
      <c r="F936" s="7" t="s">
        <v>2097</v>
      </c>
      <c r="G936" s="7" t="s">
        <v>2097</v>
      </c>
      <c r="H936" s="9" t="n">
        <v>170</v>
      </c>
      <c r="I936" s="9" t="n">
        <v>58.6</v>
      </c>
      <c r="J936" s="9" t="n">
        <v>175.81</v>
      </c>
      <c r="K936" s="52" t="n">
        <v>450</v>
      </c>
      <c r="L936" s="58" t="n">
        <v>17.3</v>
      </c>
      <c r="M936" s="59" t="n">
        <v>44.4</v>
      </c>
      <c r="N936" s="9" t="n">
        <v>6.775123</v>
      </c>
      <c r="O936" s="8" t="n">
        <v>4.082</v>
      </c>
      <c r="P936" s="9" t="n">
        <v>-5.81</v>
      </c>
      <c r="Q936" s="7" t="s">
        <v>2103</v>
      </c>
      <c r="R936" s="7" t="s">
        <v>2099</v>
      </c>
      <c r="S936" s="58" t="n">
        <v>0.5</v>
      </c>
      <c r="T936" s="9" t="n">
        <v>450</v>
      </c>
      <c r="U936" s="56" t="n">
        <f aca="false">I936*O936</f>
        <v>239.2052</v>
      </c>
      <c r="V936" s="56" t="n">
        <f aca="false">J936*O936</f>
        <v>717.65642</v>
      </c>
      <c r="W936" s="56" t="n">
        <f aca="false">((I936+J936)/2)*O936</f>
        <v>478.43081</v>
      </c>
      <c r="X936" s="56" t="n">
        <f aca="false">H936*O936</f>
        <v>693.94</v>
      </c>
    </row>
    <row r="937" customFormat="false" ht="22.35" hidden="false" customHeight="false" outlineLevel="0" collapsed="false">
      <c r="A937" s="76" t="s">
        <v>2063</v>
      </c>
      <c r="B937" s="4" t="s">
        <v>3553</v>
      </c>
      <c r="C937" s="4" t="s">
        <v>1531</v>
      </c>
      <c r="D937" s="4" t="s">
        <v>2101</v>
      </c>
      <c r="E937" s="70" t="s">
        <v>2193</v>
      </c>
      <c r="F937" s="4" t="s">
        <v>2097</v>
      </c>
      <c r="G937" s="71" t="s">
        <v>2194</v>
      </c>
      <c r="H937" s="6" t="n">
        <v>28</v>
      </c>
      <c r="I937" s="6" t="n">
        <v>0</v>
      </c>
      <c r="J937" s="6" t="n">
        <v>0</v>
      </c>
      <c r="K937" s="52" t="n">
        <v>0</v>
      </c>
      <c r="L937" s="72" t="n">
        <v>18</v>
      </c>
      <c r="M937" s="73" t="n">
        <v>100</v>
      </c>
      <c r="N937" s="6" t="n">
        <v>0.054192</v>
      </c>
      <c r="O937" s="5" t="n">
        <v>13.6678</v>
      </c>
      <c r="P937" s="6" t="n">
        <v>28</v>
      </c>
      <c r="Q937" s="4" t="s">
        <v>2098</v>
      </c>
      <c r="R937" s="4" t="s">
        <v>2195</v>
      </c>
      <c r="S937" s="72" t="n">
        <v>0</v>
      </c>
      <c r="T937" s="6" t="n">
        <v>40</v>
      </c>
      <c r="U937" s="56" t="n">
        <f aca="false">I937*O937</f>
        <v>0</v>
      </c>
      <c r="V937" s="56" t="n">
        <f aca="false">J937*O937</f>
        <v>0</v>
      </c>
      <c r="W937" s="56" t="n">
        <f aca="false">((I937+J937)/2)*O937</f>
        <v>0</v>
      </c>
      <c r="X937" s="56" t="n">
        <f aca="false">H937*O937</f>
        <v>382.6984</v>
      </c>
    </row>
    <row r="938" customFormat="false" ht="22.35" hidden="false" customHeight="false" outlineLevel="0" collapsed="false">
      <c r="A938" s="76" t="s">
        <v>2063</v>
      </c>
      <c r="B938" s="7" t="s">
        <v>2179</v>
      </c>
      <c r="C938" s="7" t="s">
        <v>1542</v>
      </c>
      <c r="D938" s="7" t="s">
        <v>2101</v>
      </c>
      <c r="E938" s="57" t="s">
        <v>2102</v>
      </c>
      <c r="F938" s="7" t="s">
        <v>2097</v>
      </c>
      <c r="G938" s="7" t="s">
        <v>2097</v>
      </c>
      <c r="H938" s="9" t="n">
        <v>80</v>
      </c>
      <c r="I938" s="9" t="n">
        <v>34.39</v>
      </c>
      <c r="J938" s="9" t="n">
        <v>103.18</v>
      </c>
      <c r="K938" s="52" t="n">
        <v>110</v>
      </c>
      <c r="L938" s="58" t="n">
        <v>25</v>
      </c>
      <c r="M938" s="59" t="n">
        <v>70</v>
      </c>
      <c r="N938" s="9" t="n">
        <v>2.751479</v>
      </c>
      <c r="O938" s="8" t="n">
        <v>14.67</v>
      </c>
      <c r="P938" s="9" t="n">
        <v>-23.18</v>
      </c>
      <c r="Q938" s="7" t="s">
        <v>2103</v>
      </c>
      <c r="R938" s="7" t="s">
        <v>2099</v>
      </c>
      <c r="S938" s="58" t="n">
        <v>0.5</v>
      </c>
      <c r="T938" s="9" t="n">
        <v>55</v>
      </c>
      <c r="U938" s="56" t="n">
        <f aca="false">I938*O938</f>
        <v>504.5013</v>
      </c>
      <c r="V938" s="56" t="n">
        <f aca="false">J938*O938</f>
        <v>1513.6506</v>
      </c>
      <c r="W938" s="56" t="n">
        <f aca="false">((I938+J938)/2)*O938</f>
        <v>1009.07595</v>
      </c>
      <c r="X938" s="56" t="n">
        <f aca="false">H938*O938</f>
        <v>1173.6</v>
      </c>
    </row>
    <row r="939" customFormat="false" ht="15" hidden="false" customHeight="false" outlineLevel="0" collapsed="false">
      <c r="A939" s="76" t="s">
        <v>2063</v>
      </c>
      <c r="B939" s="49" t="s">
        <v>3554</v>
      </c>
      <c r="C939" s="49" t="s">
        <v>1531</v>
      </c>
      <c r="D939" s="49" t="s">
        <v>2101</v>
      </c>
      <c r="E939" s="50" t="s">
        <v>2096</v>
      </c>
      <c r="F939" s="49" t="s">
        <v>2097</v>
      </c>
      <c r="G939" s="49" t="s">
        <v>2097</v>
      </c>
      <c r="H939" s="51" t="n">
        <v>40</v>
      </c>
      <c r="I939" s="51" t="n">
        <v>5.68</v>
      </c>
      <c r="J939" s="51" t="n">
        <v>17.04</v>
      </c>
      <c r="K939" s="52" t="n">
        <v>17.04</v>
      </c>
      <c r="L939" s="53" t="n">
        <v>27.7</v>
      </c>
      <c r="M939" s="54" t="n">
        <v>100</v>
      </c>
      <c r="N939" s="51" t="n">
        <v>0.410107</v>
      </c>
      <c r="O939" s="55" t="n">
        <v>5.63</v>
      </c>
      <c r="P939" s="51" t="n">
        <v>22.96</v>
      </c>
      <c r="Q939" s="49" t="s">
        <v>2098</v>
      </c>
      <c r="R939" s="49" t="s">
        <v>2099</v>
      </c>
      <c r="S939" s="53" t="n">
        <v>0.5</v>
      </c>
      <c r="T939" s="51" t="n">
        <v>1</v>
      </c>
      <c r="U939" s="56" t="n">
        <f aca="false">I939*O939</f>
        <v>31.9784</v>
      </c>
      <c r="V939" s="56" t="n">
        <f aca="false">J939*O939</f>
        <v>95.9352</v>
      </c>
      <c r="W939" s="56" t="n">
        <f aca="false">((I939+J939)/2)*O939</f>
        <v>63.9568</v>
      </c>
      <c r="X939" s="56" t="n">
        <f aca="false">H939*O939</f>
        <v>225.2</v>
      </c>
    </row>
    <row r="940" customFormat="false" ht="15" hidden="false" customHeight="false" outlineLevel="0" collapsed="false">
      <c r="A940" s="76" t="s">
        <v>2063</v>
      </c>
      <c r="B940" s="7" t="s">
        <v>2180</v>
      </c>
      <c r="C940" s="7" t="s">
        <v>2181</v>
      </c>
      <c r="D940" s="7" t="s">
        <v>2101</v>
      </c>
      <c r="E940" s="50" t="s">
        <v>2096</v>
      </c>
      <c r="F940" s="7" t="s">
        <v>2097</v>
      </c>
      <c r="G940" s="7" t="s">
        <v>2097</v>
      </c>
      <c r="H940" s="9" t="n">
        <v>40</v>
      </c>
      <c r="I940" s="9" t="n">
        <v>2.48</v>
      </c>
      <c r="J940" s="9" t="n">
        <v>7.44</v>
      </c>
      <c r="K940" s="52" t="n">
        <v>40</v>
      </c>
      <c r="L940" s="58" t="n">
        <v>22.5</v>
      </c>
      <c r="M940" s="59" t="n">
        <v>94.1</v>
      </c>
      <c r="N940" s="9" t="n">
        <v>0.220315</v>
      </c>
      <c r="O940" s="8" t="n">
        <v>2.02</v>
      </c>
      <c r="P940" s="9" t="n">
        <v>32.56</v>
      </c>
      <c r="Q940" s="7" t="s">
        <v>2098</v>
      </c>
      <c r="R940" s="7" t="s">
        <v>2099</v>
      </c>
      <c r="S940" s="58" t="n">
        <v>0.5</v>
      </c>
      <c r="T940" s="9" t="n">
        <v>40</v>
      </c>
      <c r="U940" s="56" t="n">
        <f aca="false">I940*O940</f>
        <v>5.0096</v>
      </c>
      <c r="V940" s="56" t="n">
        <f aca="false">J940*O940</f>
        <v>15.0288</v>
      </c>
      <c r="W940" s="56" t="n">
        <f aca="false">((I940+J940)/2)*O940</f>
        <v>10.0192</v>
      </c>
      <c r="X940" s="56" t="n">
        <f aca="false">H940*O940</f>
        <v>80.8</v>
      </c>
    </row>
    <row r="941" customFormat="false" ht="15" hidden="false" customHeight="false" outlineLevel="0" collapsed="false">
      <c r="A941" s="76" t="s">
        <v>2063</v>
      </c>
      <c r="B941" s="49" t="s">
        <v>2182</v>
      </c>
      <c r="C941" s="49" t="s">
        <v>1531</v>
      </c>
      <c r="D941" s="49" t="s">
        <v>2101</v>
      </c>
      <c r="E941" s="50" t="s">
        <v>2096</v>
      </c>
      <c r="F941" s="49" t="s">
        <v>2097</v>
      </c>
      <c r="G941" s="49" t="s">
        <v>2097</v>
      </c>
      <c r="H941" s="51" t="n">
        <v>80</v>
      </c>
      <c r="I941" s="51" t="n">
        <v>26.37</v>
      </c>
      <c r="J941" s="51" t="n">
        <v>79.12</v>
      </c>
      <c r="K941" s="52" t="n">
        <v>110</v>
      </c>
      <c r="L941" s="53" t="n">
        <v>25</v>
      </c>
      <c r="M941" s="54" t="n">
        <v>77.8</v>
      </c>
      <c r="N941" s="51" t="n">
        <v>2.109802</v>
      </c>
      <c r="O941" s="55" t="n">
        <v>5.34</v>
      </c>
      <c r="P941" s="51" t="n">
        <v>0.88</v>
      </c>
      <c r="Q941" s="49" t="s">
        <v>2098</v>
      </c>
      <c r="R941" s="49" t="s">
        <v>2099</v>
      </c>
      <c r="S941" s="53" t="n">
        <v>0.5</v>
      </c>
      <c r="T941" s="51" t="n">
        <v>55</v>
      </c>
      <c r="U941" s="56" t="n">
        <f aca="false">I941*O941</f>
        <v>140.8158</v>
      </c>
      <c r="V941" s="56" t="n">
        <f aca="false">J941*O941</f>
        <v>422.5008</v>
      </c>
      <c r="W941" s="56" t="n">
        <f aca="false">((I941+J941)/2)*O941</f>
        <v>281.6583</v>
      </c>
      <c r="X941" s="56" t="n">
        <f aca="false">H941*O941</f>
        <v>427.2</v>
      </c>
    </row>
    <row r="942" customFormat="false" ht="15" hidden="false" customHeight="false" outlineLevel="0" collapsed="false">
      <c r="A942" s="76" t="s">
        <v>2063</v>
      </c>
      <c r="B942" s="7" t="s">
        <v>2183</v>
      </c>
      <c r="C942" s="7" t="s">
        <v>1531</v>
      </c>
      <c r="D942" s="7" t="s">
        <v>2101</v>
      </c>
      <c r="E942" s="50" t="s">
        <v>2096</v>
      </c>
      <c r="F942" s="7" t="s">
        <v>2097</v>
      </c>
      <c r="G942" s="7" t="s">
        <v>2097</v>
      </c>
      <c r="H942" s="9" t="n">
        <v>200</v>
      </c>
      <c r="I942" s="9" t="n">
        <v>5.33</v>
      </c>
      <c r="J942" s="9" t="n">
        <v>15.99</v>
      </c>
      <c r="K942" s="52" t="n">
        <v>425</v>
      </c>
      <c r="L942" s="58" t="n">
        <v>15.8</v>
      </c>
      <c r="M942" s="59" t="n">
        <v>73.7</v>
      </c>
      <c r="N942" s="9" t="n">
        <v>0.674636</v>
      </c>
      <c r="O942" s="8" t="n">
        <v>15.385</v>
      </c>
      <c r="P942" s="9" t="n">
        <v>184.01</v>
      </c>
      <c r="Q942" s="7" t="s">
        <v>2098</v>
      </c>
      <c r="R942" s="7" t="s">
        <v>2099</v>
      </c>
      <c r="S942" s="58" t="n">
        <v>0.5</v>
      </c>
      <c r="T942" s="9" t="n">
        <v>425</v>
      </c>
      <c r="U942" s="56" t="n">
        <f aca="false">I942*O942</f>
        <v>82.00205</v>
      </c>
      <c r="V942" s="56" t="n">
        <f aca="false">J942*O942</f>
        <v>246.00615</v>
      </c>
      <c r="W942" s="56" t="n">
        <f aca="false">((I942+J942)/2)*O942</f>
        <v>164.0041</v>
      </c>
      <c r="X942" s="56" t="n">
        <f aca="false">H942*O942</f>
        <v>3077</v>
      </c>
    </row>
    <row r="943" customFormat="false" ht="22.35" hidden="false" customHeight="false" outlineLevel="0" collapsed="false">
      <c r="A943" s="76" t="s">
        <v>2063</v>
      </c>
      <c r="B943" s="49" t="s">
        <v>3555</v>
      </c>
      <c r="C943" s="49" t="s">
        <v>1615</v>
      </c>
      <c r="D943" s="49" t="s">
        <v>2101</v>
      </c>
      <c r="E943" s="57" t="s">
        <v>2102</v>
      </c>
      <c r="F943" s="49" t="s">
        <v>2097</v>
      </c>
      <c r="G943" s="49" t="s">
        <v>2097</v>
      </c>
      <c r="H943" s="51" t="n">
        <v>99</v>
      </c>
      <c r="I943" s="51" t="n">
        <v>45.09</v>
      </c>
      <c r="J943" s="51" t="n">
        <v>135.26</v>
      </c>
      <c r="K943" s="52" t="n">
        <v>450</v>
      </c>
      <c r="L943" s="53" t="n">
        <v>25.6</v>
      </c>
      <c r="M943" s="54" t="n">
        <v>30</v>
      </c>
      <c r="N943" s="51" t="n">
        <v>3.522438</v>
      </c>
      <c r="O943" s="55" t="n">
        <v>2.06</v>
      </c>
      <c r="P943" s="51" t="n">
        <v>-36.26</v>
      </c>
      <c r="Q943" s="49" t="s">
        <v>2103</v>
      </c>
      <c r="R943" s="49" t="s">
        <v>2099</v>
      </c>
      <c r="S943" s="53" t="n">
        <v>0.5</v>
      </c>
      <c r="T943" s="51" t="n">
        <v>450</v>
      </c>
      <c r="U943" s="56" t="n">
        <f aca="false">I943*O943</f>
        <v>92.8854</v>
      </c>
      <c r="V943" s="56" t="n">
        <f aca="false">J943*O943</f>
        <v>278.6356</v>
      </c>
      <c r="W943" s="56" t="n">
        <f aca="false">((I943+J943)/2)*O943</f>
        <v>185.7605</v>
      </c>
      <c r="X943" s="56" t="n">
        <f aca="false">H943*O943</f>
        <v>203.94</v>
      </c>
    </row>
    <row r="944" customFormat="false" ht="22.35" hidden="false" customHeight="false" outlineLevel="0" collapsed="false">
      <c r="A944" s="76" t="s">
        <v>2063</v>
      </c>
      <c r="B944" s="4" t="s">
        <v>3556</v>
      </c>
      <c r="C944" s="4" t="s">
        <v>3557</v>
      </c>
      <c r="D944" s="4" t="s">
        <v>2101</v>
      </c>
      <c r="E944" s="70" t="s">
        <v>2193</v>
      </c>
      <c r="F944" s="4" t="s">
        <v>2097</v>
      </c>
      <c r="G944" s="71" t="s">
        <v>2194</v>
      </c>
      <c r="H944" s="6" t="n">
        <v>17</v>
      </c>
      <c r="I944" s="6" t="n">
        <v>0</v>
      </c>
      <c r="J944" s="6" t="n">
        <v>0</v>
      </c>
      <c r="K944" s="52" t="n">
        <v>0</v>
      </c>
      <c r="L944" s="72" t="n">
        <v>35.4</v>
      </c>
      <c r="M944" s="73" t="n">
        <v>20</v>
      </c>
      <c r="N944" s="6" t="n">
        <v>0.073133</v>
      </c>
      <c r="O944" s="5" t="n">
        <v>101.685</v>
      </c>
      <c r="P944" s="6" t="n">
        <v>17</v>
      </c>
      <c r="Q944" s="4" t="s">
        <v>2098</v>
      </c>
      <c r="R944" s="4" t="s">
        <v>2195</v>
      </c>
      <c r="S944" s="72" t="n">
        <v>0</v>
      </c>
      <c r="T944" s="6" t="n">
        <v>2.2</v>
      </c>
      <c r="U944" s="56" t="n">
        <f aca="false">I944*O944</f>
        <v>0</v>
      </c>
      <c r="V944" s="56" t="n">
        <f aca="false">J944*O944</f>
        <v>0</v>
      </c>
      <c r="W944" s="56" t="n">
        <f aca="false">((I944+J944)/2)*O944</f>
        <v>0</v>
      </c>
      <c r="X944" s="56" t="n">
        <f aca="false">H944*O944</f>
        <v>1728.645</v>
      </c>
    </row>
    <row r="945" customFormat="false" ht="22.35" hidden="false" customHeight="false" outlineLevel="0" collapsed="false">
      <c r="A945" s="76" t="s">
        <v>2063</v>
      </c>
      <c r="B945" s="49" t="s">
        <v>3558</v>
      </c>
      <c r="C945" s="49" t="s">
        <v>2227</v>
      </c>
      <c r="D945" s="49" t="s">
        <v>2101</v>
      </c>
      <c r="E945" s="57" t="s">
        <v>2102</v>
      </c>
      <c r="F945" s="49" t="s">
        <v>2097</v>
      </c>
      <c r="G945" s="49" t="s">
        <v>2097</v>
      </c>
      <c r="H945" s="51" t="n">
        <v>213</v>
      </c>
      <c r="I945" s="51" t="n">
        <v>75.47</v>
      </c>
      <c r="J945" s="51" t="n">
        <v>226.41</v>
      </c>
      <c r="K945" s="52" t="n">
        <v>226.41</v>
      </c>
      <c r="L945" s="53" t="n">
        <v>18.3</v>
      </c>
      <c r="M945" s="54" t="n">
        <v>83.3</v>
      </c>
      <c r="N945" s="51" t="n">
        <v>8.247896</v>
      </c>
      <c r="O945" s="55" t="n">
        <v>7.4233</v>
      </c>
      <c r="P945" s="51" t="n">
        <v>-13.41</v>
      </c>
      <c r="Q945" s="49" t="s">
        <v>2103</v>
      </c>
      <c r="R945" s="49" t="s">
        <v>2099</v>
      </c>
      <c r="S945" s="53" t="n">
        <v>0.5</v>
      </c>
      <c r="T945" s="51" t="n">
        <v>1</v>
      </c>
      <c r="U945" s="56" t="n">
        <f aca="false">I945*O945</f>
        <v>560.236451</v>
      </c>
      <c r="V945" s="56" t="n">
        <f aca="false">J945*O945</f>
        <v>1680.709353</v>
      </c>
      <c r="W945" s="56" t="n">
        <f aca="false">((I945+J945)/2)*O945</f>
        <v>1120.472902</v>
      </c>
      <c r="X945" s="56" t="n">
        <f aca="false">H945*O945</f>
        <v>1581.1629</v>
      </c>
    </row>
    <row r="946" customFormat="false" ht="32.8" hidden="false" customHeight="false" outlineLevel="0" collapsed="false">
      <c r="A946" s="76" t="s">
        <v>2063</v>
      </c>
      <c r="B946" s="62" t="s">
        <v>3559</v>
      </c>
      <c r="C946" s="62" t="s">
        <v>1965</v>
      </c>
      <c r="D946" s="62" t="s">
        <v>2101</v>
      </c>
      <c r="E946" s="78" t="s">
        <v>3474</v>
      </c>
      <c r="F946" s="64" t="s">
        <v>2170</v>
      </c>
      <c r="G946" s="62" t="s">
        <v>2097</v>
      </c>
      <c r="H946" s="65" t="n">
        <v>442</v>
      </c>
      <c r="I946" s="65" t="n">
        <v>342.69</v>
      </c>
      <c r="J946" s="65" t="n">
        <v>1028.08</v>
      </c>
      <c r="K946" s="66" t="n">
        <v>1028.08</v>
      </c>
      <c r="L946" s="67" t="n">
        <v>69.6</v>
      </c>
      <c r="M946" s="68" t="n">
        <v>40</v>
      </c>
      <c r="N946" s="65" t="n">
        <v>22.487671</v>
      </c>
      <c r="O946" s="69" t="n">
        <v>3.7536</v>
      </c>
      <c r="P946" s="65" t="n">
        <v>-586.08</v>
      </c>
      <c r="Q946" s="62" t="s">
        <v>2103</v>
      </c>
      <c r="R946" s="62" t="s">
        <v>3560</v>
      </c>
      <c r="S946" s="67" t="n">
        <v>0.5</v>
      </c>
      <c r="T946" s="65" t="n">
        <v>1</v>
      </c>
      <c r="U946" s="56" t="n">
        <f aca="false">I946*O946</f>
        <v>1286.321184</v>
      </c>
      <c r="V946" s="56" t="n">
        <f aca="false">J946*O946</f>
        <v>3859.001088</v>
      </c>
      <c r="W946" s="56" t="n">
        <f aca="false">((I946+J946)/2)*O946</f>
        <v>2572.661136</v>
      </c>
      <c r="X946" s="56" t="n">
        <f aca="false">H946*O946</f>
        <v>1659.0912</v>
      </c>
    </row>
    <row r="947" customFormat="false" ht="22.35" hidden="false" customHeight="false" outlineLevel="0" collapsed="false">
      <c r="A947" s="76" t="s">
        <v>2063</v>
      </c>
      <c r="B947" s="49" t="s">
        <v>3561</v>
      </c>
      <c r="C947" s="49" t="s">
        <v>2168</v>
      </c>
      <c r="D947" s="49" t="s">
        <v>2101</v>
      </c>
      <c r="E947" s="57" t="s">
        <v>2102</v>
      </c>
      <c r="F947" s="49" t="s">
        <v>2097</v>
      </c>
      <c r="G947" s="49" t="s">
        <v>2097</v>
      </c>
      <c r="H947" s="51" t="n">
        <v>804</v>
      </c>
      <c r="I947" s="51" t="n">
        <v>547.16</v>
      </c>
      <c r="J947" s="51" t="n">
        <v>1641.49</v>
      </c>
      <c r="K947" s="52" t="n">
        <v>3000</v>
      </c>
      <c r="L947" s="53" t="n">
        <v>29.1</v>
      </c>
      <c r="M947" s="54" t="n">
        <v>85.7</v>
      </c>
      <c r="N947" s="51" t="n">
        <v>37.605687</v>
      </c>
      <c r="O947" s="55" t="n">
        <v>3.59</v>
      </c>
      <c r="P947" s="51" t="n">
        <v>-837.49</v>
      </c>
      <c r="Q947" s="49" t="s">
        <v>2103</v>
      </c>
      <c r="R947" s="49" t="s">
        <v>2099</v>
      </c>
      <c r="S947" s="53" t="n">
        <v>0.5</v>
      </c>
      <c r="T947" s="51" t="n">
        <v>3000</v>
      </c>
      <c r="U947" s="56" t="n">
        <f aca="false">I947*O947</f>
        <v>1964.3044</v>
      </c>
      <c r="V947" s="56" t="n">
        <f aca="false">J947*O947</f>
        <v>5892.9491</v>
      </c>
      <c r="W947" s="56" t="n">
        <f aca="false">((I947+J947)/2)*O947</f>
        <v>3928.62675</v>
      </c>
      <c r="X947" s="56" t="n">
        <f aca="false">H947*O947</f>
        <v>2886.36</v>
      </c>
    </row>
    <row r="948" customFormat="false" ht="22.35" hidden="false" customHeight="false" outlineLevel="0" collapsed="false">
      <c r="A948" s="76" t="s">
        <v>2063</v>
      </c>
      <c r="B948" s="7" t="s">
        <v>3562</v>
      </c>
      <c r="C948" s="7" t="s">
        <v>1615</v>
      </c>
      <c r="D948" s="7" t="s">
        <v>2101</v>
      </c>
      <c r="E948" s="57" t="s">
        <v>2102</v>
      </c>
      <c r="F948" s="7" t="s">
        <v>2097</v>
      </c>
      <c r="G948" s="7" t="s">
        <v>2097</v>
      </c>
      <c r="H948" s="9" t="n">
        <v>885</v>
      </c>
      <c r="I948" s="9" t="n">
        <v>335.22</v>
      </c>
      <c r="J948" s="9" t="n">
        <v>1005.65</v>
      </c>
      <c r="K948" s="52" t="n">
        <v>1005.65</v>
      </c>
      <c r="L948" s="58" t="n">
        <v>20.6</v>
      </c>
      <c r="M948" s="59" t="n">
        <v>64.3</v>
      </c>
      <c r="N948" s="9" t="n">
        <v>32.545233</v>
      </c>
      <c r="O948" s="8" t="n">
        <v>3.72</v>
      </c>
      <c r="P948" s="9" t="n">
        <v>-120.65</v>
      </c>
      <c r="Q948" s="7" t="s">
        <v>2103</v>
      </c>
      <c r="R948" s="7" t="s">
        <v>2099</v>
      </c>
      <c r="S948" s="58" t="n">
        <v>0.5</v>
      </c>
      <c r="T948" s="9" t="n">
        <v>1</v>
      </c>
      <c r="U948" s="56" t="n">
        <f aca="false">I948*O948</f>
        <v>1247.0184</v>
      </c>
      <c r="V948" s="56" t="n">
        <f aca="false">J948*O948</f>
        <v>3741.018</v>
      </c>
      <c r="W948" s="56" t="n">
        <f aca="false">((I948+J948)/2)*O948</f>
        <v>2494.0182</v>
      </c>
      <c r="X948" s="56" t="n">
        <f aca="false">H948*O948</f>
        <v>3292.2</v>
      </c>
    </row>
    <row r="949" customFormat="false" ht="22.35" hidden="false" customHeight="false" outlineLevel="0" collapsed="false">
      <c r="A949" s="76" t="s">
        <v>2063</v>
      </c>
      <c r="B949" s="4" t="s">
        <v>3563</v>
      </c>
      <c r="C949" s="4" t="s">
        <v>1531</v>
      </c>
      <c r="D949" s="4" t="s">
        <v>2101</v>
      </c>
      <c r="E949" s="70" t="s">
        <v>2193</v>
      </c>
      <c r="F949" s="4" t="s">
        <v>2097</v>
      </c>
      <c r="G949" s="71" t="s">
        <v>2194</v>
      </c>
      <c r="H949" s="6" t="n">
        <v>28</v>
      </c>
      <c r="I949" s="6" t="n">
        <v>0</v>
      </c>
      <c r="J949" s="6" t="n">
        <v>0</v>
      </c>
      <c r="K949" s="52" t="n">
        <v>0</v>
      </c>
      <c r="L949" s="72" t="n">
        <v>10.3</v>
      </c>
      <c r="M949" s="73" t="n">
        <v>100</v>
      </c>
      <c r="N949" s="6" t="n">
        <v>0.097233</v>
      </c>
      <c r="O949" s="5" t="n">
        <v>44.08</v>
      </c>
      <c r="P949" s="6" t="n">
        <v>28</v>
      </c>
      <c r="Q949" s="4" t="s">
        <v>2098</v>
      </c>
      <c r="R949" s="4" t="s">
        <v>2195</v>
      </c>
      <c r="S949" s="72" t="n">
        <v>0</v>
      </c>
      <c r="T949" s="6" t="n">
        <v>44</v>
      </c>
      <c r="U949" s="56" t="n">
        <f aca="false">I949*O949</f>
        <v>0</v>
      </c>
      <c r="V949" s="56" t="n">
        <f aca="false">J949*O949</f>
        <v>0</v>
      </c>
      <c r="W949" s="56" t="n">
        <f aca="false">((I949+J949)/2)*O949</f>
        <v>0</v>
      </c>
      <c r="X949" s="56" t="n">
        <f aca="false">H949*O949</f>
        <v>1234.24</v>
      </c>
    </row>
    <row r="950" customFormat="false" ht="15" hidden="false" customHeight="false" outlineLevel="0" collapsed="false">
      <c r="A950" s="76" t="s">
        <v>2063</v>
      </c>
      <c r="B950" s="7" t="s">
        <v>2187</v>
      </c>
      <c r="C950" s="7" t="s">
        <v>1531</v>
      </c>
      <c r="D950" s="7" t="s">
        <v>2101</v>
      </c>
      <c r="E950" s="50" t="s">
        <v>2096</v>
      </c>
      <c r="F950" s="7" t="s">
        <v>2097</v>
      </c>
      <c r="G950" s="7" t="s">
        <v>2097</v>
      </c>
      <c r="H950" s="9" t="n">
        <v>80</v>
      </c>
      <c r="I950" s="9" t="n">
        <v>10.51</v>
      </c>
      <c r="J950" s="9" t="n">
        <v>31.53</v>
      </c>
      <c r="K950" s="52" t="n">
        <v>31.53</v>
      </c>
      <c r="L950" s="58" t="n">
        <v>32.6</v>
      </c>
      <c r="M950" s="59" t="n">
        <v>50</v>
      </c>
      <c r="N950" s="9" t="n">
        <v>0.644868</v>
      </c>
      <c r="O950" s="8" t="n">
        <v>7.58</v>
      </c>
      <c r="P950" s="9" t="n">
        <v>48.47</v>
      </c>
      <c r="Q950" s="7" t="s">
        <v>2098</v>
      </c>
      <c r="R950" s="7" t="s">
        <v>2099</v>
      </c>
      <c r="S950" s="58" t="n">
        <v>0.5</v>
      </c>
      <c r="T950" s="9" t="n">
        <v>1</v>
      </c>
      <c r="U950" s="56" t="n">
        <f aca="false">I950*O950</f>
        <v>79.6658</v>
      </c>
      <c r="V950" s="56" t="n">
        <f aca="false">J950*O950</f>
        <v>238.9974</v>
      </c>
      <c r="W950" s="56" t="n">
        <f aca="false">((I950+J950)/2)*O950</f>
        <v>159.3316</v>
      </c>
      <c r="X950" s="56" t="n">
        <f aca="false">H950*O950</f>
        <v>606.4</v>
      </c>
    </row>
    <row r="951" customFormat="false" ht="22.35" hidden="false" customHeight="false" outlineLevel="0" collapsed="false">
      <c r="A951" s="76" t="s">
        <v>2063</v>
      </c>
      <c r="B951" s="49" t="s">
        <v>3564</v>
      </c>
      <c r="C951" s="49" t="s">
        <v>3565</v>
      </c>
      <c r="D951" s="49" t="s">
        <v>2109</v>
      </c>
      <c r="E951" s="60" t="s">
        <v>2110</v>
      </c>
      <c r="F951" s="49" t="s">
        <v>2097</v>
      </c>
      <c r="G951" s="49" t="s">
        <v>2097</v>
      </c>
      <c r="H951" s="51" t="n">
        <v>631</v>
      </c>
      <c r="I951" s="51" t="n">
        <v>876.31</v>
      </c>
      <c r="J951" s="51" t="n">
        <v>1460.52</v>
      </c>
      <c r="K951" s="52" t="n">
        <v>2754</v>
      </c>
      <c r="L951" s="53" t="n">
        <v>24.7</v>
      </c>
      <c r="M951" s="54" t="n">
        <v>84.4</v>
      </c>
      <c r="N951" s="51" t="n">
        <v>23.652068</v>
      </c>
      <c r="O951" s="55" t="n">
        <v>0.04</v>
      </c>
      <c r="P951" s="51" t="n">
        <v>-829.52</v>
      </c>
      <c r="Q951" s="49" t="s">
        <v>2103</v>
      </c>
      <c r="R951" s="49" t="s">
        <v>2099</v>
      </c>
      <c r="S951" s="53" t="n">
        <v>1.5</v>
      </c>
      <c r="T951" s="51" t="n">
        <v>2754</v>
      </c>
      <c r="U951" s="56" t="n">
        <f aca="false">I951*O951</f>
        <v>35.0524</v>
      </c>
      <c r="V951" s="56" t="n">
        <f aca="false">J951*O951</f>
        <v>58.4208</v>
      </c>
      <c r="W951" s="56" t="n">
        <f aca="false">((I951+J951)/2)*O951</f>
        <v>46.7366</v>
      </c>
      <c r="X951" s="56" t="n">
        <f aca="false">H951*O951</f>
        <v>25.24</v>
      </c>
    </row>
    <row r="952" customFormat="false" ht="22.35" hidden="false" customHeight="false" outlineLevel="0" collapsed="false">
      <c r="A952" s="76" t="s">
        <v>2063</v>
      </c>
      <c r="B952" s="7" t="s">
        <v>2188</v>
      </c>
      <c r="C952" s="7" t="s">
        <v>1624</v>
      </c>
      <c r="D952" s="7" t="s">
        <v>2101</v>
      </c>
      <c r="E952" s="57" t="s">
        <v>2102</v>
      </c>
      <c r="F952" s="7" t="s">
        <v>2097</v>
      </c>
      <c r="G952" s="7" t="s">
        <v>2097</v>
      </c>
      <c r="H952" s="9" t="n">
        <v>180</v>
      </c>
      <c r="I952" s="9" t="n">
        <v>179.1</v>
      </c>
      <c r="J952" s="9" t="n">
        <v>537.3</v>
      </c>
      <c r="K952" s="52" t="n">
        <v>1680</v>
      </c>
      <c r="L952" s="58" t="n">
        <v>34</v>
      </c>
      <c r="M952" s="59" t="n">
        <v>82</v>
      </c>
      <c r="N952" s="9" t="n">
        <v>10.535263</v>
      </c>
      <c r="O952" s="8" t="n">
        <v>3.54</v>
      </c>
      <c r="P952" s="9" t="n">
        <v>-357.3</v>
      </c>
      <c r="Q952" s="7" t="s">
        <v>2103</v>
      </c>
      <c r="R952" s="7" t="s">
        <v>2099</v>
      </c>
      <c r="S952" s="58" t="n">
        <v>0.5</v>
      </c>
      <c r="T952" s="9" t="n">
        <v>1680</v>
      </c>
      <c r="U952" s="56" t="n">
        <f aca="false">I952*O952</f>
        <v>634.014</v>
      </c>
      <c r="V952" s="56" t="n">
        <f aca="false">J952*O952</f>
        <v>1902.042</v>
      </c>
      <c r="W952" s="56" t="n">
        <f aca="false">((I952+J952)/2)*O952</f>
        <v>1268.028</v>
      </c>
      <c r="X952" s="56" t="n">
        <f aca="false">H952*O952</f>
        <v>637.2</v>
      </c>
    </row>
    <row r="953" customFormat="false" ht="22.35" hidden="false" customHeight="false" outlineLevel="0" collapsed="false">
      <c r="A953" s="76" t="s">
        <v>2063</v>
      </c>
      <c r="B953" s="49" t="s">
        <v>2189</v>
      </c>
      <c r="C953" s="49" t="s">
        <v>2190</v>
      </c>
      <c r="D953" s="49" t="s">
        <v>2101</v>
      </c>
      <c r="E953" s="57" t="s">
        <v>2102</v>
      </c>
      <c r="F953" s="49" t="s">
        <v>2097</v>
      </c>
      <c r="G953" s="49" t="s">
        <v>2097</v>
      </c>
      <c r="H953" s="51" t="n">
        <v>156</v>
      </c>
      <c r="I953" s="51" t="n">
        <v>115.3</v>
      </c>
      <c r="J953" s="51" t="n">
        <v>345.91</v>
      </c>
      <c r="K953" s="52" t="n">
        <v>375</v>
      </c>
      <c r="L953" s="53" t="n">
        <v>21.5</v>
      </c>
      <c r="M953" s="54" t="n">
        <v>80</v>
      </c>
      <c r="N953" s="51" t="n">
        <v>10.725866</v>
      </c>
      <c r="O953" s="55" t="n">
        <v>4.007</v>
      </c>
      <c r="P953" s="51" t="n">
        <v>-189.91</v>
      </c>
      <c r="Q953" s="49" t="s">
        <v>2103</v>
      </c>
      <c r="R953" s="49" t="s">
        <v>2099</v>
      </c>
      <c r="S953" s="53" t="n">
        <v>0.5</v>
      </c>
      <c r="T953" s="51" t="n">
        <v>375</v>
      </c>
      <c r="U953" s="56" t="n">
        <f aca="false">I953*O953</f>
        <v>462.0071</v>
      </c>
      <c r="V953" s="56" t="n">
        <f aca="false">J953*O953</f>
        <v>1386.06137</v>
      </c>
      <c r="W953" s="56" t="n">
        <f aca="false">((I953+J953)/2)*O953</f>
        <v>924.034235</v>
      </c>
      <c r="X953" s="56" t="n">
        <f aca="false">H953*O953</f>
        <v>625.092</v>
      </c>
    </row>
    <row r="954" customFormat="false" ht="22.35" hidden="false" customHeight="false" outlineLevel="0" collapsed="false">
      <c r="A954" s="76" t="s">
        <v>2063</v>
      </c>
      <c r="B954" s="7" t="s">
        <v>3566</v>
      </c>
      <c r="C954" s="7" t="s">
        <v>1531</v>
      </c>
      <c r="D954" s="7" t="s">
        <v>2101</v>
      </c>
      <c r="E954" s="57" t="s">
        <v>2102</v>
      </c>
      <c r="F954" s="7" t="s">
        <v>2097</v>
      </c>
      <c r="G954" s="7" t="s">
        <v>2097</v>
      </c>
      <c r="H954" s="9" t="n">
        <v>104</v>
      </c>
      <c r="I954" s="9" t="n">
        <v>50.68</v>
      </c>
      <c r="J954" s="9" t="n">
        <v>152.03</v>
      </c>
      <c r="K954" s="52" t="n">
        <v>220</v>
      </c>
      <c r="L954" s="58" t="n">
        <v>24.5</v>
      </c>
      <c r="M954" s="59" t="n">
        <v>59.1</v>
      </c>
      <c r="N954" s="9" t="n">
        <v>4.136829</v>
      </c>
      <c r="O954" s="8" t="n">
        <v>7.91</v>
      </c>
      <c r="P954" s="9" t="n">
        <v>-48.03</v>
      </c>
      <c r="Q954" s="7" t="s">
        <v>2103</v>
      </c>
      <c r="R954" s="7" t="s">
        <v>2099</v>
      </c>
      <c r="S954" s="58" t="n">
        <v>0.5</v>
      </c>
      <c r="T954" s="9" t="n">
        <v>110</v>
      </c>
      <c r="U954" s="56" t="n">
        <f aca="false">I954*O954</f>
        <v>400.8788</v>
      </c>
      <c r="V954" s="56" t="n">
        <f aca="false">J954*O954</f>
        <v>1202.5573</v>
      </c>
      <c r="W954" s="56" t="n">
        <f aca="false">((I954+J954)/2)*O954</f>
        <v>801.71805</v>
      </c>
      <c r="X954" s="56" t="n">
        <f aca="false">H954*O954</f>
        <v>822.64</v>
      </c>
    </row>
    <row r="955" customFormat="false" ht="22.35" hidden="false" customHeight="false" outlineLevel="0" collapsed="false">
      <c r="A955" s="76" t="s">
        <v>2063</v>
      </c>
      <c r="B955" s="49" t="s">
        <v>2197</v>
      </c>
      <c r="C955" s="49" t="s">
        <v>1624</v>
      </c>
      <c r="D955" s="49" t="s">
        <v>2101</v>
      </c>
      <c r="E955" s="57" t="s">
        <v>2102</v>
      </c>
      <c r="F955" s="49" t="s">
        <v>2097</v>
      </c>
      <c r="G955" s="49" t="s">
        <v>2097</v>
      </c>
      <c r="H955" s="51" t="n">
        <v>295</v>
      </c>
      <c r="I955" s="51" t="n">
        <v>228.41</v>
      </c>
      <c r="J955" s="51" t="n">
        <v>685.23</v>
      </c>
      <c r="K955" s="52" t="n">
        <v>794</v>
      </c>
      <c r="L955" s="53" t="n">
        <v>33.7</v>
      </c>
      <c r="M955" s="54" t="n">
        <v>68</v>
      </c>
      <c r="N955" s="51" t="n">
        <v>13.55559</v>
      </c>
      <c r="O955" s="55" t="n">
        <v>1.77</v>
      </c>
      <c r="P955" s="51" t="n">
        <v>-390.23</v>
      </c>
      <c r="Q955" s="49" t="s">
        <v>2103</v>
      </c>
      <c r="R955" s="49" t="s">
        <v>2099</v>
      </c>
      <c r="S955" s="53" t="n">
        <v>0.5</v>
      </c>
      <c r="T955" s="51" t="n">
        <v>794</v>
      </c>
      <c r="U955" s="56" t="n">
        <f aca="false">I955*O955</f>
        <v>404.2857</v>
      </c>
      <c r="V955" s="56" t="n">
        <f aca="false">J955*O955</f>
        <v>1212.8571</v>
      </c>
      <c r="W955" s="56" t="n">
        <f aca="false">((I955+J955)/2)*O955</f>
        <v>808.5714</v>
      </c>
      <c r="X955" s="56" t="n">
        <f aca="false">H955*O955</f>
        <v>522.15</v>
      </c>
    </row>
    <row r="956" customFormat="false" ht="22.35" hidden="false" customHeight="false" outlineLevel="0" collapsed="false">
      <c r="A956" s="76" t="s">
        <v>2063</v>
      </c>
      <c r="B956" s="7" t="s">
        <v>3567</v>
      </c>
      <c r="C956" s="7" t="s">
        <v>3568</v>
      </c>
      <c r="D956" s="7" t="s">
        <v>2101</v>
      </c>
      <c r="E956" s="57" t="s">
        <v>2102</v>
      </c>
      <c r="F956" s="7" t="s">
        <v>2097</v>
      </c>
      <c r="G956" s="7" t="s">
        <v>2097</v>
      </c>
      <c r="H956" s="9" t="n">
        <v>251</v>
      </c>
      <c r="I956" s="9" t="n">
        <v>184.17</v>
      </c>
      <c r="J956" s="9" t="n">
        <v>552.51</v>
      </c>
      <c r="K956" s="52" t="n">
        <v>820</v>
      </c>
      <c r="L956" s="58" t="n">
        <v>28.1</v>
      </c>
      <c r="M956" s="59" t="n">
        <v>64.3</v>
      </c>
      <c r="N956" s="9" t="n">
        <v>13.108151</v>
      </c>
      <c r="O956" s="8" t="n">
        <v>3.25</v>
      </c>
      <c r="P956" s="9" t="n">
        <v>-301.51</v>
      </c>
      <c r="Q956" s="7" t="s">
        <v>2103</v>
      </c>
      <c r="R956" s="7" t="s">
        <v>2099</v>
      </c>
      <c r="S956" s="58" t="n">
        <v>0.5</v>
      </c>
      <c r="T956" s="9" t="n">
        <v>410</v>
      </c>
      <c r="U956" s="56" t="n">
        <f aca="false">I956*O956</f>
        <v>598.5525</v>
      </c>
      <c r="V956" s="56" t="n">
        <f aca="false">J956*O956</f>
        <v>1795.6575</v>
      </c>
      <c r="W956" s="56" t="n">
        <f aca="false">((I956+J956)/2)*O956</f>
        <v>1197.105</v>
      </c>
      <c r="X956" s="56" t="n">
        <f aca="false">H956*O956</f>
        <v>815.75</v>
      </c>
    </row>
    <row r="957" customFormat="false" ht="15" hidden="false" customHeight="false" outlineLevel="0" collapsed="false">
      <c r="A957" s="76" t="s">
        <v>2063</v>
      </c>
      <c r="B957" s="49" t="s">
        <v>3569</v>
      </c>
      <c r="C957" s="49" t="s">
        <v>3570</v>
      </c>
      <c r="D957" s="49" t="s">
        <v>2101</v>
      </c>
      <c r="E957" s="50" t="s">
        <v>2096</v>
      </c>
      <c r="F957" s="49" t="s">
        <v>2097</v>
      </c>
      <c r="G957" s="49" t="s">
        <v>2097</v>
      </c>
      <c r="H957" s="51" t="n">
        <v>1104</v>
      </c>
      <c r="I957" s="51" t="n">
        <v>303.97</v>
      </c>
      <c r="J957" s="51" t="n">
        <v>911.92</v>
      </c>
      <c r="K957" s="52" t="n">
        <v>2204</v>
      </c>
      <c r="L957" s="53" t="n">
        <v>16.5</v>
      </c>
      <c r="M957" s="54" t="n">
        <v>88.2</v>
      </c>
      <c r="N957" s="51" t="n">
        <v>36.845233</v>
      </c>
      <c r="O957" s="55" t="n">
        <v>0.63</v>
      </c>
      <c r="P957" s="51" t="n">
        <v>192.08</v>
      </c>
      <c r="Q957" s="49" t="s">
        <v>2098</v>
      </c>
      <c r="R957" s="49" t="s">
        <v>2099</v>
      </c>
      <c r="S957" s="53" t="n">
        <v>0.5</v>
      </c>
      <c r="T957" s="51" t="n">
        <v>2204</v>
      </c>
      <c r="U957" s="56" t="n">
        <f aca="false">I957*O957</f>
        <v>191.5011</v>
      </c>
      <c r="V957" s="56" t="n">
        <f aca="false">J957*O957</f>
        <v>574.5096</v>
      </c>
      <c r="W957" s="56" t="n">
        <f aca="false">((I957+J957)/2)*O957</f>
        <v>383.00535</v>
      </c>
      <c r="X957" s="56" t="n">
        <f aca="false">H957*O957</f>
        <v>695.52</v>
      </c>
    </row>
    <row r="958" customFormat="false" ht="22.35" hidden="false" customHeight="false" outlineLevel="0" collapsed="false">
      <c r="A958" s="76" t="s">
        <v>2063</v>
      </c>
      <c r="B958" s="7" t="s">
        <v>3571</v>
      </c>
      <c r="C958" s="7" t="s">
        <v>3572</v>
      </c>
      <c r="D958" s="7" t="s">
        <v>2095</v>
      </c>
      <c r="E958" s="61" t="s">
        <v>2113</v>
      </c>
      <c r="F958" s="7" t="s">
        <v>2097</v>
      </c>
      <c r="G958" s="7" t="s">
        <v>2097</v>
      </c>
      <c r="H958" s="9" t="n">
        <v>5031</v>
      </c>
      <c r="I958" s="9" t="n">
        <v>7919.39</v>
      </c>
      <c r="J958" s="9" t="n">
        <v>15838.78</v>
      </c>
      <c r="K958" s="52" t="n">
        <v>15838.78</v>
      </c>
      <c r="L958" s="58" t="n">
        <v>33.3</v>
      </c>
      <c r="M958" s="59" t="n">
        <v>77.6</v>
      </c>
      <c r="N958" s="9" t="n">
        <v>237.819422</v>
      </c>
      <c r="O958" s="8" t="n">
        <v>4.733</v>
      </c>
      <c r="P958" s="9" t="n">
        <v>-10807.78</v>
      </c>
      <c r="Q958" s="7" t="s">
        <v>2103</v>
      </c>
      <c r="R958" s="7" t="s">
        <v>2099</v>
      </c>
      <c r="S958" s="58" t="n">
        <v>1</v>
      </c>
      <c r="T958" s="9" t="n">
        <v>0</v>
      </c>
      <c r="U958" s="56" t="n">
        <f aca="false">I958*O958</f>
        <v>37482.47287</v>
      </c>
      <c r="V958" s="56" t="n">
        <f aca="false">J958*O958</f>
        <v>74964.94574</v>
      </c>
      <c r="W958" s="56" t="n">
        <f aca="false">((I958+J958)/2)*O958</f>
        <v>56223.709305</v>
      </c>
      <c r="X958" s="56" t="n">
        <f aca="false">H958*O958</f>
        <v>23811.723</v>
      </c>
    </row>
    <row r="959" customFormat="false" ht="22.35" hidden="false" customHeight="false" outlineLevel="0" collapsed="false">
      <c r="A959" s="76" t="s">
        <v>2063</v>
      </c>
      <c r="B959" s="49" t="s">
        <v>2198</v>
      </c>
      <c r="C959" s="49" t="s">
        <v>1531</v>
      </c>
      <c r="D959" s="49" t="s">
        <v>2101</v>
      </c>
      <c r="E959" s="57" t="s">
        <v>2102</v>
      </c>
      <c r="F959" s="49" t="s">
        <v>2097</v>
      </c>
      <c r="G959" s="49" t="s">
        <v>2097</v>
      </c>
      <c r="H959" s="51" t="n">
        <v>40</v>
      </c>
      <c r="I959" s="51" t="n">
        <v>42.39</v>
      </c>
      <c r="J959" s="51" t="n">
        <v>127.17</v>
      </c>
      <c r="K959" s="52" t="n">
        <v>127.17</v>
      </c>
      <c r="L959" s="53" t="n">
        <v>45.6</v>
      </c>
      <c r="M959" s="54" t="n">
        <v>7.1</v>
      </c>
      <c r="N959" s="51" t="n">
        <v>1.859202</v>
      </c>
      <c r="O959" s="55" t="n">
        <v>4.613</v>
      </c>
      <c r="P959" s="51" t="n">
        <v>-87.17</v>
      </c>
      <c r="Q959" s="49" t="s">
        <v>2103</v>
      </c>
      <c r="R959" s="49" t="s">
        <v>2099</v>
      </c>
      <c r="S959" s="53" t="n">
        <v>0.5</v>
      </c>
      <c r="T959" s="51" t="n">
        <v>1</v>
      </c>
      <c r="U959" s="56" t="n">
        <f aca="false">I959*O959</f>
        <v>195.54507</v>
      </c>
      <c r="V959" s="56" t="n">
        <f aca="false">J959*O959</f>
        <v>586.63521</v>
      </c>
      <c r="W959" s="56" t="n">
        <f aca="false">((I959+J959)/2)*O959</f>
        <v>391.09014</v>
      </c>
      <c r="X959" s="56" t="n">
        <f aca="false">H959*O959</f>
        <v>184.52</v>
      </c>
    </row>
    <row r="960" customFormat="false" ht="22.35" hidden="false" customHeight="false" outlineLevel="0" collapsed="false">
      <c r="A960" s="76" t="s">
        <v>2063</v>
      </c>
      <c r="B960" s="7" t="s">
        <v>3573</v>
      </c>
      <c r="C960" s="7" t="s">
        <v>2203</v>
      </c>
      <c r="D960" s="7" t="s">
        <v>2095</v>
      </c>
      <c r="E960" s="61" t="s">
        <v>2113</v>
      </c>
      <c r="F960" s="7" t="s">
        <v>2097</v>
      </c>
      <c r="G960" s="7" t="s">
        <v>2097</v>
      </c>
      <c r="H960" s="9" t="n">
        <v>1141</v>
      </c>
      <c r="I960" s="9" t="n">
        <v>2421.39</v>
      </c>
      <c r="J960" s="9" t="n">
        <v>4842.78</v>
      </c>
      <c r="K960" s="52" t="n">
        <v>5292</v>
      </c>
      <c r="L960" s="58" t="n">
        <v>33.8</v>
      </c>
      <c r="M960" s="59" t="n">
        <v>62.7</v>
      </c>
      <c r="N960" s="9" t="n">
        <v>71.638788</v>
      </c>
      <c r="O960" s="8" t="n">
        <v>5.64</v>
      </c>
      <c r="P960" s="9" t="n">
        <v>-3701.78</v>
      </c>
      <c r="Q960" s="7" t="s">
        <v>2103</v>
      </c>
      <c r="R960" s="7" t="s">
        <v>2099</v>
      </c>
      <c r="S960" s="58" t="n">
        <v>1</v>
      </c>
      <c r="T960" s="9" t="n">
        <v>1764</v>
      </c>
      <c r="U960" s="56" t="n">
        <f aca="false">I960*O960</f>
        <v>13656.6396</v>
      </c>
      <c r="V960" s="56" t="n">
        <f aca="false">J960*O960</f>
        <v>27313.2792</v>
      </c>
      <c r="W960" s="56" t="n">
        <f aca="false">((I960+J960)/2)*O960</f>
        <v>20484.9594</v>
      </c>
      <c r="X960" s="56" t="n">
        <f aca="false">H960*O960</f>
        <v>6435.24</v>
      </c>
    </row>
    <row r="961" customFormat="false" ht="22.35" hidden="false" customHeight="false" outlineLevel="0" collapsed="false">
      <c r="A961" s="76" t="s">
        <v>2063</v>
      </c>
      <c r="B961" s="49" t="s">
        <v>2202</v>
      </c>
      <c r="C961" s="49" t="s">
        <v>2203</v>
      </c>
      <c r="D961" s="49" t="s">
        <v>2101</v>
      </c>
      <c r="E961" s="57" t="s">
        <v>2102</v>
      </c>
      <c r="F961" s="49" t="s">
        <v>2097</v>
      </c>
      <c r="G961" s="49" t="s">
        <v>2097</v>
      </c>
      <c r="H961" s="51" t="n">
        <v>954</v>
      </c>
      <c r="I961" s="51" t="n">
        <v>857.96</v>
      </c>
      <c r="J961" s="51" t="n">
        <v>2573.88</v>
      </c>
      <c r="K961" s="52" t="n">
        <v>3528</v>
      </c>
      <c r="L961" s="53" t="n">
        <v>34.6</v>
      </c>
      <c r="M961" s="54" t="n">
        <v>57.7</v>
      </c>
      <c r="N961" s="51" t="n">
        <v>49.592925</v>
      </c>
      <c r="O961" s="55" t="n">
        <v>3.35</v>
      </c>
      <c r="P961" s="51" t="n">
        <v>-1619.88</v>
      </c>
      <c r="Q961" s="49" t="s">
        <v>2103</v>
      </c>
      <c r="R961" s="49" t="s">
        <v>2099</v>
      </c>
      <c r="S961" s="53" t="n">
        <v>0.5</v>
      </c>
      <c r="T961" s="51" t="n">
        <v>1764</v>
      </c>
      <c r="U961" s="56" t="n">
        <f aca="false">I961*O961</f>
        <v>2874.166</v>
      </c>
      <c r="V961" s="56" t="n">
        <f aca="false">J961*O961</f>
        <v>8622.498</v>
      </c>
      <c r="W961" s="56" t="n">
        <f aca="false">((I961+J961)/2)*O961</f>
        <v>5748.332</v>
      </c>
      <c r="X961" s="56" t="n">
        <f aca="false">H961*O961</f>
        <v>3195.9</v>
      </c>
    </row>
    <row r="962" customFormat="false" ht="22.35" hidden="false" customHeight="false" outlineLevel="0" collapsed="false">
      <c r="A962" s="76" t="s">
        <v>2063</v>
      </c>
      <c r="B962" s="7" t="s">
        <v>3574</v>
      </c>
      <c r="C962" s="7" t="s">
        <v>3575</v>
      </c>
      <c r="D962" s="7" t="s">
        <v>2101</v>
      </c>
      <c r="E962" s="57" t="s">
        <v>2102</v>
      </c>
      <c r="F962" s="7" t="s">
        <v>2097</v>
      </c>
      <c r="G962" s="7" t="s">
        <v>2097</v>
      </c>
      <c r="H962" s="9" t="n">
        <v>80</v>
      </c>
      <c r="I962" s="9" t="n">
        <v>27.34</v>
      </c>
      <c r="J962" s="9" t="n">
        <v>82.02</v>
      </c>
      <c r="K962" s="52" t="n">
        <v>150</v>
      </c>
      <c r="L962" s="58" t="n">
        <v>32.2</v>
      </c>
      <c r="M962" s="59" t="n">
        <v>91.3</v>
      </c>
      <c r="N962" s="9" t="n">
        <v>1.698262</v>
      </c>
      <c r="O962" s="8" t="n">
        <v>3.579</v>
      </c>
      <c r="P962" s="9" t="n">
        <v>-2.02</v>
      </c>
      <c r="Q962" s="7" t="s">
        <v>2103</v>
      </c>
      <c r="R962" s="7" t="s">
        <v>2099</v>
      </c>
      <c r="S962" s="58" t="n">
        <v>0.5</v>
      </c>
      <c r="T962" s="9" t="n">
        <v>150</v>
      </c>
      <c r="U962" s="56" t="n">
        <f aca="false">I962*O962</f>
        <v>97.84986</v>
      </c>
      <c r="V962" s="56" t="n">
        <f aca="false">J962*O962</f>
        <v>293.54958</v>
      </c>
      <c r="W962" s="56" t="n">
        <f aca="false">((I962+J962)/2)*O962</f>
        <v>195.69972</v>
      </c>
      <c r="X962" s="56" t="n">
        <f aca="false">H962*O962</f>
        <v>286.32</v>
      </c>
    </row>
    <row r="963" customFormat="false" ht="15" hidden="false" customHeight="false" outlineLevel="0" collapsed="false">
      <c r="A963" s="76" t="s">
        <v>2063</v>
      </c>
      <c r="B963" s="49" t="s">
        <v>2204</v>
      </c>
      <c r="C963" s="49" t="s">
        <v>2205</v>
      </c>
      <c r="D963" s="49" t="s">
        <v>2101</v>
      </c>
      <c r="E963" s="50" t="s">
        <v>2096</v>
      </c>
      <c r="F963" s="49" t="s">
        <v>2097</v>
      </c>
      <c r="G963" s="49" t="s">
        <v>2097</v>
      </c>
      <c r="H963" s="51" t="n">
        <v>240</v>
      </c>
      <c r="I963" s="51" t="n">
        <v>4.02</v>
      </c>
      <c r="J963" s="51" t="n">
        <v>12.07</v>
      </c>
      <c r="K963" s="52" t="n">
        <v>399</v>
      </c>
      <c r="L963" s="53" t="n">
        <v>23.3</v>
      </c>
      <c r="M963" s="54" t="n">
        <v>72.2</v>
      </c>
      <c r="N963" s="51" t="n">
        <v>0.345396</v>
      </c>
      <c r="O963" s="55" t="n">
        <v>12.3487</v>
      </c>
      <c r="P963" s="51" t="n">
        <v>227.93</v>
      </c>
      <c r="Q963" s="49" t="s">
        <v>2098</v>
      </c>
      <c r="R963" s="49" t="s">
        <v>2099</v>
      </c>
      <c r="S963" s="53" t="n">
        <v>0.5</v>
      </c>
      <c r="T963" s="51" t="n">
        <v>399</v>
      </c>
      <c r="U963" s="56" t="n">
        <f aca="false">I963*O963</f>
        <v>49.641774</v>
      </c>
      <c r="V963" s="56" t="n">
        <f aca="false">J963*O963</f>
        <v>149.048809</v>
      </c>
      <c r="W963" s="56" t="n">
        <f aca="false">((I963+J963)/2)*O963</f>
        <v>99.3452915</v>
      </c>
      <c r="X963" s="56" t="n">
        <f aca="false">H963*O963</f>
        <v>2963.688</v>
      </c>
    </row>
    <row r="964" customFormat="false" ht="22.35" hidden="false" customHeight="false" outlineLevel="0" collapsed="false">
      <c r="A964" s="76" t="s">
        <v>2063</v>
      </c>
      <c r="B964" s="7" t="s">
        <v>2208</v>
      </c>
      <c r="C964" s="7" t="s">
        <v>2209</v>
      </c>
      <c r="D964" s="7" t="s">
        <v>2101</v>
      </c>
      <c r="E964" s="57" t="s">
        <v>2102</v>
      </c>
      <c r="F964" s="7" t="s">
        <v>2097</v>
      </c>
      <c r="G964" s="7" t="s">
        <v>2097</v>
      </c>
      <c r="H964" s="9" t="n">
        <v>206</v>
      </c>
      <c r="I964" s="9" t="n">
        <v>76.91</v>
      </c>
      <c r="J964" s="9" t="n">
        <v>230.73</v>
      </c>
      <c r="K964" s="52" t="n">
        <v>440</v>
      </c>
      <c r="L964" s="58" t="n">
        <v>18.3</v>
      </c>
      <c r="M964" s="59" t="n">
        <v>81.6</v>
      </c>
      <c r="N964" s="9" t="n">
        <v>8.405465</v>
      </c>
      <c r="O964" s="8" t="n">
        <v>6.81</v>
      </c>
      <c r="P964" s="9" t="n">
        <v>-24.73</v>
      </c>
      <c r="Q964" s="7" t="s">
        <v>2103</v>
      </c>
      <c r="R964" s="7" t="s">
        <v>2099</v>
      </c>
      <c r="S964" s="58" t="n">
        <v>0.5</v>
      </c>
      <c r="T964" s="9" t="n">
        <v>440</v>
      </c>
      <c r="U964" s="56" t="n">
        <f aca="false">I964*O964</f>
        <v>523.7571</v>
      </c>
      <c r="V964" s="56" t="n">
        <f aca="false">J964*O964</f>
        <v>1571.2713</v>
      </c>
      <c r="W964" s="56" t="n">
        <f aca="false">((I964+J964)/2)*O964</f>
        <v>1047.5142</v>
      </c>
      <c r="X964" s="56" t="n">
        <f aca="false">H964*O964</f>
        <v>1402.86</v>
      </c>
    </row>
    <row r="965" customFormat="false" ht="15" hidden="false" customHeight="false" outlineLevel="0" collapsed="false">
      <c r="A965" s="76" t="s">
        <v>2063</v>
      </c>
      <c r="B965" s="49" t="s">
        <v>3576</v>
      </c>
      <c r="C965" s="49" t="s">
        <v>2302</v>
      </c>
      <c r="D965" s="49" t="s">
        <v>2101</v>
      </c>
      <c r="E965" s="50" t="s">
        <v>2096</v>
      </c>
      <c r="F965" s="49" t="s">
        <v>2097</v>
      </c>
      <c r="G965" s="49" t="s">
        <v>2097</v>
      </c>
      <c r="H965" s="51" t="n">
        <v>114</v>
      </c>
      <c r="I965" s="51" t="n">
        <v>25.2</v>
      </c>
      <c r="J965" s="51" t="n">
        <v>75.61</v>
      </c>
      <c r="K965" s="52" t="n">
        <v>410.1</v>
      </c>
      <c r="L965" s="53" t="n">
        <v>12.8</v>
      </c>
      <c r="M965" s="54" t="n">
        <v>100</v>
      </c>
      <c r="N965" s="51" t="n">
        <v>3.938085</v>
      </c>
      <c r="O965" s="55" t="n">
        <v>4.92</v>
      </c>
      <c r="P965" s="51" t="n">
        <v>38.39</v>
      </c>
      <c r="Q965" s="49" t="s">
        <v>2098</v>
      </c>
      <c r="R965" s="49" t="s">
        <v>2099</v>
      </c>
      <c r="S965" s="53" t="n">
        <v>0.5</v>
      </c>
      <c r="T965" s="51" t="n">
        <v>410.1</v>
      </c>
      <c r="U965" s="56" t="n">
        <f aca="false">I965*O965</f>
        <v>123.984</v>
      </c>
      <c r="V965" s="56" t="n">
        <f aca="false">J965*O965</f>
        <v>372.0012</v>
      </c>
      <c r="W965" s="56" t="n">
        <f aca="false">((I965+J965)/2)*O965</f>
        <v>247.9926</v>
      </c>
      <c r="X965" s="56" t="n">
        <f aca="false">H965*O965</f>
        <v>560.88</v>
      </c>
    </row>
    <row r="966" customFormat="false" ht="15" hidden="false" customHeight="false" outlineLevel="0" collapsed="false">
      <c r="A966" s="76" t="s">
        <v>2063</v>
      </c>
      <c r="B966" s="7" t="s">
        <v>3577</v>
      </c>
      <c r="C966" s="7" t="s">
        <v>1838</v>
      </c>
      <c r="D966" s="7" t="s">
        <v>2101</v>
      </c>
      <c r="E966" s="50" t="s">
        <v>2096</v>
      </c>
      <c r="F966" s="7" t="s">
        <v>2097</v>
      </c>
      <c r="G966" s="7" t="s">
        <v>2097</v>
      </c>
      <c r="H966" s="9" t="n">
        <v>287</v>
      </c>
      <c r="I966" s="9" t="n">
        <v>74.65</v>
      </c>
      <c r="J966" s="9" t="n">
        <v>223.95</v>
      </c>
      <c r="K966" s="52" t="n">
        <v>223.95</v>
      </c>
      <c r="L966" s="58" t="n">
        <v>14.2</v>
      </c>
      <c r="M966" s="59" t="n">
        <v>83.3</v>
      </c>
      <c r="N966" s="9" t="n">
        <v>10.514342</v>
      </c>
      <c r="O966" s="8" t="n">
        <v>3.71</v>
      </c>
      <c r="P966" s="9" t="n">
        <v>63.05</v>
      </c>
      <c r="Q966" s="7" t="s">
        <v>2098</v>
      </c>
      <c r="R966" s="7" t="s">
        <v>2099</v>
      </c>
      <c r="S966" s="58" t="n">
        <v>0.5</v>
      </c>
      <c r="T966" s="9" t="n">
        <v>1</v>
      </c>
      <c r="U966" s="56" t="n">
        <f aca="false">I966*O966</f>
        <v>276.9515</v>
      </c>
      <c r="V966" s="56" t="n">
        <f aca="false">J966*O966</f>
        <v>830.8545</v>
      </c>
      <c r="W966" s="56" t="n">
        <f aca="false">((I966+J966)/2)*O966</f>
        <v>553.903</v>
      </c>
      <c r="X966" s="56" t="n">
        <f aca="false">H966*O966</f>
        <v>1064.77</v>
      </c>
    </row>
    <row r="967" customFormat="false" ht="22.35" hidden="false" customHeight="false" outlineLevel="0" collapsed="false">
      <c r="A967" s="76" t="s">
        <v>2063</v>
      </c>
      <c r="B967" s="49" t="s">
        <v>2210</v>
      </c>
      <c r="C967" s="49" t="s">
        <v>1531</v>
      </c>
      <c r="D967" s="49" t="s">
        <v>2101</v>
      </c>
      <c r="E967" s="57" t="s">
        <v>2102</v>
      </c>
      <c r="F967" s="49" t="s">
        <v>2097</v>
      </c>
      <c r="G967" s="49" t="s">
        <v>2097</v>
      </c>
      <c r="H967" s="51" t="n">
        <v>40</v>
      </c>
      <c r="I967" s="51" t="n">
        <v>38.1</v>
      </c>
      <c r="J967" s="51" t="n">
        <v>114.3</v>
      </c>
      <c r="K967" s="52" t="n">
        <v>500</v>
      </c>
      <c r="L967" s="53" t="n">
        <v>23.6</v>
      </c>
      <c r="M967" s="54" t="n">
        <v>79.3</v>
      </c>
      <c r="N967" s="51" t="n">
        <v>3.228616</v>
      </c>
      <c r="O967" s="55" t="n">
        <v>23.24</v>
      </c>
      <c r="P967" s="51" t="n">
        <v>-74.3</v>
      </c>
      <c r="Q967" s="49" t="s">
        <v>2103</v>
      </c>
      <c r="R967" s="49" t="s">
        <v>2099</v>
      </c>
      <c r="S967" s="53" t="n">
        <v>0.5</v>
      </c>
      <c r="T967" s="51" t="n">
        <v>500</v>
      </c>
      <c r="U967" s="56" t="n">
        <f aca="false">I967*O967</f>
        <v>885.444</v>
      </c>
      <c r="V967" s="56" t="n">
        <f aca="false">J967*O967</f>
        <v>2656.332</v>
      </c>
      <c r="W967" s="56" t="n">
        <f aca="false">((I967+J967)/2)*O967</f>
        <v>1770.888</v>
      </c>
      <c r="X967" s="56" t="n">
        <f aca="false">H967*O967</f>
        <v>929.6</v>
      </c>
    </row>
    <row r="968" customFormat="false" ht="22.35" hidden="false" customHeight="false" outlineLevel="0" collapsed="false">
      <c r="A968" s="76" t="s">
        <v>2063</v>
      </c>
      <c r="B968" s="4" t="s">
        <v>3578</v>
      </c>
      <c r="C968" s="4" t="s">
        <v>3579</v>
      </c>
      <c r="D968" s="4" t="s">
        <v>2101</v>
      </c>
      <c r="E968" s="70" t="s">
        <v>2193</v>
      </c>
      <c r="F968" s="4" t="s">
        <v>2097</v>
      </c>
      <c r="G968" s="71" t="s">
        <v>2194</v>
      </c>
      <c r="H968" s="6" t="n">
        <v>80</v>
      </c>
      <c r="I968" s="6" t="n">
        <v>0</v>
      </c>
      <c r="J968" s="6" t="n">
        <v>0</v>
      </c>
      <c r="K968" s="52" t="n">
        <v>0</v>
      </c>
      <c r="L968" s="72" t="n">
        <v>15.2</v>
      </c>
      <c r="M968" s="73" t="n">
        <v>100</v>
      </c>
      <c r="N968" s="6" t="n">
        <v>2.536014</v>
      </c>
      <c r="O968" s="5" t="n">
        <v>4.749</v>
      </c>
      <c r="P968" s="6" t="n">
        <v>80</v>
      </c>
      <c r="Q968" s="4" t="s">
        <v>2098</v>
      </c>
      <c r="R968" s="4" t="s">
        <v>2195</v>
      </c>
      <c r="S968" s="72" t="n">
        <v>0</v>
      </c>
      <c r="T968" s="6" t="n">
        <v>1</v>
      </c>
      <c r="U968" s="56" t="n">
        <f aca="false">I968*O968</f>
        <v>0</v>
      </c>
      <c r="V968" s="56" t="n">
        <f aca="false">J968*O968</f>
        <v>0</v>
      </c>
      <c r="W968" s="56" t="n">
        <f aca="false">((I968+J968)/2)*O968</f>
        <v>0</v>
      </c>
      <c r="X968" s="56" t="n">
        <f aca="false">H968*O968</f>
        <v>379.92</v>
      </c>
    </row>
    <row r="969" customFormat="false" ht="15" hidden="false" customHeight="false" outlineLevel="0" collapsed="false">
      <c r="A969" s="76" t="s">
        <v>2063</v>
      </c>
      <c r="B969" s="49" t="s">
        <v>3580</v>
      </c>
      <c r="C969" s="49" t="s">
        <v>1628</v>
      </c>
      <c r="D969" s="49" t="s">
        <v>2101</v>
      </c>
      <c r="E969" s="50" t="s">
        <v>2096</v>
      </c>
      <c r="F969" s="49" t="s">
        <v>2097</v>
      </c>
      <c r="G969" s="49" t="s">
        <v>2097</v>
      </c>
      <c r="H969" s="51" t="n">
        <v>40</v>
      </c>
      <c r="I969" s="51" t="n">
        <v>5.21</v>
      </c>
      <c r="J969" s="51" t="n">
        <v>15.63</v>
      </c>
      <c r="K969" s="52" t="n">
        <v>66</v>
      </c>
      <c r="L969" s="53" t="n">
        <v>10.6</v>
      </c>
      <c r="M969" s="54" t="n">
        <v>85.7</v>
      </c>
      <c r="N969" s="51" t="n">
        <v>0.982925</v>
      </c>
      <c r="O969" s="55" t="n">
        <v>4.758</v>
      </c>
      <c r="P969" s="51" t="n">
        <v>24.37</v>
      </c>
      <c r="Q969" s="49" t="s">
        <v>2098</v>
      </c>
      <c r="R969" s="49" t="s">
        <v>2099</v>
      </c>
      <c r="S969" s="53" t="n">
        <v>0.5</v>
      </c>
      <c r="T969" s="51" t="n">
        <v>66</v>
      </c>
      <c r="U969" s="56" t="n">
        <f aca="false">I969*O969</f>
        <v>24.78918</v>
      </c>
      <c r="V969" s="56" t="n">
        <f aca="false">J969*O969</f>
        <v>74.36754</v>
      </c>
      <c r="W969" s="56" t="n">
        <f aca="false">((I969+J969)/2)*O969</f>
        <v>49.57836</v>
      </c>
      <c r="X969" s="56" t="n">
        <f aca="false">H969*O969</f>
        <v>190.32</v>
      </c>
    </row>
    <row r="970" customFormat="false" ht="22.35" hidden="false" customHeight="false" outlineLevel="0" collapsed="false">
      <c r="A970" s="76" t="s">
        <v>2063</v>
      </c>
      <c r="B970" s="7" t="s">
        <v>3581</v>
      </c>
      <c r="C970" s="7" t="s">
        <v>3582</v>
      </c>
      <c r="D970" s="7" t="s">
        <v>2101</v>
      </c>
      <c r="E970" s="57" t="s">
        <v>2102</v>
      </c>
      <c r="F970" s="7" t="s">
        <v>2097</v>
      </c>
      <c r="G970" s="7" t="s">
        <v>2097</v>
      </c>
      <c r="H970" s="9" t="n">
        <v>793</v>
      </c>
      <c r="I970" s="9" t="n">
        <v>342.58</v>
      </c>
      <c r="J970" s="9" t="n">
        <v>1027.75</v>
      </c>
      <c r="K970" s="52" t="n">
        <v>1320</v>
      </c>
      <c r="L970" s="58" t="n">
        <v>19.1</v>
      </c>
      <c r="M970" s="59" t="n">
        <v>92.1</v>
      </c>
      <c r="N970" s="9" t="n">
        <v>35.872687</v>
      </c>
      <c r="O970" s="8" t="n">
        <v>1.85</v>
      </c>
      <c r="P970" s="9" t="n">
        <v>-234.75</v>
      </c>
      <c r="Q970" s="7" t="s">
        <v>2103</v>
      </c>
      <c r="R970" s="7" t="s">
        <v>2099</v>
      </c>
      <c r="S970" s="58" t="n">
        <v>0.5</v>
      </c>
      <c r="T970" s="9" t="n">
        <v>440</v>
      </c>
      <c r="U970" s="56" t="n">
        <f aca="false">I970*O970</f>
        <v>633.773</v>
      </c>
      <c r="V970" s="56" t="n">
        <f aca="false">J970*O970</f>
        <v>1901.3375</v>
      </c>
      <c r="W970" s="56" t="n">
        <f aca="false">((I970+J970)/2)*O970</f>
        <v>1267.55525</v>
      </c>
      <c r="X970" s="56" t="n">
        <f aca="false">H970*O970</f>
        <v>1467.05</v>
      </c>
    </row>
    <row r="971" customFormat="false" ht="22.35" hidden="false" customHeight="false" outlineLevel="0" collapsed="false">
      <c r="A971" s="76" t="s">
        <v>2063</v>
      </c>
      <c r="B971" s="4" t="s">
        <v>3583</v>
      </c>
      <c r="C971" s="4" t="s">
        <v>1531</v>
      </c>
      <c r="D971" s="4" t="s">
        <v>2101</v>
      </c>
      <c r="E971" s="70" t="s">
        <v>2193</v>
      </c>
      <c r="F971" s="4" t="s">
        <v>2097</v>
      </c>
      <c r="G971" s="71" t="s">
        <v>2194</v>
      </c>
      <c r="H971" s="6" t="n">
        <v>40</v>
      </c>
      <c r="I971" s="6" t="n">
        <v>0</v>
      </c>
      <c r="J971" s="6" t="n">
        <v>0</v>
      </c>
      <c r="K971" s="52" t="n">
        <v>0</v>
      </c>
      <c r="L971" s="72" t="n">
        <v>19.4</v>
      </c>
      <c r="M971" s="73" t="n">
        <v>60</v>
      </c>
      <c r="N971" s="6" t="n">
        <v>0.081686</v>
      </c>
      <c r="O971" s="5" t="n">
        <v>22.39</v>
      </c>
      <c r="P971" s="6" t="n">
        <v>40</v>
      </c>
      <c r="Q971" s="4" t="s">
        <v>2098</v>
      </c>
      <c r="R971" s="4" t="s">
        <v>2195</v>
      </c>
      <c r="S971" s="72" t="n">
        <v>0</v>
      </c>
      <c r="T971" s="6" t="n">
        <v>105</v>
      </c>
      <c r="U971" s="56" t="n">
        <f aca="false">I971*O971</f>
        <v>0</v>
      </c>
      <c r="V971" s="56" t="n">
        <f aca="false">J971*O971</f>
        <v>0</v>
      </c>
      <c r="W971" s="56" t="n">
        <f aca="false">((I971+J971)/2)*O971</f>
        <v>0</v>
      </c>
      <c r="X971" s="56" t="n">
        <f aca="false">H971*O971</f>
        <v>895.6</v>
      </c>
    </row>
    <row r="972" customFormat="false" ht="32.8" hidden="false" customHeight="false" outlineLevel="0" collapsed="false">
      <c r="A972" s="76" t="s">
        <v>2063</v>
      </c>
      <c r="B972" s="62" t="s">
        <v>3584</v>
      </c>
      <c r="C972" s="62" t="s">
        <v>1615</v>
      </c>
      <c r="D972" s="62" t="s">
        <v>2101</v>
      </c>
      <c r="E972" s="78" t="s">
        <v>3474</v>
      </c>
      <c r="F972" s="64" t="s">
        <v>2170</v>
      </c>
      <c r="G972" s="62" t="s">
        <v>2097</v>
      </c>
      <c r="H972" s="65" t="n">
        <v>1634</v>
      </c>
      <c r="I972" s="65" t="n">
        <v>1152</v>
      </c>
      <c r="J972" s="65" t="n">
        <v>3456</v>
      </c>
      <c r="K972" s="66" t="n">
        <v>3690.9</v>
      </c>
      <c r="L972" s="67" t="n">
        <v>17.1</v>
      </c>
      <c r="M972" s="68" t="n">
        <v>77.8</v>
      </c>
      <c r="N972" s="65" t="n">
        <v>70.500411</v>
      </c>
      <c r="O972" s="69" t="n">
        <v>4.45</v>
      </c>
      <c r="P972" s="65" t="n">
        <v>-1822</v>
      </c>
      <c r="Q972" s="62" t="s">
        <v>2103</v>
      </c>
      <c r="R972" s="62" t="s">
        <v>3585</v>
      </c>
      <c r="S972" s="67" t="n">
        <v>0.5</v>
      </c>
      <c r="T972" s="65" t="n">
        <v>410.1</v>
      </c>
      <c r="U972" s="56" t="n">
        <f aca="false">I972*O972</f>
        <v>5126.4</v>
      </c>
      <c r="V972" s="56" t="n">
        <f aca="false">J972*O972</f>
        <v>15379.2</v>
      </c>
      <c r="W972" s="56" t="n">
        <f aca="false">((I972+J972)/2)*O972</f>
        <v>10252.8</v>
      </c>
      <c r="X972" s="56" t="n">
        <f aca="false">H972*O972</f>
        <v>7271.3</v>
      </c>
    </row>
    <row r="973" customFormat="false" ht="22.35" hidden="false" customHeight="false" outlineLevel="0" collapsed="false">
      <c r="A973" s="76" t="s">
        <v>2063</v>
      </c>
      <c r="B973" s="49" t="s">
        <v>3586</v>
      </c>
      <c r="C973" s="49" t="s">
        <v>3587</v>
      </c>
      <c r="D973" s="49" t="s">
        <v>2101</v>
      </c>
      <c r="E973" s="57" t="s">
        <v>2102</v>
      </c>
      <c r="F973" s="49" t="s">
        <v>2097</v>
      </c>
      <c r="G973" s="49" t="s">
        <v>2097</v>
      </c>
      <c r="H973" s="51" t="n">
        <v>959</v>
      </c>
      <c r="I973" s="51" t="n">
        <v>460.77</v>
      </c>
      <c r="J973" s="51" t="n">
        <v>1382.32</v>
      </c>
      <c r="K973" s="52" t="n">
        <v>2000</v>
      </c>
      <c r="L973" s="53" t="n">
        <v>24.9</v>
      </c>
      <c r="M973" s="54" t="n">
        <v>79.4</v>
      </c>
      <c r="N973" s="51" t="n">
        <v>37.01</v>
      </c>
      <c r="O973" s="55" t="n">
        <v>0.65</v>
      </c>
      <c r="P973" s="51" t="n">
        <v>-423.32</v>
      </c>
      <c r="Q973" s="49" t="s">
        <v>2103</v>
      </c>
      <c r="R973" s="49" t="s">
        <v>2099</v>
      </c>
      <c r="S973" s="53" t="n">
        <v>0.5</v>
      </c>
      <c r="T973" s="51" t="n">
        <v>1000</v>
      </c>
      <c r="U973" s="56" t="n">
        <f aca="false">I973*O973</f>
        <v>299.5005</v>
      </c>
      <c r="V973" s="56" t="n">
        <f aca="false">J973*O973</f>
        <v>898.508</v>
      </c>
      <c r="W973" s="56" t="n">
        <f aca="false">((I973+J973)/2)*O973</f>
        <v>599.00425</v>
      </c>
      <c r="X973" s="56" t="n">
        <f aca="false">H973*O973</f>
        <v>623.35</v>
      </c>
    </row>
    <row r="974" customFormat="false" ht="22.35" hidden="false" customHeight="false" outlineLevel="0" collapsed="false">
      <c r="A974" s="76" t="s">
        <v>2063</v>
      </c>
      <c r="B974" s="7" t="s">
        <v>2212</v>
      </c>
      <c r="C974" s="7" t="s">
        <v>1531</v>
      </c>
      <c r="D974" s="7" t="s">
        <v>2101</v>
      </c>
      <c r="E974" s="57" t="s">
        <v>2102</v>
      </c>
      <c r="F974" s="7" t="s">
        <v>2097</v>
      </c>
      <c r="G974" s="7" t="s">
        <v>2097</v>
      </c>
      <c r="H974" s="9" t="n">
        <v>80</v>
      </c>
      <c r="I974" s="9" t="n">
        <v>45.47</v>
      </c>
      <c r="J974" s="9" t="n">
        <v>136.42</v>
      </c>
      <c r="K974" s="52" t="n">
        <v>441</v>
      </c>
      <c r="L974" s="58" t="n">
        <v>28.5</v>
      </c>
      <c r="M974" s="59" t="n">
        <v>30</v>
      </c>
      <c r="N974" s="9" t="n">
        <v>3.191219</v>
      </c>
      <c r="O974" s="8" t="n">
        <v>12.209</v>
      </c>
      <c r="P974" s="9" t="n">
        <v>-56.42</v>
      </c>
      <c r="Q974" s="7" t="s">
        <v>2103</v>
      </c>
      <c r="R974" s="7" t="s">
        <v>2099</v>
      </c>
      <c r="S974" s="58" t="n">
        <v>0.5</v>
      </c>
      <c r="T974" s="9" t="n">
        <v>441</v>
      </c>
      <c r="U974" s="56" t="n">
        <f aca="false">I974*O974</f>
        <v>555.14323</v>
      </c>
      <c r="V974" s="56" t="n">
        <f aca="false">J974*O974</f>
        <v>1665.55178</v>
      </c>
      <c r="W974" s="56" t="n">
        <f aca="false">((I974+J974)/2)*O974</f>
        <v>1110.347505</v>
      </c>
      <c r="X974" s="56" t="n">
        <f aca="false">H974*O974</f>
        <v>976.72</v>
      </c>
    </row>
    <row r="975" customFormat="false" ht="22.35" hidden="false" customHeight="false" outlineLevel="0" collapsed="false">
      <c r="A975" s="76" t="s">
        <v>2063</v>
      </c>
      <c r="B975" s="49" t="s">
        <v>2213</v>
      </c>
      <c r="C975" s="49" t="s">
        <v>1617</v>
      </c>
      <c r="D975" s="49" t="s">
        <v>2101</v>
      </c>
      <c r="E975" s="57" t="s">
        <v>2102</v>
      </c>
      <c r="F975" s="49" t="s">
        <v>2097</v>
      </c>
      <c r="G975" s="49" t="s">
        <v>2097</v>
      </c>
      <c r="H975" s="51" t="n">
        <v>40</v>
      </c>
      <c r="I975" s="51" t="n">
        <v>271.35</v>
      </c>
      <c r="J975" s="51" t="n">
        <v>814.04</v>
      </c>
      <c r="K975" s="52" t="n">
        <v>814.04</v>
      </c>
      <c r="L975" s="53" t="n">
        <v>21.6</v>
      </c>
      <c r="M975" s="54" t="n">
        <v>70</v>
      </c>
      <c r="N975" s="51" t="n">
        <v>25.124579</v>
      </c>
      <c r="O975" s="55" t="n">
        <v>2.169</v>
      </c>
      <c r="P975" s="51" t="n">
        <v>-774.04</v>
      </c>
      <c r="Q975" s="49" t="s">
        <v>2103</v>
      </c>
      <c r="R975" s="49" t="s">
        <v>2099</v>
      </c>
      <c r="S975" s="53" t="n">
        <v>0.5</v>
      </c>
      <c r="T975" s="51" t="n">
        <v>1</v>
      </c>
      <c r="U975" s="56" t="n">
        <f aca="false">I975*O975</f>
        <v>588.55815</v>
      </c>
      <c r="V975" s="56" t="n">
        <f aca="false">J975*O975</f>
        <v>1765.65276</v>
      </c>
      <c r="W975" s="56" t="n">
        <f aca="false">((I975+J975)/2)*O975</f>
        <v>1177.105455</v>
      </c>
      <c r="X975" s="56" t="n">
        <f aca="false">H975*O975</f>
        <v>86.76</v>
      </c>
    </row>
    <row r="976" customFormat="false" ht="22.35" hidden="false" customHeight="false" outlineLevel="0" collapsed="false">
      <c r="A976" s="76" t="s">
        <v>2063</v>
      </c>
      <c r="B976" s="7" t="s">
        <v>3588</v>
      </c>
      <c r="C976" s="7" t="s">
        <v>1965</v>
      </c>
      <c r="D976" s="7" t="s">
        <v>2095</v>
      </c>
      <c r="E976" s="61" t="s">
        <v>2113</v>
      </c>
      <c r="F976" s="7" t="s">
        <v>2097</v>
      </c>
      <c r="G976" s="7" t="s">
        <v>2097</v>
      </c>
      <c r="H976" s="9" t="n">
        <v>3378</v>
      </c>
      <c r="I976" s="9" t="n">
        <v>3782.91</v>
      </c>
      <c r="J976" s="9" t="n">
        <v>7565.82</v>
      </c>
      <c r="K976" s="52" t="n">
        <v>8100</v>
      </c>
      <c r="L976" s="58" t="n">
        <v>26.8</v>
      </c>
      <c r="M976" s="59" t="n">
        <v>70</v>
      </c>
      <c r="N976" s="9" t="n">
        <v>141.153216</v>
      </c>
      <c r="O976" s="8" t="n">
        <v>2.47</v>
      </c>
      <c r="P976" s="9" t="n">
        <v>-4187.82</v>
      </c>
      <c r="Q976" s="7" t="s">
        <v>2103</v>
      </c>
      <c r="R976" s="7" t="s">
        <v>2099</v>
      </c>
      <c r="S976" s="58" t="n">
        <v>1</v>
      </c>
      <c r="T976" s="9" t="n">
        <v>900</v>
      </c>
      <c r="U976" s="56" t="n">
        <f aca="false">I976*O976</f>
        <v>9343.7877</v>
      </c>
      <c r="V976" s="56" t="n">
        <f aca="false">J976*O976</f>
        <v>18687.5754</v>
      </c>
      <c r="W976" s="56" t="n">
        <f aca="false">((I976+J976)/2)*O976</f>
        <v>14015.68155</v>
      </c>
      <c r="X976" s="56" t="n">
        <f aca="false">H976*O976</f>
        <v>8343.66</v>
      </c>
    </row>
    <row r="977" customFormat="false" ht="22.35" hidden="false" customHeight="false" outlineLevel="0" collapsed="false">
      <c r="A977" s="76" t="s">
        <v>2063</v>
      </c>
      <c r="B977" s="49" t="s">
        <v>2214</v>
      </c>
      <c r="C977" s="49" t="s">
        <v>2215</v>
      </c>
      <c r="D977" s="49" t="s">
        <v>2101</v>
      </c>
      <c r="E977" s="57" t="s">
        <v>2102</v>
      </c>
      <c r="F977" s="49" t="s">
        <v>2097</v>
      </c>
      <c r="G977" s="49" t="s">
        <v>2097</v>
      </c>
      <c r="H977" s="51" t="n">
        <v>1355</v>
      </c>
      <c r="I977" s="51" t="n">
        <v>842.87</v>
      </c>
      <c r="J977" s="51" t="n">
        <v>2528.61</v>
      </c>
      <c r="K977" s="52" t="n">
        <v>3915.412</v>
      </c>
      <c r="L977" s="53" t="n">
        <v>29</v>
      </c>
      <c r="M977" s="54" t="n">
        <v>73.3</v>
      </c>
      <c r="N977" s="51" t="n">
        <v>58.128973</v>
      </c>
      <c r="O977" s="55" t="n">
        <v>6.74</v>
      </c>
      <c r="P977" s="51" t="n">
        <v>-1173.61</v>
      </c>
      <c r="Q977" s="49" t="s">
        <v>2103</v>
      </c>
      <c r="R977" s="49" t="s">
        <v>2099</v>
      </c>
      <c r="S977" s="53" t="n">
        <v>0.5</v>
      </c>
      <c r="T977" s="51" t="n">
        <v>1957.706</v>
      </c>
      <c r="U977" s="56" t="n">
        <f aca="false">I977*O977</f>
        <v>5680.9438</v>
      </c>
      <c r="V977" s="56" t="n">
        <f aca="false">J977*O977</f>
        <v>17042.8314</v>
      </c>
      <c r="W977" s="56" t="n">
        <f aca="false">((I977+J977)/2)*O977</f>
        <v>11361.8876</v>
      </c>
      <c r="X977" s="56" t="n">
        <f aca="false">H977*O977</f>
        <v>9132.7</v>
      </c>
    </row>
    <row r="978" customFormat="false" ht="22.35" hidden="false" customHeight="false" outlineLevel="0" collapsed="false">
      <c r="A978" s="76" t="s">
        <v>2063</v>
      </c>
      <c r="B978" s="7" t="s">
        <v>2216</v>
      </c>
      <c r="C978" s="7" t="s">
        <v>2217</v>
      </c>
      <c r="D978" s="7" t="s">
        <v>2095</v>
      </c>
      <c r="E978" s="61" t="s">
        <v>2113</v>
      </c>
      <c r="F978" s="7" t="s">
        <v>2097</v>
      </c>
      <c r="G978" s="7" t="s">
        <v>2097</v>
      </c>
      <c r="H978" s="9" t="n">
        <v>2123</v>
      </c>
      <c r="I978" s="9" t="n">
        <v>2875.45</v>
      </c>
      <c r="J978" s="9" t="n">
        <v>5750.9</v>
      </c>
      <c r="K978" s="52" t="n">
        <v>6172.6</v>
      </c>
      <c r="L978" s="58" t="n">
        <v>31</v>
      </c>
      <c r="M978" s="59" t="n">
        <v>86.7</v>
      </c>
      <c r="N978" s="9" t="n">
        <v>92.756567</v>
      </c>
      <c r="O978" s="8" t="n">
        <v>2.28</v>
      </c>
      <c r="P978" s="9" t="n">
        <v>-3627.9</v>
      </c>
      <c r="Q978" s="7" t="s">
        <v>2103</v>
      </c>
      <c r="R978" s="7" t="s">
        <v>2099</v>
      </c>
      <c r="S978" s="58" t="n">
        <v>1</v>
      </c>
      <c r="T978" s="9" t="n">
        <v>440.9</v>
      </c>
      <c r="U978" s="56" t="n">
        <f aca="false">I978*O978</f>
        <v>6556.026</v>
      </c>
      <c r="V978" s="56" t="n">
        <f aca="false">J978*O978</f>
        <v>13112.052</v>
      </c>
      <c r="W978" s="56" t="n">
        <f aca="false">((I978+J978)/2)*O978</f>
        <v>9834.039</v>
      </c>
      <c r="X978" s="56" t="n">
        <f aca="false">H978*O978</f>
        <v>4840.44</v>
      </c>
    </row>
    <row r="979" customFormat="false" ht="22.35" hidden="false" customHeight="false" outlineLevel="0" collapsed="false">
      <c r="A979" s="76" t="s">
        <v>2063</v>
      </c>
      <c r="B979" s="49" t="s">
        <v>3589</v>
      </c>
      <c r="C979" s="49" t="s">
        <v>1531</v>
      </c>
      <c r="D979" s="49" t="s">
        <v>2101</v>
      </c>
      <c r="E979" s="57" t="s">
        <v>2102</v>
      </c>
      <c r="F979" s="49" t="s">
        <v>2097</v>
      </c>
      <c r="G979" s="49" t="s">
        <v>2097</v>
      </c>
      <c r="H979" s="51" t="n">
        <v>124</v>
      </c>
      <c r="I979" s="51" t="n">
        <v>51.83</v>
      </c>
      <c r="J979" s="51" t="n">
        <v>155.48</v>
      </c>
      <c r="K979" s="52" t="n">
        <v>400</v>
      </c>
      <c r="L979" s="53" t="n">
        <v>24.6</v>
      </c>
      <c r="M979" s="54" t="n">
        <v>71.4</v>
      </c>
      <c r="N979" s="51" t="n">
        <v>4.213482</v>
      </c>
      <c r="O979" s="55" t="n">
        <v>3.97</v>
      </c>
      <c r="P979" s="51" t="n">
        <v>-31.48</v>
      </c>
      <c r="Q979" s="49" t="s">
        <v>2103</v>
      </c>
      <c r="R979" s="49" t="s">
        <v>2099</v>
      </c>
      <c r="S979" s="53" t="n">
        <v>0.5</v>
      </c>
      <c r="T979" s="51" t="n">
        <v>400</v>
      </c>
      <c r="U979" s="56" t="n">
        <f aca="false">I979*O979</f>
        <v>205.7651</v>
      </c>
      <c r="V979" s="56" t="n">
        <f aca="false">J979*O979</f>
        <v>617.2556</v>
      </c>
      <c r="W979" s="56" t="n">
        <f aca="false">((I979+J979)/2)*O979</f>
        <v>411.51035</v>
      </c>
      <c r="X979" s="56" t="n">
        <f aca="false">H979*O979</f>
        <v>492.28</v>
      </c>
    </row>
    <row r="980" customFormat="false" ht="22.35" hidden="false" customHeight="false" outlineLevel="0" collapsed="false">
      <c r="A980" s="76" t="s">
        <v>2063</v>
      </c>
      <c r="B980" s="7" t="s">
        <v>2219</v>
      </c>
      <c r="C980" s="7" t="s">
        <v>2205</v>
      </c>
      <c r="D980" s="7" t="s">
        <v>2101</v>
      </c>
      <c r="E980" s="57" t="s">
        <v>2102</v>
      </c>
      <c r="F980" s="7" t="s">
        <v>2097</v>
      </c>
      <c r="G980" s="7" t="s">
        <v>2097</v>
      </c>
      <c r="H980" s="9" t="n">
        <v>40</v>
      </c>
      <c r="I980" s="9" t="n">
        <v>31.04</v>
      </c>
      <c r="J980" s="9" t="n">
        <v>93.11</v>
      </c>
      <c r="K980" s="52" t="n">
        <v>93.11</v>
      </c>
      <c r="L980" s="58" t="n">
        <v>29</v>
      </c>
      <c r="M980" s="59" t="n">
        <v>66.7</v>
      </c>
      <c r="N980" s="9" t="n">
        <v>2.14036</v>
      </c>
      <c r="O980" s="8" t="n">
        <v>7.07</v>
      </c>
      <c r="P980" s="9" t="n">
        <v>-53.11</v>
      </c>
      <c r="Q980" s="7" t="s">
        <v>2103</v>
      </c>
      <c r="R980" s="7" t="s">
        <v>2099</v>
      </c>
      <c r="S980" s="58" t="n">
        <v>0.5</v>
      </c>
      <c r="T980" s="9" t="n">
        <v>1</v>
      </c>
      <c r="U980" s="56" t="n">
        <f aca="false">I980*O980</f>
        <v>219.4528</v>
      </c>
      <c r="V980" s="56" t="n">
        <f aca="false">J980*O980</f>
        <v>658.2877</v>
      </c>
      <c r="W980" s="56" t="n">
        <f aca="false">((I980+J980)/2)*O980</f>
        <v>438.87025</v>
      </c>
      <c r="X980" s="56" t="n">
        <f aca="false">H980*O980</f>
        <v>282.8</v>
      </c>
    </row>
    <row r="981" customFormat="false" ht="22.35" hidden="false" customHeight="false" outlineLevel="0" collapsed="false">
      <c r="A981" s="76" t="s">
        <v>2063</v>
      </c>
      <c r="B981" s="49" t="s">
        <v>2220</v>
      </c>
      <c r="C981" s="49" t="s">
        <v>2205</v>
      </c>
      <c r="D981" s="49" t="s">
        <v>2101</v>
      </c>
      <c r="E981" s="57" t="s">
        <v>2102</v>
      </c>
      <c r="F981" s="49" t="s">
        <v>2097</v>
      </c>
      <c r="G981" s="49" t="s">
        <v>2097</v>
      </c>
      <c r="H981" s="51" t="n">
        <v>268</v>
      </c>
      <c r="I981" s="51" t="n">
        <v>149.4</v>
      </c>
      <c r="J981" s="51" t="n">
        <v>448.21</v>
      </c>
      <c r="K981" s="52" t="n">
        <v>750</v>
      </c>
      <c r="L981" s="53" t="n">
        <v>27.4</v>
      </c>
      <c r="M981" s="54" t="n">
        <v>61.9</v>
      </c>
      <c r="N981" s="51" t="n">
        <v>10.905421</v>
      </c>
      <c r="O981" s="55" t="n">
        <v>6</v>
      </c>
      <c r="P981" s="51" t="n">
        <v>-180.21</v>
      </c>
      <c r="Q981" s="49" t="s">
        <v>2103</v>
      </c>
      <c r="R981" s="49" t="s">
        <v>2099</v>
      </c>
      <c r="S981" s="53" t="n">
        <v>0.5</v>
      </c>
      <c r="T981" s="51" t="n">
        <v>375</v>
      </c>
      <c r="U981" s="56" t="n">
        <f aca="false">I981*O981</f>
        <v>896.4</v>
      </c>
      <c r="V981" s="56" t="n">
        <f aca="false">J981*O981</f>
        <v>2689.26</v>
      </c>
      <c r="W981" s="56" t="n">
        <f aca="false">((I981+J981)/2)*O981</f>
        <v>1792.83</v>
      </c>
      <c r="X981" s="56" t="n">
        <f aca="false">H981*O981</f>
        <v>1608</v>
      </c>
    </row>
    <row r="982" customFormat="false" ht="32.8" hidden="false" customHeight="false" outlineLevel="0" collapsed="false">
      <c r="A982" s="76" t="s">
        <v>2063</v>
      </c>
      <c r="B982" s="62" t="s">
        <v>3590</v>
      </c>
      <c r="C982" s="62" t="s">
        <v>1838</v>
      </c>
      <c r="D982" s="62" t="s">
        <v>2101</v>
      </c>
      <c r="E982" s="78" t="s">
        <v>3474</v>
      </c>
      <c r="F982" s="64" t="s">
        <v>2170</v>
      </c>
      <c r="G982" s="62" t="s">
        <v>2097</v>
      </c>
      <c r="H982" s="65" t="n">
        <v>1168</v>
      </c>
      <c r="I982" s="65" t="n">
        <v>592.72</v>
      </c>
      <c r="J982" s="65" t="n">
        <v>1778.15</v>
      </c>
      <c r="K982" s="66" t="n">
        <v>2125</v>
      </c>
      <c r="L982" s="67" t="n">
        <v>24.4</v>
      </c>
      <c r="M982" s="68" t="n">
        <v>88.9</v>
      </c>
      <c r="N982" s="65" t="n">
        <v>44.570082</v>
      </c>
      <c r="O982" s="69" t="n">
        <v>3.501</v>
      </c>
      <c r="P982" s="65" t="n">
        <v>-610.15</v>
      </c>
      <c r="Q982" s="62" t="s">
        <v>2103</v>
      </c>
      <c r="R982" s="62" t="s">
        <v>3591</v>
      </c>
      <c r="S982" s="67" t="n">
        <v>0.5</v>
      </c>
      <c r="T982" s="65" t="n">
        <v>425</v>
      </c>
      <c r="U982" s="56" t="n">
        <f aca="false">I982*O982</f>
        <v>2075.11272</v>
      </c>
      <c r="V982" s="56" t="n">
        <f aca="false">J982*O982</f>
        <v>6225.30315</v>
      </c>
      <c r="W982" s="56" t="n">
        <f aca="false">((I982+J982)/2)*O982</f>
        <v>4150.207935</v>
      </c>
      <c r="X982" s="56" t="n">
        <f aca="false">H982*O982</f>
        <v>4089.168</v>
      </c>
    </row>
    <row r="983" customFormat="false" ht="15" hidden="false" customHeight="false" outlineLevel="0" collapsed="false">
      <c r="A983" s="76" t="s">
        <v>2063</v>
      </c>
      <c r="B983" s="49" t="s">
        <v>2221</v>
      </c>
      <c r="C983" s="49" t="s">
        <v>2173</v>
      </c>
      <c r="D983" s="49" t="s">
        <v>2101</v>
      </c>
      <c r="E983" s="50" t="s">
        <v>2096</v>
      </c>
      <c r="F983" s="49" t="s">
        <v>2097</v>
      </c>
      <c r="G983" s="49" t="s">
        <v>2097</v>
      </c>
      <c r="H983" s="51" t="n">
        <v>40</v>
      </c>
      <c r="I983" s="51" t="n">
        <v>3.6</v>
      </c>
      <c r="J983" s="51" t="n">
        <v>10.8</v>
      </c>
      <c r="K983" s="52" t="n">
        <v>10.8</v>
      </c>
      <c r="L983" s="53" t="n">
        <v>16.8</v>
      </c>
      <c r="M983" s="54" t="n">
        <v>85.7</v>
      </c>
      <c r="N983" s="51" t="n">
        <v>0.428767</v>
      </c>
      <c r="O983" s="55" t="n">
        <v>3.852</v>
      </c>
      <c r="P983" s="51" t="n">
        <v>29.2</v>
      </c>
      <c r="Q983" s="49" t="s">
        <v>2098</v>
      </c>
      <c r="R983" s="49" t="s">
        <v>2099</v>
      </c>
      <c r="S983" s="53" t="n">
        <v>0.5</v>
      </c>
      <c r="T983" s="51" t="n">
        <v>1</v>
      </c>
      <c r="U983" s="56" t="n">
        <f aca="false">I983*O983</f>
        <v>13.8672</v>
      </c>
      <c r="V983" s="56" t="n">
        <f aca="false">J983*O983</f>
        <v>41.6016</v>
      </c>
      <c r="W983" s="56" t="n">
        <f aca="false">((I983+J983)/2)*O983</f>
        <v>27.7344</v>
      </c>
      <c r="X983" s="56" t="n">
        <f aca="false">H983*O983</f>
        <v>154.08</v>
      </c>
    </row>
    <row r="984" customFormat="false" ht="22.35" hidden="false" customHeight="false" outlineLevel="0" collapsed="false">
      <c r="A984" s="76" t="s">
        <v>2063</v>
      </c>
      <c r="B984" s="62" t="s">
        <v>3592</v>
      </c>
      <c r="C984" s="62" t="s">
        <v>3593</v>
      </c>
      <c r="D984" s="62" t="s">
        <v>2101</v>
      </c>
      <c r="E984" s="63" t="s">
        <v>2169</v>
      </c>
      <c r="F984" s="64" t="s">
        <v>2170</v>
      </c>
      <c r="G984" s="62" t="s">
        <v>2097</v>
      </c>
      <c r="H984" s="65" t="n">
        <v>40</v>
      </c>
      <c r="I984" s="65" t="n">
        <v>1.49</v>
      </c>
      <c r="J984" s="65" t="n">
        <v>4.46</v>
      </c>
      <c r="K984" s="66" t="n">
        <v>430</v>
      </c>
      <c r="L984" s="67" t="n">
        <v>21.3</v>
      </c>
      <c r="M984" s="68" t="n">
        <v>66.7</v>
      </c>
      <c r="N984" s="65" t="n">
        <v>0.424342</v>
      </c>
      <c r="O984" s="69" t="n">
        <v>1.4203</v>
      </c>
      <c r="P984" s="65" t="n">
        <v>35.54</v>
      </c>
      <c r="Q984" s="62" t="s">
        <v>2098</v>
      </c>
      <c r="R984" s="62" t="s">
        <v>2294</v>
      </c>
      <c r="S984" s="67" t="n">
        <v>0.5</v>
      </c>
      <c r="T984" s="65" t="n">
        <v>430</v>
      </c>
      <c r="U984" s="56" t="n">
        <f aca="false">I984*O984</f>
        <v>2.116247</v>
      </c>
      <c r="V984" s="56" t="n">
        <f aca="false">J984*O984</f>
        <v>6.334538</v>
      </c>
      <c r="W984" s="56" t="n">
        <f aca="false">((I984+J984)/2)*O984</f>
        <v>4.2253925</v>
      </c>
      <c r="X984" s="56" t="n">
        <f aca="false">H984*O984</f>
        <v>56.812</v>
      </c>
    </row>
    <row r="985" customFormat="false" ht="22.35" hidden="false" customHeight="false" outlineLevel="0" collapsed="false">
      <c r="A985" s="76" t="s">
        <v>2063</v>
      </c>
      <c r="B985" s="49" t="s">
        <v>2224</v>
      </c>
      <c r="C985" s="49" t="s">
        <v>2225</v>
      </c>
      <c r="D985" s="49" t="s">
        <v>2095</v>
      </c>
      <c r="E985" s="61" t="s">
        <v>2113</v>
      </c>
      <c r="F985" s="49" t="s">
        <v>2097</v>
      </c>
      <c r="G985" s="49" t="s">
        <v>2097</v>
      </c>
      <c r="H985" s="51" t="n">
        <v>1263</v>
      </c>
      <c r="I985" s="51" t="n">
        <v>2505.62</v>
      </c>
      <c r="J985" s="51" t="n">
        <v>5011.24</v>
      </c>
      <c r="K985" s="52" t="n">
        <v>5320</v>
      </c>
      <c r="L985" s="53" t="n">
        <v>33.2</v>
      </c>
      <c r="M985" s="54" t="n">
        <v>81.8</v>
      </c>
      <c r="N985" s="51" t="n">
        <v>75.470607</v>
      </c>
      <c r="O985" s="55" t="n">
        <v>3.96</v>
      </c>
      <c r="P985" s="51" t="n">
        <v>-3748.24</v>
      </c>
      <c r="Q985" s="49" t="s">
        <v>2103</v>
      </c>
      <c r="R985" s="49" t="s">
        <v>2099</v>
      </c>
      <c r="S985" s="53" t="n">
        <v>1</v>
      </c>
      <c r="T985" s="51" t="n">
        <v>380</v>
      </c>
      <c r="U985" s="56" t="n">
        <f aca="false">I985*O985</f>
        <v>9922.2552</v>
      </c>
      <c r="V985" s="56" t="n">
        <f aca="false">J985*O985</f>
        <v>19844.5104</v>
      </c>
      <c r="W985" s="56" t="n">
        <f aca="false">((I985+J985)/2)*O985</f>
        <v>14883.3828</v>
      </c>
      <c r="X985" s="56" t="n">
        <f aca="false">H985*O985</f>
        <v>5001.48</v>
      </c>
    </row>
    <row r="986" customFormat="false" ht="15" hidden="false" customHeight="false" outlineLevel="0" collapsed="false">
      <c r="A986" s="76" t="s">
        <v>2063</v>
      </c>
      <c r="B986" s="7" t="s">
        <v>3594</v>
      </c>
      <c r="C986" s="7" t="s">
        <v>3595</v>
      </c>
      <c r="D986" s="7" t="s">
        <v>2101</v>
      </c>
      <c r="E986" s="50" t="s">
        <v>2096</v>
      </c>
      <c r="F986" s="7" t="s">
        <v>2097</v>
      </c>
      <c r="G986" s="7" t="s">
        <v>2097</v>
      </c>
      <c r="H986" s="9" t="n">
        <v>40</v>
      </c>
      <c r="I986" s="9" t="n">
        <v>2.32</v>
      </c>
      <c r="J986" s="9" t="n">
        <v>6.96</v>
      </c>
      <c r="K986" s="52" t="n">
        <v>165</v>
      </c>
      <c r="L986" s="58" t="n">
        <v>14.1</v>
      </c>
      <c r="M986" s="59" t="n">
        <v>73.7</v>
      </c>
      <c r="N986" s="9" t="n">
        <v>0.328822</v>
      </c>
      <c r="O986" s="8" t="n">
        <v>4.54</v>
      </c>
      <c r="P986" s="9" t="n">
        <v>33.04</v>
      </c>
      <c r="Q986" s="7" t="s">
        <v>2098</v>
      </c>
      <c r="R986" s="7" t="s">
        <v>2099</v>
      </c>
      <c r="S986" s="58" t="n">
        <v>0.5</v>
      </c>
      <c r="T986" s="9" t="n">
        <v>165</v>
      </c>
      <c r="U986" s="56" t="n">
        <f aca="false">I986*O986</f>
        <v>10.5328</v>
      </c>
      <c r="V986" s="56" t="n">
        <f aca="false">J986*O986</f>
        <v>31.5984</v>
      </c>
      <c r="W986" s="56" t="n">
        <f aca="false">((I986+J986)/2)*O986</f>
        <v>21.0656</v>
      </c>
      <c r="X986" s="56" t="n">
        <f aca="false">H986*O986</f>
        <v>181.6</v>
      </c>
    </row>
    <row r="987" customFormat="false" ht="22.35" hidden="false" customHeight="false" outlineLevel="0" collapsed="false">
      <c r="A987" s="76" t="s">
        <v>2063</v>
      </c>
      <c r="B987" s="4" t="s">
        <v>3596</v>
      </c>
      <c r="C987" s="4" t="s">
        <v>3597</v>
      </c>
      <c r="D987" s="4" t="s">
        <v>2101</v>
      </c>
      <c r="E987" s="70" t="s">
        <v>2193</v>
      </c>
      <c r="F987" s="4" t="s">
        <v>2097</v>
      </c>
      <c r="G987" s="71" t="s">
        <v>2194</v>
      </c>
      <c r="H987" s="6" t="n">
        <v>28</v>
      </c>
      <c r="I987" s="6" t="n">
        <v>0</v>
      </c>
      <c r="J987" s="6" t="n">
        <v>0</v>
      </c>
      <c r="K987" s="52" t="n">
        <v>0</v>
      </c>
      <c r="L987" s="72" t="n">
        <v>16.8</v>
      </c>
      <c r="M987" s="73" t="n">
        <v>50</v>
      </c>
      <c r="N987" s="6" t="n">
        <v>0.154767</v>
      </c>
      <c r="O987" s="5" t="n">
        <v>12.44</v>
      </c>
      <c r="P987" s="6" t="n">
        <v>28</v>
      </c>
      <c r="Q987" s="4" t="s">
        <v>2098</v>
      </c>
      <c r="R987" s="4" t="s">
        <v>2195</v>
      </c>
      <c r="S987" s="72" t="n">
        <v>0</v>
      </c>
      <c r="T987" s="6" t="n">
        <v>40</v>
      </c>
      <c r="U987" s="56" t="n">
        <f aca="false">I987*O987</f>
        <v>0</v>
      </c>
      <c r="V987" s="56" t="n">
        <f aca="false">J987*O987</f>
        <v>0</v>
      </c>
      <c r="W987" s="56" t="n">
        <f aca="false">((I987+J987)/2)*O987</f>
        <v>0</v>
      </c>
      <c r="X987" s="56" t="n">
        <f aca="false">H987*O987</f>
        <v>348.32</v>
      </c>
    </row>
    <row r="988" customFormat="false" ht="22.35" hidden="false" customHeight="false" outlineLevel="0" collapsed="false">
      <c r="A988" s="76" t="s">
        <v>2063</v>
      </c>
      <c r="B988" s="7" t="s">
        <v>2226</v>
      </c>
      <c r="C988" s="7" t="s">
        <v>2227</v>
      </c>
      <c r="D988" s="7" t="s">
        <v>2101</v>
      </c>
      <c r="E988" s="57" t="s">
        <v>2102</v>
      </c>
      <c r="F988" s="7" t="s">
        <v>2097</v>
      </c>
      <c r="G988" s="7" t="s">
        <v>2097</v>
      </c>
      <c r="H988" s="9" t="n">
        <v>400</v>
      </c>
      <c r="I988" s="9" t="n">
        <v>180.61</v>
      </c>
      <c r="J988" s="9" t="n">
        <v>541.83</v>
      </c>
      <c r="K988" s="52" t="n">
        <v>825</v>
      </c>
      <c r="L988" s="58" t="n">
        <v>31.4</v>
      </c>
      <c r="M988" s="59" t="n">
        <v>83.8</v>
      </c>
      <c r="N988" s="9" t="n">
        <v>11.503667</v>
      </c>
      <c r="O988" s="8" t="n">
        <v>3.1</v>
      </c>
      <c r="P988" s="9" t="n">
        <v>-141.83</v>
      </c>
      <c r="Q988" s="7" t="s">
        <v>2103</v>
      </c>
      <c r="R988" s="7" t="s">
        <v>2099</v>
      </c>
      <c r="S988" s="58" t="n">
        <v>0.5</v>
      </c>
      <c r="T988" s="9" t="n">
        <v>412.5</v>
      </c>
      <c r="U988" s="56" t="n">
        <f aca="false">I988*O988</f>
        <v>559.891</v>
      </c>
      <c r="V988" s="56" t="n">
        <f aca="false">J988*O988</f>
        <v>1679.673</v>
      </c>
      <c r="W988" s="56" t="n">
        <f aca="false">((I988+J988)/2)*O988</f>
        <v>1119.782</v>
      </c>
      <c r="X988" s="56" t="n">
        <f aca="false">H988*O988</f>
        <v>1240</v>
      </c>
    </row>
    <row r="989" customFormat="false" ht="22.35" hidden="false" customHeight="false" outlineLevel="0" collapsed="false">
      <c r="A989" s="76" t="s">
        <v>2063</v>
      </c>
      <c r="B989" s="49" t="s">
        <v>2228</v>
      </c>
      <c r="C989" s="49" t="s">
        <v>1542</v>
      </c>
      <c r="D989" s="49" t="s">
        <v>2101</v>
      </c>
      <c r="E989" s="57" t="s">
        <v>2102</v>
      </c>
      <c r="F989" s="49" t="s">
        <v>2097</v>
      </c>
      <c r="G989" s="49" t="s">
        <v>2097</v>
      </c>
      <c r="H989" s="51" t="n">
        <v>80</v>
      </c>
      <c r="I989" s="51" t="n">
        <v>106.72</v>
      </c>
      <c r="J989" s="51" t="n">
        <v>320.16</v>
      </c>
      <c r="K989" s="52" t="n">
        <v>320.16</v>
      </c>
      <c r="L989" s="53" t="n">
        <v>24.1</v>
      </c>
      <c r="M989" s="54" t="n">
        <v>78</v>
      </c>
      <c r="N989" s="51" t="n">
        <v>8.856587</v>
      </c>
      <c r="O989" s="55" t="n">
        <v>11.224</v>
      </c>
      <c r="P989" s="51" t="n">
        <v>-240.16</v>
      </c>
      <c r="Q989" s="49" t="s">
        <v>2103</v>
      </c>
      <c r="R989" s="49" t="s">
        <v>2099</v>
      </c>
      <c r="S989" s="53" t="n">
        <v>0.5</v>
      </c>
      <c r="T989" s="51" t="n">
        <v>1</v>
      </c>
      <c r="U989" s="56" t="n">
        <f aca="false">I989*O989</f>
        <v>1197.82528</v>
      </c>
      <c r="V989" s="56" t="n">
        <f aca="false">J989*O989</f>
        <v>3593.47584</v>
      </c>
      <c r="W989" s="56" t="n">
        <f aca="false">((I989+J989)/2)*O989</f>
        <v>2395.65056</v>
      </c>
      <c r="X989" s="56" t="n">
        <f aca="false">H989*O989</f>
        <v>897.92</v>
      </c>
    </row>
    <row r="990" customFormat="false" ht="32.8" hidden="false" customHeight="false" outlineLevel="0" collapsed="false">
      <c r="A990" s="76" t="s">
        <v>2063</v>
      </c>
      <c r="B990" s="62" t="s">
        <v>3598</v>
      </c>
      <c r="C990" s="62" t="s">
        <v>1965</v>
      </c>
      <c r="D990" s="62" t="s">
        <v>2101</v>
      </c>
      <c r="E990" s="78" t="s">
        <v>3474</v>
      </c>
      <c r="F990" s="64" t="s">
        <v>2170</v>
      </c>
      <c r="G990" s="62" t="s">
        <v>2097</v>
      </c>
      <c r="H990" s="65" t="n">
        <v>80</v>
      </c>
      <c r="I990" s="65" t="n">
        <v>87.4</v>
      </c>
      <c r="J990" s="65" t="n">
        <v>262.2</v>
      </c>
      <c r="K990" s="66" t="n">
        <v>440.9</v>
      </c>
      <c r="L990" s="67" t="n">
        <v>15.1</v>
      </c>
      <c r="M990" s="68" t="n">
        <v>60</v>
      </c>
      <c r="N990" s="65" t="n">
        <v>8.155219</v>
      </c>
      <c r="O990" s="69" t="n">
        <v>4.5</v>
      </c>
      <c r="P990" s="65" t="n">
        <v>-182.2</v>
      </c>
      <c r="Q990" s="62" t="s">
        <v>2103</v>
      </c>
      <c r="R990" s="62" t="s">
        <v>3599</v>
      </c>
      <c r="S990" s="67" t="n">
        <v>0.5</v>
      </c>
      <c r="T990" s="65" t="n">
        <v>440.9</v>
      </c>
      <c r="U990" s="56" t="n">
        <f aca="false">I990*O990</f>
        <v>393.3</v>
      </c>
      <c r="V990" s="56" t="n">
        <f aca="false">J990*O990</f>
        <v>1179.9</v>
      </c>
      <c r="W990" s="56" t="n">
        <f aca="false">((I990+J990)/2)*O990</f>
        <v>786.6</v>
      </c>
      <c r="X990" s="56" t="n">
        <f aca="false">H990*O990</f>
        <v>360</v>
      </c>
    </row>
    <row r="991" customFormat="false" ht="22.35" hidden="false" customHeight="false" outlineLevel="0" collapsed="false">
      <c r="A991" s="76" t="s">
        <v>2063</v>
      </c>
      <c r="B991" s="49" t="s">
        <v>2229</v>
      </c>
      <c r="C991" s="49" t="s">
        <v>2230</v>
      </c>
      <c r="D991" s="49" t="s">
        <v>2101</v>
      </c>
      <c r="E991" s="57" t="s">
        <v>2102</v>
      </c>
      <c r="F991" s="49" t="s">
        <v>2097</v>
      </c>
      <c r="G991" s="49" t="s">
        <v>2097</v>
      </c>
      <c r="H991" s="51" t="n">
        <v>673</v>
      </c>
      <c r="I991" s="51" t="n">
        <v>364.72</v>
      </c>
      <c r="J991" s="51" t="n">
        <v>1094.16</v>
      </c>
      <c r="K991" s="52" t="n">
        <v>1323</v>
      </c>
      <c r="L991" s="53" t="n">
        <v>28.3</v>
      </c>
      <c r="M991" s="54" t="n">
        <v>79.2</v>
      </c>
      <c r="N991" s="51" t="n">
        <v>25.775231</v>
      </c>
      <c r="O991" s="55" t="n">
        <v>4.1845</v>
      </c>
      <c r="P991" s="51" t="n">
        <v>-421.16</v>
      </c>
      <c r="Q991" s="49" t="s">
        <v>2103</v>
      </c>
      <c r="R991" s="49" t="s">
        <v>2099</v>
      </c>
      <c r="S991" s="53" t="n">
        <v>0.5</v>
      </c>
      <c r="T991" s="51" t="n">
        <v>441</v>
      </c>
      <c r="U991" s="56" t="n">
        <f aca="false">I991*O991</f>
        <v>1526.17084</v>
      </c>
      <c r="V991" s="56" t="n">
        <f aca="false">J991*O991</f>
        <v>4578.51252</v>
      </c>
      <c r="W991" s="56" t="n">
        <f aca="false">((I991+J991)/2)*O991</f>
        <v>3052.34168</v>
      </c>
      <c r="X991" s="56" t="n">
        <f aca="false">H991*O991</f>
        <v>2816.1685</v>
      </c>
    </row>
    <row r="992" customFormat="false" ht="22.35" hidden="false" customHeight="false" outlineLevel="0" collapsed="false">
      <c r="A992" s="76" t="s">
        <v>2063</v>
      </c>
      <c r="B992" s="7" t="s">
        <v>2231</v>
      </c>
      <c r="C992" s="7" t="s">
        <v>1615</v>
      </c>
      <c r="D992" s="7" t="s">
        <v>2095</v>
      </c>
      <c r="E992" s="61" t="s">
        <v>2113</v>
      </c>
      <c r="F992" s="7" t="s">
        <v>2097</v>
      </c>
      <c r="G992" s="7" t="s">
        <v>2097</v>
      </c>
      <c r="H992" s="9" t="n">
        <v>14797</v>
      </c>
      <c r="I992" s="9" t="n">
        <v>21237.28</v>
      </c>
      <c r="J992" s="9" t="n">
        <v>42474.56</v>
      </c>
      <c r="K992" s="52" t="n">
        <v>44090</v>
      </c>
      <c r="L992" s="58" t="n">
        <v>30.9</v>
      </c>
      <c r="M992" s="59" t="n">
        <v>76.7</v>
      </c>
      <c r="N992" s="9" t="n">
        <v>687.290665</v>
      </c>
      <c r="O992" s="8" t="n">
        <v>2.96</v>
      </c>
      <c r="P992" s="9" t="n">
        <v>-27677.56</v>
      </c>
      <c r="Q992" s="7" t="s">
        <v>2103</v>
      </c>
      <c r="R992" s="7" t="s">
        <v>2099</v>
      </c>
      <c r="S992" s="58" t="n">
        <v>1</v>
      </c>
      <c r="T992" s="9" t="n">
        <v>11022.5</v>
      </c>
      <c r="U992" s="56" t="n">
        <f aca="false">I992*O992</f>
        <v>62862.3488</v>
      </c>
      <c r="V992" s="56" t="n">
        <f aca="false">J992*O992</f>
        <v>125724.6976</v>
      </c>
      <c r="W992" s="56" t="n">
        <f aca="false">((I992+J992)/2)*O992</f>
        <v>94293.5232</v>
      </c>
      <c r="X992" s="56" t="n">
        <f aca="false">H992*O992</f>
        <v>43799.12</v>
      </c>
    </row>
    <row r="993" customFormat="false" ht="15" hidden="false" customHeight="false" outlineLevel="0" collapsed="false">
      <c r="A993" s="76" t="s">
        <v>2063</v>
      </c>
      <c r="B993" s="49" t="s">
        <v>2232</v>
      </c>
      <c r="C993" s="49" t="s">
        <v>2233</v>
      </c>
      <c r="D993" s="49" t="s">
        <v>2101</v>
      </c>
      <c r="E993" s="50" t="s">
        <v>2096</v>
      </c>
      <c r="F993" s="49" t="s">
        <v>2097</v>
      </c>
      <c r="G993" s="49" t="s">
        <v>2097</v>
      </c>
      <c r="H993" s="51" t="n">
        <v>40</v>
      </c>
      <c r="I993" s="51" t="n">
        <v>3.89</v>
      </c>
      <c r="J993" s="51" t="n">
        <v>11.67</v>
      </c>
      <c r="K993" s="52" t="n">
        <v>11.67</v>
      </c>
      <c r="L993" s="53" t="n">
        <v>36.4</v>
      </c>
      <c r="M993" s="54" t="n">
        <v>71.7</v>
      </c>
      <c r="N993" s="51" t="n">
        <v>0.213745</v>
      </c>
      <c r="O993" s="55" t="n">
        <v>3.1</v>
      </c>
      <c r="P993" s="51" t="n">
        <v>28.33</v>
      </c>
      <c r="Q993" s="49" t="s">
        <v>2098</v>
      </c>
      <c r="R993" s="49" t="s">
        <v>2099</v>
      </c>
      <c r="S993" s="53" t="n">
        <v>0.5</v>
      </c>
      <c r="T993" s="51" t="n">
        <v>1</v>
      </c>
      <c r="U993" s="56" t="n">
        <f aca="false">I993*O993</f>
        <v>12.059</v>
      </c>
      <c r="V993" s="56" t="n">
        <f aca="false">J993*O993</f>
        <v>36.177</v>
      </c>
      <c r="W993" s="56" t="n">
        <f aca="false">((I993+J993)/2)*O993</f>
        <v>24.118</v>
      </c>
      <c r="X993" s="56" t="n">
        <f aca="false">H993*O993</f>
        <v>124</v>
      </c>
    </row>
    <row r="994" customFormat="false" ht="22.35" hidden="false" customHeight="false" outlineLevel="0" collapsed="false">
      <c r="A994" s="76" t="s">
        <v>2063</v>
      </c>
      <c r="B994" s="4" t="s">
        <v>3600</v>
      </c>
      <c r="C994" s="4" t="s">
        <v>2237</v>
      </c>
      <c r="D994" s="4" t="s">
        <v>2101</v>
      </c>
      <c r="E994" s="70" t="s">
        <v>2193</v>
      </c>
      <c r="F994" s="4" t="s">
        <v>2097</v>
      </c>
      <c r="G994" s="71" t="s">
        <v>2194</v>
      </c>
      <c r="H994" s="6" t="n">
        <v>100</v>
      </c>
      <c r="I994" s="6" t="n">
        <v>0</v>
      </c>
      <c r="J994" s="6" t="n">
        <v>0</v>
      </c>
      <c r="K994" s="52" t="n">
        <v>0</v>
      </c>
      <c r="L994" s="72" t="n">
        <v>18</v>
      </c>
      <c r="M994" s="73" t="n">
        <v>50</v>
      </c>
      <c r="N994" s="6" t="n">
        <v>0.161356</v>
      </c>
      <c r="O994" s="5" t="n">
        <v>4.76</v>
      </c>
      <c r="P994" s="6" t="n">
        <v>100</v>
      </c>
      <c r="Q994" s="4" t="s">
        <v>2098</v>
      </c>
      <c r="R994" s="4" t="s">
        <v>2195</v>
      </c>
      <c r="S994" s="72" t="n">
        <v>0</v>
      </c>
      <c r="T994" s="6" t="n">
        <v>375</v>
      </c>
      <c r="U994" s="56" t="n">
        <f aca="false">I994*O994</f>
        <v>0</v>
      </c>
      <c r="V994" s="56" t="n">
        <f aca="false">J994*O994</f>
        <v>0</v>
      </c>
      <c r="W994" s="56" t="n">
        <f aca="false">((I994+J994)/2)*O994</f>
        <v>0</v>
      </c>
      <c r="X994" s="56" t="n">
        <f aca="false">H994*O994</f>
        <v>476</v>
      </c>
    </row>
    <row r="995" customFormat="false" ht="22.35" hidden="false" customHeight="false" outlineLevel="0" collapsed="false">
      <c r="A995" s="76" t="s">
        <v>2063</v>
      </c>
      <c r="B995" s="49" t="s">
        <v>3601</v>
      </c>
      <c r="C995" s="49" t="s">
        <v>1615</v>
      </c>
      <c r="D995" s="49" t="s">
        <v>2101</v>
      </c>
      <c r="E995" s="57" t="s">
        <v>2102</v>
      </c>
      <c r="F995" s="49" t="s">
        <v>2097</v>
      </c>
      <c r="G995" s="49" t="s">
        <v>2097</v>
      </c>
      <c r="H995" s="51" t="n">
        <v>3283</v>
      </c>
      <c r="I995" s="51" t="n">
        <v>1657.57</v>
      </c>
      <c r="J995" s="51" t="n">
        <v>4972.72</v>
      </c>
      <c r="K995" s="52" t="n">
        <v>5635</v>
      </c>
      <c r="L995" s="53" t="n">
        <v>25.4</v>
      </c>
      <c r="M995" s="54" t="n">
        <v>88.6</v>
      </c>
      <c r="N995" s="51" t="n">
        <v>130.517529</v>
      </c>
      <c r="O995" s="55" t="n">
        <v>5.06</v>
      </c>
      <c r="P995" s="51" t="n">
        <v>-1689.72</v>
      </c>
      <c r="Q995" s="49" t="s">
        <v>2103</v>
      </c>
      <c r="R995" s="49" t="s">
        <v>2099</v>
      </c>
      <c r="S995" s="53" t="n">
        <v>0.5</v>
      </c>
      <c r="T995" s="51" t="n">
        <v>5635</v>
      </c>
      <c r="U995" s="56" t="n">
        <f aca="false">I995*O995</f>
        <v>8387.3042</v>
      </c>
      <c r="V995" s="56" t="n">
        <f aca="false">J995*O995</f>
        <v>25161.9632</v>
      </c>
      <c r="W995" s="56" t="n">
        <f aca="false">((I995+J995)/2)*O995</f>
        <v>16774.6337</v>
      </c>
      <c r="X995" s="56" t="n">
        <f aca="false">H995*O995</f>
        <v>16611.98</v>
      </c>
    </row>
    <row r="996" customFormat="false" ht="22.35" hidden="false" customHeight="false" outlineLevel="0" collapsed="false">
      <c r="A996" s="76" t="s">
        <v>2063</v>
      </c>
      <c r="B996" s="7" t="s">
        <v>3602</v>
      </c>
      <c r="C996" s="7" t="s">
        <v>2215</v>
      </c>
      <c r="D996" s="7" t="s">
        <v>2101</v>
      </c>
      <c r="E996" s="57" t="s">
        <v>2102</v>
      </c>
      <c r="F996" s="7" t="s">
        <v>2097</v>
      </c>
      <c r="G996" s="7" t="s">
        <v>2097</v>
      </c>
      <c r="H996" s="9" t="n">
        <v>40</v>
      </c>
      <c r="I996" s="9" t="n">
        <v>22.82</v>
      </c>
      <c r="J996" s="9" t="n">
        <v>68.47</v>
      </c>
      <c r="K996" s="52" t="n">
        <v>68.47</v>
      </c>
      <c r="L996" s="58" t="n">
        <v>23.4</v>
      </c>
      <c r="M996" s="59" t="n">
        <v>60</v>
      </c>
      <c r="N996" s="9" t="n">
        <v>1.950671</v>
      </c>
      <c r="O996" s="8" t="n">
        <v>5.2705</v>
      </c>
      <c r="P996" s="9" t="n">
        <v>-28.47</v>
      </c>
      <c r="Q996" s="7" t="s">
        <v>2103</v>
      </c>
      <c r="R996" s="7" t="s">
        <v>2099</v>
      </c>
      <c r="S996" s="58" t="n">
        <v>0.5</v>
      </c>
      <c r="T996" s="9" t="n">
        <v>1</v>
      </c>
      <c r="U996" s="56" t="n">
        <f aca="false">I996*O996</f>
        <v>120.27281</v>
      </c>
      <c r="V996" s="56" t="n">
        <f aca="false">J996*O996</f>
        <v>360.871135</v>
      </c>
      <c r="W996" s="56" t="n">
        <f aca="false">((I996+J996)/2)*O996</f>
        <v>240.5719725</v>
      </c>
      <c r="X996" s="56" t="n">
        <f aca="false">H996*O996</f>
        <v>210.82</v>
      </c>
    </row>
    <row r="997" customFormat="false" ht="22.35" hidden="false" customHeight="false" outlineLevel="0" collapsed="false">
      <c r="A997" s="76" t="s">
        <v>2063</v>
      </c>
      <c r="B997" s="49" t="s">
        <v>3603</v>
      </c>
      <c r="C997" s="49" t="s">
        <v>3604</v>
      </c>
      <c r="D997" s="49" t="s">
        <v>2101</v>
      </c>
      <c r="E997" s="57" t="s">
        <v>2102</v>
      </c>
      <c r="F997" s="49" t="s">
        <v>2097</v>
      </c>
      <c r="G997" s="49" t="s">
        <v>2097</v>
      </c>
      <c r="H997" s="51" t="n">
        <v>40</v>
      </c>
      <c r="I997" s="51" t="n">
        <v>34.17</v>
      </c>
      <c r="J997" s="51" t="n">
        <v>102.52</v>
      </c>
      <c r="K997" s="52" t="n">
        <v>420</v>
      </c>
      <c r="L997" s="53" t="n">
        <v>36.9</v>
      </c>
      <c r="M997" s="54" t="n">
        <v>28.6</v>
      </c>
      <c r="N997" s="51" t="n">
        <v>1.85227</v>
      </c>
      <c r="O997" s="55" t="n">
        <v>1.982</v>
      </c>
      <c r="P997" s="51" t="n">
        <v>-62.52</v>
      </c>
      <c r="Q997" s="49" t="s">
        <v>2103</v>
      </c>
      <c r="R997" s="49" t="s">
        <v>2099</v>
      </c>
      <c r="S997" s="53" t="n">
        <v>0.5</v>
      </c>
      <c r="T997" s="51" t="n">
        <v>420</v>
      </c>
      <c r="U997" s="56" t="n">
        <f aca="false">I997*O997</f>
        <v>67.72494</v>
      </c>
      <c r="V997" s="56" t="n">
        <f aca="false">J997*O997</f>
        <v>203.19464</v>
      </c>
      <c r="W997" s="56" t="n">
        <f aca="false">((I997+J997)/2)*O997</f>
        <v>135.45979</v>
      </c>
      <c r="X997" s="56" t="n">
        <f aca="false">H997*O997</f>
        <v>79.28</v>
      </c>
    </row>
    <row r="998" customFormat="false" ht="32.8" hidden="false" customHeight="false" outlineLevel="0" collapsed="false">
      <c r="A998" s="76" t="s">
        <v>2063</v>
      </c>
      <c r="B998" s="62" t="s">
        <v>3605</v>
      </c>
      <c r="C998" s="62" t="s">
        <v>3606</v>
      </c>
      <c r="D998" s="62" t="s">
        <v>2101</v>
      </c>
      <c r="E998" s="78" t="s">
        <v>3474</v>
      </c>
      <c r="F998" s="64" t="s">
        <v>2170</v>
      </c>
      <c r="G998" s="62" t="s">
        <v>2097</v>
      </c>
      <c r="H998" s="65" t="n">
        <v>80</v>
      </c>
      <c r="I998" s="65" t="n">
        <v>236.26</v>
      </c>
      <c r="J998" s="65" t="n">
        <v>708.78</v>
      </c>
      <c r="K998" s="66" t="n">
        <v>708.78</v>
      </c>
      <c r="L998" s="67" t="n">
        <v>60.7</v>
      </c>
      <c r="M998" s="68" t="n">
        <v>33.3</v>
      </c>
      <c r="N998" s="65" t="n">
        <v>5.369548</v>
      </c>
      <c r="O998" s="69" t="n">
        <v>29.3082</v>
      </c>
      <c r="P998" s="65" t="n">
        <v>-628.78</v>
      </c>
      <c r="Q998" s="62" t="s">
        <v>2103</v>
      </c>
      <c r="R998" s="62" t="s">
        <v>3479</v>
      </c>
      <c r="S998" s="67" t="n">
        <v>0.5</v>
      </c>
      <c r="T998" s="65" t="n">
        <v>1</v>
      </c>
      <c r="U998" s="56" t="n">
        <f aca="false">I998*O998</f>
        <v>6924.355332</v>
      </c>
      <c r="V998" s="56" t="n">
        <f aca="false">J998*O998</f>
        <v>20773.065996</v>
      </c>
      <c r="W998" s="56" t="n">
        <f aca="false">((I998+J998)/2)*O998</f>
        <v>13848.710664</v>
      </c>
      <c r="X998" s="56" t="n">
        <f aca="false">H998*O998</f>
        <v>2344.656</v>
      </c>
    </row>
    <row r="999" customFormat="false" ht="22.35" hidden="false" customHeight="false" outlineLevel="0" collapsed="false">
      <c r="A999" s="76" t="s">
        <v>2063</v>
      </c>
      <c r="B999" s="49" t="s">
        <v>2234</v>
      </c>
      <c r="C999" s="49" t="s">
        <v>1517</v>
      </c>
      <c r="D999" s="49" t="s">
        <v>2101</v>
      </c>
      <c r="E999" s="57" t="s">
        <v>2102</v>
      </c>
      <c r="F999" s="49" t="s">
        <v>2097</v>
      </c>
      <c r="G999" s="49" t="s">
        <v>2097</v>
      </c>
      <c r="H999" s="51" t="n">
        <v>80</v>
      </c>
      <c r="I999" s="51" t="n">
        <v>28.11</v>
      </c>
      <c r="J999" s="51" t="n">
        <v>84.33</v>
      </c>
      <c r="K999" s="52" t="n">
        <v>88</v>
      </c>
      <c r="L999" s="53" t="n">
        <v>21.1</v>
      </c>
      <c r="M999" s="54" t="n">
        <v>84.2</v>
      </c>
      <c r="N999" s="51" t="n">
        <v>2.664653</v>
      </c>
      <c r="O999" s="55" t="n">
        <v>34.25</v>
      </c>
      <c r="P999" s="51" t="n">
        <v>-4.33</v>
      </c>
      <c r="Q999" s="49" t="s">
        <v>2103</v>
      </c>
      <c r="R999" s="49" t="s">
        <v>2099</v>
      </c>
      <c r="S999" s="53" t="n">
        <v>0.5</v>
      </c>
      <c r="T999" s="51" t="n">
        <v>44</v>
      </c>
      <c r="U999" s="56" t="n">
        <f aca="false">I999*O999</f>
        <v>962.7675</v>
      </c>
      <c r="V999" s="56" t="n">
        <f aca="false">J999*O999</f>
        <v>2888.3025</v>
      </c>
      <c r="W999" s="56" t="n">
        <f aca="false">((I999+J999)/2)*O999</f>
        <v>1925.535</v>
      </c>
      <c r="X999" s="56" t="n">
        <f aca="false">H999*O999</f>
        <v>2740</v>
      </c>
    </row>
    <row r="1000" customFormat="false" ht="22.35" hidden="false" customHeight="false" outlineLevel="0" collapsed="false">
      <c r="A1000" s="76" t="s">
        <v>2063</v>
      </c>
      <c r="B1000" s="7" t="s">
        <v>3607</v>
      </c>
      <c r="C1000" s="7" t="s">
        <v>2227</v>
      </c>
      <c r="D1000" s="7" t="s">
        <v>2101</v>
      </c>
      <c r="E1000" s="57" t="s">
        <v>2102</v>
      </c>
      <c r="F1000" s="7" t="s">
        <v>2097</v>
      </c>
      <c r="G1000" s="7" t="s">
        <v>2097</v>
      </c>
      <c r="H1000" s="9" t="n">
        <v>320</v>
      </c>
      <c r="I1000" s="9" t="n">
        <v>230.24</v>
      </c>
      <c r="J1000" s="9" t="n">
        <v>690.72</v>
      </c>
      <c r="K1000" s="52" t="n">
        <v>880</v>
      </c>
      <c r="L1000" s="58" t="n">
        <v>34.4</v>
      </c>
      <c r="M1000" s="59" t="n">
        <v>60</v>
      </c>
      <c r="N1000" s="9" t="n">
        <v>13.38592</v>
      </c>
      <c r="O1000" s="8" t="n">
        <v>9.927</v>
      </c>
      <c r="P1000" s="9" t="n">
        <v>-370.72</v>
      </c>
      <c r="Q1000" s="7" t="s">
        <v>2103</v>
      </c>
      <c r="R1000" s="7" t="s">
        <v>2099</v>
      </c>
      <c r="S1000" s="58" t="n">
        <v>0.5</v>
      </c>
      <c r="T1000" s="9" t="n">
        <v>440</v>
      </c>
      <c r="U1000" s="56" t="n">
        <f aca="false">I1000*O1000</f>
        <v>2285.59248</v>
      </c>
      <c r="V1000" s="56" t="n">
        <f aca="false">J1000*O1000</f>
        <v>6856.77744</v>
      </c>
      <c r="W1000" s="56" t="n">
        <f aca="false">((I1000+J1000)/2)*O1000</f>
        <v>4571.18496</v>
      </c>
      <c r="X1000" s="56" t="n">
        <f aca="false">H1000*O1000</f>
        <v>3176.64</v>
      </c>
    </row>
    <row r="1001" customFormat="false" ht="22.35" hidden="false" customHeight="false" outlineLevel="0" collapsed="false">
      <c r="A1001" s="76" t="s">
        <v>2063</v>
      </c>
      <c r="B1001" s="49" t="s">
        <v>2235</v>
      </c>
      <c r="C1001" s="49" t="s">
        <v>1624</v>
      </c>
      <c r="D1001" s="49" t="s">
        <v>2101</v>
      </c>
      <c r="E1001" s="57" t="s">
        <v>2102</v>
      </c>
      <c r="F1001" s="49" t="s">
        <v>2097</v>
      </c>
      <c r="G1001" s="49" t="s">
        <v>2097</v>
      </c>
      <c r="H1001" s="51" t="n">
        <v>372</v>
      </c>
      <c r="I1001" s="51" t="n">
        <v>173.83</v>
      </c>
      <c r="J1001" s="51" t="n">
        <v>521.49</v>
      </c>
      <c r="K1001" s="52" t="n">
        <v>880</v>
      </c>
      <c r="L1001" s="53" t="n">
        <v>23</v>
      </c>
      <c r="M1001" s="54" t="n">
        <v>68.2</v>
      </c>
      <c r="N1001" s="51" t="n">
        <v>15.115485</v>
      </c>
      <c r="O1001" s="55" t="n">
        <v>18.32</v>
      </c>
      <c r="P1001" s="51" t="n">
        <v>-149.49</v>
      </c>
      <c r="Q1001" s="49" t="s">
        <v>2103</v>
      </c>
      <c r="R1001" s="49" t="s">
        <v>2099</v>
      </c>
      <c r="S1001" s="53" t="n">
        <v>0.5</v>
      </c>
      <c r="T1001" s="51" t="n">
        <v>440</v>
      </c>
      <c r="U1001" s="56" t="n">
        <f aca="false">I1001*O1001</f>
        <v>3184.5656</v>
      </c>
      <c r="V1001" s="56" t="n">
        <f aca="false">J1001*O1001</f>
        <v>9553.6968</v>
      </c>
      <c r="W1001" s="56" t="n">
        <f aca="false">((I1001+J1001)/2)*O1001</f>
        <v>6369.1312</v>
      </c>
      <c r="X1001" s="56" t="n">
        <f aca="false">H1001*O1001</f>
        <v>6815.04</v>
      </c>
    </row>
    <row r="1002" customFormat="false" ht="15" hidden="false" customHeight="false" outlineLevel="0" collapsed="false">
      <c r="A1002" s="76" t="s">
        <v>2063</v>
      </c>
      <c r="B1002" s="7" t="s">
        <v>3608</v>
      </c>
      <c r="C1002" s="7" t="s">
        <v>1497</v>
      </c>
      <c r="D1002" s="7" t="s">
        <v>2101</v>
      </c>
      <c r="E1002" s="50" t="s">
        <v>2096</v>
      </c>
      <c r="F1002" s="7" t="s">
        <v>2097</v>
      </c>
      <c r="G1002" s="7" t="s">
        <v>2097</v>
      </c>
      <c r="H1002" s="9" t="n">
        <v>40</v>
      </c>
      <c r="I1002" s="9" t="n">
        <v>0.52</v>
      </c>
      <c r="J1002" s="9" t="n">
        <v>1.55</v>
      </c>
      <c r="K1002" s="52" t="n">
        <v>1.55</v>
      </c>
      <c r="L1002" s="58" t="n">
        <v>99</v>
      </c>
      <c r="M1002" s="59" t="n">
        <v>50</v>
      </c>
      <c r="N1002" s="9" t="n">
        <v>0.010425</v>
      </c>
      <c r="O1002" s="8" t="n">
        <v>5.4777</v>
      </c>
      <c r="P1002" s="9" t="n">
        <v>38.45</v>
      </c>
      <c r="Q1002" s="7" t="s">
        <v>2098</v>
      </c>
      <c r="R1002" s="7" t="s">
        <v>2099</v>
      </c>
      <c r="S1002" s="58" t="n">
        <v>0.5</v>
      </c>
      <c r="T1002" s="9" t="n">
        <v>1</v>
      </c>
      <c r="U1002" s="56" t="n">
        <f aca="false">I1002*O1002</f>
        <v>2.848404</v>
      </c>
      <c r="V1002" s="56" t="n">
        <f aca="false">J1002*O1002</f>
        <v>8.490435</v>
      </c>
      <c r="W1002" s="56" t="n">
        <f aca="false">((I1002+J1002)/2)*O1002</f>
        <v>5.6694195</v>
      </c>
      <c r="X1002" s="56" t="n">
        <f aca="false">H1002*O1002</f>
        <v>219.108</v>
      </c>
    </row>
    <row r="1003" customFormat="false" ht="22.35" hidden="false" customHeight="false" outlineLevel="0" collapsed="false">
      <c r="A1003" s="76" t="s">
        <v>2063</v>
      </c>
      <c r="B1003" s="4" t="s">
        <v>3609</v>
      </c>
      <c r="C1003" s="4" t="s">
        <v>1624</v>
      </c>
      <c r="D1003" s="4" t="s">
        <v>2101</v>
      </c>
      <c r="E1003" s="70" t="s">
        <v>2193</v>
      </c>
      <c r="F1003" s="4" t="s">
        <v>2097</v>
      </c>
      <c r="G1003" s="71" t="s">
        <v>2194</v>
      </c>
      <c r="H1003" s="6" t="n">
        <v>80</v>
      </c>
      <c r="I1003" s="6" t="n">
        <v>0</v>
      </c>
      <c r="J1003" s="6" t="n">
        <v>0</v>
      </c>
      <c r="K1003" s="52" t="n">
        <v>0</v>
      </c>
      <c r="L1003" s="72" t="n">
        <v>26.5</v>
      </c>
      <c r="M1003" s="73" t="n">
        <v>50</v>
      </c>
      <c r="N1003" s="6" t="n">
        <v>0.193749</v>
      </c>
      <c r="O1003" s="5" t="n">
        <v>6.6116</v>
      </c>
      <c r="P1003" s="6" t="n">
        <v>80</v>
      </c>
      <c r="Q1003" s="4" t="s">
        <v>2098</v>
      </c>
      <c r="R1003" s="4" t="s">
        <v>2195</v>
      </c>
      <c r="S1003" s="72" t="n">
        <v>0</v>
      </c>
      <c r="T1003" s="6" t="n">
        <v>40</v>
      </c>
      <c r="U1003" s="56" t="n">
        <f aca="false">I1003*O1003</f>
        <v>0</v>
      </c>
      <c r="V1003" s="56" t="n">
        <f aca="false">J1003*O1003</f>
        <v>0</v>
      </c>
      <c r="W1003" s="56" t="n">
        <f aca="false">((I1003+J1003)/2)*O1003</f>
        <v>0</v>
      </c>
      <c r="X1003" s="56" t="n">
        <f aca="false">H1003*O1003</f>
        <v>528.928</v>
      </c>
    </row>
    <row r="1004" customFormat="false" ht="22.35" hidden="false" customHeight="false" outlineLevel="0" collapsed="false">
      <c r="A1004" s="76" t="s">
        <v>2063</v>
      </c>
      <c r="B1004" s="4" t="s">
        <v>3610</v>
      </c>
      <c r="C1004" s="4" t="s">
        <v>3611</v>
      </c>
      <c r="D1004" s="4" t="s">
        <v>2101</v>
      </c>
      <c r="E1004" s="70" t="s">
        <v>2193</v>
      </c>
      <c r="F1004" s="4" t="s">
        <v>2097</v>
      </c>
      <c r="G1004" s="71" t="s">
        <v>2194</v>
      </c>
      <c r="H1004" s="6" t="n">
        <v>40</v>
      </c>
      <c r="I1004" s="6" t="n">
        <v>0</v>
      </c>
      <c r="J1004" s="6" t="n">
        <v>0</v>
      </c>
      <c r="K1004" s="52" t="n">
        <v>0</v>
      </c>
      <c r="L1004" s="72" t="n">
        <v>13</v>
      </c>
      <c r="M1004" s="73" t="n">
        <v>50</v>
      </c>
      <c r="N1004" s="6" t="n">
        <v>0.282685</v>
      </c>
      <c r="O1004" s="5" t="n">
        <v>12.35</v>
      </c>
      <c r="P1004" s="6" t="n">
        <v>40</v>
      </c>
      <c r="Q1004" s="4" t="s">
        <v>2098</v>
      </c>
      <c r="R1004" s="4" t="s">
        <v>2195</v>
      </c>
      <c r="S1004" s="72" t="n">
        <v>0</v>
      </c>
      <c r="T1004" s="6" t="n">
        <v>1</v>
      </c>
      <c r="U1004" s="56" t="n">
        <f aca="false">I1004*O1004</f>
        <v>0</v>
      </c>
      <c r="V1004" s="56" t="n">
        <f aca="false">J1004*O1004</f>
        <v>0</v>
      </c>
      <c r="W1004" s="56" t="n">
        <f aca="false">((I1004+J1004)/2)*O1004</f>
        <v>0</v>
      </c>
      <c r="X1004" s="56" t="n">
        <f aca="false">H1004*O1004</f>
        <v>494</v>
      </c>
    </row>
    <row r="1005" customFormat="false" ht="15" hidden="false" customHeight="false" outlineLevel="0" collapsed="false">
      <c r="A1005" s="76" t="s">
        <v>2063</v>
      </c>
      <c r="B1005" s="49" t="s">
        <v>3612</v>
      </c>
      <c r="C1005" s="49" t="s">
        <v>1992</v>
      </c>
      <c r="D1005" s="49" t="s">
        <v>2101</v>
      </c>
      <c r="E1005" s="50" t="s">
        <v>2096</v>
      </c>
      <c r="F1005" s="49" t="s">
        <v>2097</v>
      </c>
      <c r="G1005" s="49" t="s">
        <v>2097</v>
      </c>
      <c r="H1005" s="51" t="n">
        <v>233</v>
      </c>
      <c r="I1005" s="51" t="n">
        <v>72.52</v>
      </c>
      <c r="J1005" s="51" t="n">
        <v>217.56</v>
      </c>
      <c r="K1005" s="52" t="n">
        <v>793.6</v>
      </c>
      <c r="L1005" s="53" t="n">
        <v>17.6</v>
      </c>
      <c r="M1005" s="54" t="n">
        <v>100</v>
      </c>
      <c r="N1005" s="51" t="n">
        <v>8.241192</v>
      </c>
      <c r="O1005" s="55" t="n">
        <v>4.67</v>
      </c>
      <c r="P1005" s="51" t="n">
        <v>15.44</v>
      </c>
      <c r="Q1005" s="49" t="s">
        <v>2098</v>
      </c>
      <c r="R1005" s="49" t="s">
        <v>2099</v>
      </c>
      <c r="S1005" s="53" t="n">
        <v>0.5</v>
      </c>
      <c r="T1005" s="51" t="n">
        <v>793.6</v>
      </c>
      <c r="U1005" s="56" t="n">
        <f aca="false">I1005*O1005</f>
        <v>338.6684</v>
      </c>
      <c r="V1005" s="56" t="n">
        <f aca="false">J1005*O1005</f>
        <v>1016.0052</v>
      </c>
      <c r="W1005" s="56" t="n">
        <f aca="false">((I1005+J1005)/2)*O1005</f>
        <v>677.3368</v>
      </c>
      <c r="X1005" s="56" t="n">
        <f aca="false">H1005*O1005</f>
        <v>1088.11</v>
      </c>
    </row>
    <row r="1006" customFormat="false" ht="22.35" hidden="false" customHeight="false" outlineLevel="0" collapsed="false">
      <c r="A1006" s="76" t="s">
        <v>2063</v>
      </c>
      <c r="B1006" s="7" t="s">
        <v>2241</v>
      </c>
      <c r="C1006" s="7" t="s">
        <v>2205</v>
      </c>
      <c r="D1006" s="7" t="s">
        <v>2101</v>
      </c>
      <c r="E1006" s="57" t="s">
        <v>2102</v>
      </c>
      <c r="F1006" s="7" t="s">
        <v>2097</v>
      </c>
      <c r="G1006" s="7" t="s">
        <v>2097</v>
      </c>
      <c r="H1006" s="9" t="n">
        <v>368</v>
      </c>
      <c r="I1006" s="9" t="n">
        <v>200.88</v>
      </c>
      <c r="J1006" s="9" t="n">
        <v>602.65</v>
      </c>
      <c r="K1006" s="52" t="n">
        <v>816</v>
      </c>
      <c r="L1006" s="58" t="n">
        <v>30.1</v>
      </c>
      <c r="M1006" s="59" t="n">
        <v>70.8</v>
      </c>
      <c r="N1006" s="9" t="n">
        <v>13.347753</v>
      </c>
      <c r="O1006" s="8" t="n">
        <v>3.52</v>
      </c>
      <c r="P1006" s="9" t="n">
        <v>-234.65</v>
      </c>
      <c r="Q1006" s="7" t="s">
        <v>2103</v>
      </c>
      <c r="R1006" s="7" t="s">
        <v>2099</v>
      </c>
      <c r="S1006" s="58" t="n">
        <v>0.5</v>
      </c>
      <c r="T1006" s="9" t="n">
        <v>408</v>
      </c>
      <c r="U1006" s="56" t="n">
        <f aca="false">I1006*O1006</f>
        <v>707.0976</v>
      </c>
      <c r="V1006" s="56" t="n">
        <f aca="false">J1006*O1006</f>
        <v>2121.328</v>
      </c>
      <c r="W1006" s="56" t="n">
        <f aca="false">((I1006+J1006)/2)*O1006</f>
        <v>1414.2128</v>
      </c>
      <c r="X1006" s="56" t="n">
        <f aca="false">H1006*O1006</f>
        <v>1295.36</v>
      </c>
    </row>
    <row r="1007" customFormat="false" ht="15" hidden="false" customHeight="false" outlineLevel="0" collapsed="false">
      <c r="A1007" s="76" t="s">
        <v>2063</v>
      </c>
      <c r="B1007" s="49" t="s">
        <v>3613</v>
      </c>
      <c r="C1007" s="49" t="s">
        <v>2356</v>
      </c>
      <c r="D1007" s="49" t="s">
        <v>2101</v>
      </c>
      <c r="E1007" s="50" t="s">
        <v>2096</v>
      </c>
      <c r="F1007" s="49" t="s">
        <v>2097</v>
      </c>
      <c r="G1007" s="49" t="s">
        <v>2097</v>
      </c>
      <c r="H1007" s="51" t="n">
        <v>493</v>
      </c>
      <c r="I1007" s="51" t="n">
        <v>141.53</v>
      </c>
      <c r="J1007" s="51" t="n">
        <v>424.59</v>
      </c>
      <c r="K1007" s="52" t="n">
        <v>550</v>
      </c>
      <c r="L1007" s="53" t="n">
        <v>14</v>
      </c>
      <c r="M1007" s="54" t="n">
        <v>88.1</v>
      </c>
      <c r="N1007" s="51" t="n">
        <v>20.218466</v>
      </c>
      <c r="O1007" s="55" t="n">
        <v>15.6497</v>
      </c>
      <c r="P1007" s="51" t="n">
        <v>68.41</v>
      </c>
      <c r="Q1007" s="49" t="s">
        <v>2098</v>
      </c>
      <c r="R1007" s="49" t="s">
        <v>2099</v>
      </c>
      <c r="S1007" s="53" t="n">
        <v>0.5</v>
      </c>
      <c r="T1007" s="51" t="n">
        <v>550</v>
      </c>
      <c r="U1007" s="56" t="n">
        <f aca="false">I1007*O1007</f>
        <v>2214.902041</v>
      </c>
      <c r="V1007" s="56" t="n">
        <f aca="false">J1007*O1007</f>
        <v>6644.706123</v>
      </c>
      <c r="W1007" s="56" t="n">
        <f aca="false">((I1007+J1007)/2)*O1007</f>
        <v>4429.804082</v>
      </c>
      <c r="X1007" s="56" t="n">
        <f aca="false">H1007*O1007</f>
        <v>7715.3021</v>
      </c>
    </row>
    <row r="1008" customFormat="false" ht="22.35" hidden="false" customHeight="false" outlineLevel="0" collapsed="false">
      <c r="A1008" s="76" t="s">
        <v>2063</v>
      </c>
      <c r="B1008" s="7" t="s">
        <v>3614</v>
      </c>
      <c r="C1008" s="7" t="s">
        <v>1965</v>
      </c>
      <c r="D1008" s="7" t="s">
        <v>2101</v>
      </c>
      <c r="E1008" s="57" t="s">
        <v>2102</v>
      </c>
      <c r="F1008" s="7" t="s">
        <v>2097</v>
      </c>
      <c r="G1008" s="7" t="s">
        <v>2097</v>
      </c>
      <c r="H1008" s="9" t="n">
        <v>943</v>
      </c>
      <c r="I1008" s="9" t="n">
        <v>338.82</v>
      </c>
      <c r="J1008" s="9" t="n">
        <v>1016.46</v>
      </c>
      <c r="K1008" s="52" t="n">
        <v>1395.6</v>
      </c>
      <c r="L1008" s="58" t="n">
        <v>16.9</v>
      </c>
      <c r="M1008" s="59" t="n">
        <v>92</v>
      </c>
      <c r="N1008" s="9" t="n">
        <v>40.097285</v>
      </c>
      <c r="O1008" s="8" t="n">
        <v>4.1458</v>
      </c>
      <c r="P1008" s="9" t="n">
        <v>-73.46</v>
      </c>
      <c r="Q1008" s="7" t="s">
        <v>2103</v>
      </c>
      <c r="R1008" s="7" t="s">
        <v>2099</v>
      </c>
      <c r="S1008" s="58" t="n">
        <v>0.5</v>
      </c>
      <c r="T1008" s="9" t="n">
        <v>465.2</v>
      </c>
      <c r="U1008" s="56" t="n">
        <f aca="false">I1008*O1008</f>
        <v>1404.679956</v>
      </c>
      <c r="V1008" s="56" t="n">
        <f aca="false">J1008*O1008</f>
        <v>4214.039868</v>
      </c>
      <c r="W1008" s="56" t="n">
        <f aca="false">((I1008+J1008)/2)*O1008</f>
        <v>2809.359912</v>
      </c>
      <c r="X1008" s="56" t="n">
        <f aca="false">H1008*O1008</f>
        <v>3909.4894</v>
      </c>
    </row>
    <row r="1009" customFormat="false" ht="22.35" hidden="false" customHeight="false" outlineLevel="0" collapsed="false">
      <c r="A1009" s="76" t="s">
        <v>2063</v>
      </c>
      <c r="B1009" s="49" t="s">
        <v>3615</v>
      </c>
      <c r="C1009" s="49" t="s">
        <v>2203</v>
      </c>
      <c r="D1009" s="49" t="s">
        <v>2101</v>
      </c>
      <c r="E1009" s="57" t="s">
        <v>2102</v>
      </c>
      <c r="F1009" s="49" t="s">
        <v>2097</v>
      </c>
      <c r="G1009" s="49" t="s">
        <v>2097</v>
      </c>
      <c r="H1009" s="51" t="n">
        <v>40</v>
      </c>
      <c r="I1009" s="51" t="n">
        <v>39.54</v>
      </c>
      <c r="J1009" s="51" t="n">
        <v>118.62</v>
      </c>
      <c r="K1009" s="52" t="n">
        <v>118.62</v>
      </c>
      <c r="L1009" s="53" t="n">
        <v>36.5</v>
      </c>
      <c r="M1009" s="54" t="n">
        <v>66.7</v>
      </c>
      <c r="N1009" s="51" t="n">
        <v>2.166644</v>
      </c>
      <c r="O1009" s="55" t="n">
        <v>31.21</v>
      </c>
      <c r="P1009" s="51" t="n">
        <v>-78.62</v>
      </c>
      <c r="Q1009" s="49" t="s">
        <v>2103</v>
      </c>
      <c r="R1009" s="49" t="s">
        <v>2099</v>
      </c>
      <c r="S1009" s="53" t="n">
        <v>0.5</v>
      </c>
      <c r="T1009" s="51" t="n">
        <v>1</v>
      </c>
      <c r="U1009" s="56" t="n">
        <f aca="false">I1009*O1009</f>
        <v>1234.0434</v>
      </c>
      <c r="V1009" s="56" t="n">
        <f aca="false">J1009*O1009</f>
        <v>3702.1302</v>
      </c>
      <c r="W1009" s="56" t="n">
        <f aca="false">((I1009+J1009)/2)*O1009</f>
        <v>2468.0868</v>
      </c>
      <c r="X1009" s="56" t="n">
        <f aca="false">H1009*O1009</f>
        <v>1248.4</v>
      </c>
    </row>
    <row r="1010" customFormat="false" ht="22.35" hidden="false" customHeight="false" outlineLevel="0" collapsed="false">
      <c r="A1010" s="76" t="s">
        <v>2063</v>
      </c>
      <c r="B1010" s="7" t="s">
        <v>2242</v>
      </c>
      <c r="C1010" s="7" t="s">
        <v>2243</v>
      </c>
      <c r="D1010" s="7" t="s">
        <v>2101</v>
      </c>
      <c r="E1010" s="57" t="s">
        <v>2102</v>
      </c>
      <c r="F1010" s="7" t="s">
        <v>2097</v>
      </c>
      <c r="G1010" s="7" t="s">
        <v>2097</v>
      </c>
      <c r="H1010" s="9" t="n">
        <v>40</v>
      </c>
      <c r="I1010" s="9" t="n">
        <v>95.93</v>
      </c>
      <c r="J1010" s="9" t="n">
        <v>287.8</v>
      </c>
      <c r="K1010" s="52" t="n">
        <v>484</v>
      </c>
      <c r="L1010" s="58" t="n">
        <v>80</v>
      </c>
      <c r="M1010" s="59" t="n">
        <v>62.2</v>
      </c>
      <c r="N1010" s="9" t="n">
        <v>2.398366</v>
      </c>
      <c r="O1010" s="8" t="n">
        <v>6.075</v>
      </c>
      <c r="P1010" s="9" t="n">
        <v>-247.8</v>
      </c>
      <c r="Q1010" s="7" t="s">
        <v>2103</v>
      </c>
      <c r="R1010" s="7" t="s">
        <v>2099</v>
      </c>
      <c r="S1010" s="58" t="n">
        <v>0.5</v>
      </c>
      <c r="T1010" s="9" t="n">
        <v>484</v>
      </c>
      <c r="U1010" s="56" t="n">
        <f aca="false">I1010*O1010</f>
        <v>582.77475</v>
      </c>
      <c r="V1010" s="56" t="n">
        <f aca="false">J1010*O1010</f>
        <v>1748.385</v>
      </c>
      <c r="W1010" s="56" t="n">
        <f aca="false">((I1010+J1010)/2)*O1010</f>
        <v>1165.579875</v>
      </c>
      <c r="X1010" s="56" t="n">
        <f aca="false">H1010*O1010</f>
        <v>243</v>
      </c>
    </row>
    <row r="1011" customFormat="false" ht="22.35" hidden="false" customHeight="false" outlineLevel="0" collapsed="false">
      <c r="A1011" s="76" t="s">
        <v>2063</v>
      </c>
      <c r="B1011" s="49" t="s">
        <v>3616</v>
      </c>
      <c r="C1011" s="49" t="s">
        <v>1547</v>
      </c>
      <c r="D1011" s="49" t="s">
        <v>2101</v>
      </c>
      <c r="E1011" s="57" t="s">
        <v>2102</v>
      </c>
      <c r="F1011" s="49" t="s">
        <v>2097</v>
      </c>
      <c r="G1011" s="49" t="s">
        <v>2097</v>
      </c>
      <c r="H1011" s="51" t="n">
        <v>166</v>
      </c>
      <c r="I1011" s="51" t="n">
        <v>56.55</v>
      </c>
      <c r="J1011" s="51" t="n">
        <v>169.66</v>
      </c>
      <c r="K1011" s="52" t="n">
        <v>880</v>
      </c>
      <c r="L1011" s="53" t="n">
        <v>19.5</v>
      </c>
      <c r="M1011" s="54" t="n">
        <v>75</v>
      </c>
      <c r="N1011" s="51" t="n">
        <v>5.800436</v>
      </c>
      <c r="O1011" s="55" t="n">
        <v>6.2898</v>
      </c>
      <c r="P1011" s="51" t="n">
        <v>-3.66</v>
      </c>
      <c r="Q1011" s="49" t="s">
        <v>2103</v>
      </c>
      <c r="R1011" s="49" t="s">
        <v>2099</v>
      </c>
      <c r="S1011" s="53" t="n">
        <v>0.5</v>
      </c>
      <c r="T1011" s="51" t="n">
        <v>880</v>
      </c>
      <c r="U1011" s="56" t="n">
        <f aca="false">I1011*O1011</f>
        <v>355.68819</v>
      </c>
      <c r="V1011" s="56" t="n">
        <f aca="false">J1011*O1011</f>
        <v>1067.127468</v>
      </c>
      <c r="W1011" s="56" t="n">
        <f aca="false">((I1011+J1011)/2)*O1011</f>
        <v>711.407829</v>
      </c>
      <c r="X1011" s="56" t="n">
        <f aca="false">H1011*O1011</f>
        <v>1044.1068</v>
      </c>
    </row>
    <row r="1012" customFormat="false" ht="22.35" hidden="false" customHeight="false" outlineLevel="0" collapsed="false">
      <c r="A1012" s="76" t="s">
        <v>2063</v>
      </c>
      <c r="B1012" s="4" t="s">
        <v>3617</v>
      </c>
      <c r="C1012" s="4" t="s">
        <v>1531</v>
      </c>
      <c r="D1012" s="4" t="s">
        <v>2101</v>
      </c>
      <c r="E1012" s="70" t="s">
        <v>2193</v>
      </c>
      <c r="F1012" s="4" t="s">
        <v>2097</v>
      </c>
      <c r="G1012" s="71" t="s">
        <v>2194</v>
      </c>
      <c r="H1012" s="6" t="n">
        <v>40</v>
      </c>
      <c r="I1012" s="6" t="n">
        <v>0</v>
      </c>
      <c r="J1012" s="6" t="n">
        <v>0</v>
      </c>
      <c r="K1012" s="52" t="n">
        <v>0</v>
      </c>
      <c r="L1012" s="72" t="n">
        <v>42.8</v>
      </c>
      <c r="M1012" s="73" t="n">
        <v>25</v>
      </c>
      <c r="N1012" s="6" t="n">
        <v>0.047616</v>
      </c>
      <c r="O1012" s="5" t="n">
        <v>18.2414</v>
      </c>
      <c r="P1012" s="6" t="n">
        <v>40</v>
      </c>
      <c r="Q1012" s="4" t="s">
        <v>2098</v>
      </c>
      <c r="R1012" s="4" t="s">
        <v>2195</v>
      </c>
      <c r="S1012" s="72" t="n">
        <v>0</v>
      </c>
      <c r="T1012" s="6" t="n">
        <v>1</v>
      </c>
      <c r="U1012" s="56" t="n">
        <f aca="false">I1012*O1012</f>
        <v>0</v>
      </c>
      <c r="V1012" s="56" t="n">
        <f aca="false">J1012*O1012</f>
        <v>0</v>
      </c>
      <c r="W1012" s="56" t="n">
        <f aca="false">((I1012+J1012)/2)*O1012</f>
        <v>0</v>
      </c>
      <c r="X1012" s="56" t="n">
        <f aca="false">H1012*O1012</f>
        <v>729.656</v>
      </c>
    </row>
    <row r="1013" customFormat="false" ht="22.35" hidden="false" customHeight="false" outlineLevel="0" collapsed="false">
      <c r="A1013" s="76" t="s">
        <v>2063</v>
      </c>
      <c r="B1013" s="49" t="s">
        <v>2244</v>
      </c>
      <c r="C1013" s="49" t="s">
        <v>2245</v>
      </c>
      <c r="D1013" s="49" t="s">
        <v>2095</v>
      </c>
      <c r="E1013" s="61" t="s">
        <v>2113</v>
      </c>
      <c r="F1013" s="49" t="s">
        <v>2097</v>
      </c>
      <c r="G1013" s="49" t="s">
        <v>2097</v>
      </c>
      <c r="H1013" s="51" t="n">
        <v>1552</v>
      </c>
      <c r="I1013" s="51" t="n">
        <v>3780.62</v>
      </c>
      <c r="J1013" s="51" t="n">
        <v>7561.24</v>
      </c>
      <c r="K1013" s="52" t="n">
        <v>7760</v>
      </c>
      <c r="L1013" s="53" t="n">
        <v>21.4</v>
      </c>
      <c r="M1013" s="54" t="n">
        <v>77.4</v>
      </c>
      <c r="N1013" s="51" t="n">
        <v>176.66427</v>
      </c>
      <c r="O1013" s="55" t="n">
        <v>1.3465</v>
      </c>
      <c r="P1013" s="51" t="n">
        <v>-6009.24</v>
      </c>
      <c r="Q1013" s="49" t="s">
        <v>2103</v>
      </c>
      <c r="R1013" s="49" t="s">
        <v>2099</v>
      </c>
      <c r="S1013" s="53" t="n">
        <v>1</v>
      </c>
      <c r="T1013" s="51" t="n">
        <v>485</v>
      </c>
      <c r="U1013" s="56" t="n">
        <f aca="false">I1013*O1013</f>
        <v>5090.60483</v>
      </c>
      <c r="V1013" s="56" t="n">
        <f aca="false">J1013*O1013</f>
        <v>10181.20966</v>
      </c>
      <c r="W1013" s="56" t="n">
        <f aca="false">((I1013+J1013)/2)*O1013</f>
        <v>7635.907245</v>
      </c>
      <c r="X1013" s="56" t="n">
        <f aca="false">H1013*O1013</f>
        <v>2089.768</v>
      </c>
    </row>
    <row r="1014" customFormat="false" ht="22.35" hidden="false" customHeight="false" outlineLevel="0" collapsed="false">
      <c r="A1014" s="76" t="s">
        <v>2063</v>
      </c>
      <c r="B1014" s="7" t="s">
        <v>3618</v>
      </c>
      <c r="C1014" s="7" t="s">
        <v>3544</v>
      </c>
      <c r="D1014" s="7" t="s">
        <v>2101</v>
      </c>
      <c r="E1014" s="57" t="s">
        <v>2102</v>
      </c>
      <c r="F1014" s="7" t="s">
        <v>2097</v>
      </c>
      <c r="G1014" s="7" t="s">
        <v>2097</v>
      </c>
      <c r="H1014" s="9" t="n">
        <v>80</v>
      </c>
      <c r="I1014" s="9" t="n">
        <v>33.17</v>
      </c>
      <c r="J1014" s="9" t="n">
        <v>99.51</v>
      </c>
      <c r="K1014" s="52" t="n">
        <v>132</v>
      </c>
      <c r="L1014" s="58" t="n">
        <v>28.8</v>
      </c>
      <c r="M1014" s="59" t="n">
        <v>87.5</v>
      </c>
      <c r="N1014" s="9" t="n">
        <v>2.303438</v>
      </c>
      <c r="O1014" s="8" t="n">
        <v>9.947</v>
      </c>
      <c r="P1014" s="9" t="n">
        <v>-19.51</v>
      </c>
      <c r="Q1014" s="7" t="s">
        <v>2103</v>
      </c>
      <c r="R1014" s="7" t="s">
        <v>2099</v>
      </c>
      <c r="S1014" s="58" t="n">
        <v>0.5</v>
      </c>
      <c r="T1014" s="9" t="n">
        <v>44</v>
      </c>
      <c r="U1014" s="56" t="n">
        <f aca="false">I1014*O1014</f>
        <v>329.94199</v>
      </c>
      <c r="V1014" s="56" t="n">
        <f aca="false">J1014*O1014</f>
        <v>989.82597</v>
      </c>
      <c r="W1014" s="56" t="n">
        <f aca="false">((I1014+J1014)/2)*O1014</f>
        <v>659.88398</v>
      </c>
      <c r="X1014" s="56" t="n">
        <f aca="false">H1014*O1014</f>
        <v>795.76</v>
      </c>
    </row>
    <row r="1015" customFormat="false" ht="22.35" hidden="false" customHeight="false" outlineLevel="0" collapsed="false">
      <c r="A1015" s="76" t="s">
        <v>2063</v>
      </c>
      <c r="B1015" s="49" t="s">
        <v>2246</v>
      </c>
      <c r="C1015" s="49" t="s">
        <v>2247</v>
      </c>
      <c r="D1015" s="49" t="s">
        <v>2095</v>
      </c>
      <c r="E1015" s="61" t="s">
        <v>2113</v>
      </c>
      <c r="F1015" s="49" t="s">
        <v>2097</v>
      </c>
      <c r="G1015" s="49" t="s">
        <v>2097</v>
      </c>
      <c r="H1015" s="51" t="n">
        <v>1983</v>
      </c>
      <c r="I1015" s="51" t="n">
        <v>3721.9</v>
      </c>
      <c r="J1015" s="51" t="n">
        <v>7443.8</v>
      </c>
      <c r="K1015" s="52" t="n">
        <v>7443.8</v>
      </c>
      <c r="L1015" s="53" t="n">
        <v>46.2</v>
      </c>
      <c r="M1015" s="54" t="n">
        <v>91.6</v>
      </c>
      <c r="N1015" s="51" t="n">
        <v>80.560696</v>
      </c>
      <c r="O1015" s="55" t="n">
        <v>4.29</v>
      </c>
      <c r="P1015" s="51" t="n">
        <v>-5460.8</v>
      </c>
      <c r="Q1015" s="49" t="s">
        <v>2103</v>
      </c>
      <c r="R1015" s="49" t="s">
        <v>2099</v>
      </c>
      <c r="S1015" s="53" t="n">
        <v>1</v>
      </c>
      <c r="T1015" s="51" t="n">
        <v>0</v>
      </c>
      <c r="U1015" s="56" t="n">
        <f aca="false">I1015*O1015</f>
        <v>15966.951</v>
      </c>
      <c r="V1015" s="56" t="n">
        <f aca="false">J1015*O1015</f>
        <v>31933.902</v>
      </c>
      <c r="W1015" s="56" t="n">
        <f aca="false">((I1015+J1015)/2)*O1015</f>
        <v>23950.4265</v>
      </c>
      <c r="X1015" s="56" t="n">
        <f aca="false">H1015*O1015</f>
        <v>8507.07</v>
      </c>
    </row>
    <row r="1016" customFormat="false" ht="22.35" hidden="false" customHeight="false" outlineLevel="0" collapsed="false">
      <c r="A1016" s="76" t="s">
        <v>2063</v>
      </c>
      <c r="B1016" s="4" t="s">
        <v>3619</v>
      </c>
      <c r="C1016" s="4" t="s">
        <v>1615</v>
      </c>
      <c r="D1016" s="4" t="s">
        <v>2101</v>
      </c>
      <c r="E1016" s="70" t="s">
        <v>2193</v>
      </c>
      <c r="F1016" s="4" t="s">
        <v>2097</v>
      </c>
      <c r="G1016" s="71" t="s">
        <v>2194</v>
      </c>
      <c r="H1016" s="6" t="n">
        <v>80</v>
      </c>
      <c r="I1016" s="6" t="n">
        <v>0</v>
      </c>
      <c r="J1016" s="6" t="n">
        <v>0</v>
      </c>
      <c r="K1016" s="52" t="n">
        <v>0</v>
      </c>
      <c r="L1016" s="72" t="n">
        <v>8</v>
      </c>
      <c r="M1016" s="73" t="n">
        <v>100</v>
      </c>
      <c r="N1016" s="6" t="n">
        <v>1.461493</v>
      </c>
      <c r="O1016" s="5" t="n">
        <v>4.9103</v>
      </c>
      <c r="P1016" s="6" t="n">
        <v>80</v>
      </c>
      <c r="Q1016" s="4" t="s">
        <v>2098</v>
      </c>
      <c r="R1016" s="4" t="s">
        <v>2195</v>
      </c>
      <c r="S1016" s="72" t="n">
        <v>0</v>
      </c>
      <c r="T1016" s="6" t="n">
        <v>1</v>
      </c>
      <c r="U1016" s="56" t="n">
        <f aca="false">I1016*O1016</f>
        <v>0</v>
      </c>
      <c r="V1016" s="56" t="n">
        <f aca="false">J1016*O1016</f>
        <v>0</v>
      </c>
      <c r="W1016" s="56" t="n">
        <f aca="false">((I1016+J1016)/2)*O1016</f>
        <v>0</v>
      </c>
      <c r="X1016" s="56" t="n">
        <f aca="false">H1016*O1016</f>
        <v>392.824</v>
      </c>
    </row>
    <row r="1017" customFormat="false" ht="15" hidden="false" customHeight="false" outlineLevel="0" collapsed="false">
      <c r="A1017" s="76" t="s">
        <v>2063</v>
      </c>
      <c r="B1017" s="49" t="s">
        <v>3620</v>
      </c>
      <c r="C1017" s="49" t="s">
        <v>3621</v>
      </c>
      <c r="D1017" s="49" t="s">
        <v>2101</v>
      </c>
      <c r="E1017" s="50" t="s">
        <v>2096</v>
      </c>
      <c r="F1017" s="49" t="s">
        <v>2097</v>
      </c>
      <c r="G1017" s="49" t="s">
        <v>2097</v>
      </c>
      <c r="H1017" s="51" t="n">
        <v>28</v>
      </c>
      <c r="I1017" s="51" t="n">
        <v>3.94</v>
      </c>
      <c r="J1017" s="51" t="n">
        <v>11.81</v>
      </c>
      <c r="K1017" s="52" t="n">
        <v>40</v>
      </c>
      <c r="L1017" s="53" t="n">
        <v>20.8</v>
      </c>
      <c r="M1017" s="54" t="n">
        <v>56.2</v>
      </c>
      <c r="N1017" s="51" t="n">
        <v>0.378573</v>
      </c>
      <c r="O1017" s="55" t="n">
        <v>16.7912</v>
      </c>
      <c r="P1017" s="51" t="n">
        <v>16.19</v>
      </c>
      <c r="Q1017" s="49" t="s">
        <v>2098</v>
      </c>
      <c r="R1017" s="49" t="s">
        <v>2099</v>
      </c>
      <c r="S1017" s="53" t="n">
        <v>0.5</v>
      </c>
      <c r="T1017" s="51" t="n">
        <v>40</v>
      </c>
      <c r="U1017" s="56" t="n">
        <f aca="false">I1017*O1017</f>
        <v>66.157328</v>
      </c>
      <c r="V1017" s="56" t="n">
        <f aca="false">J1017*O1017</f>
        <v>198.304072</v>
      </c>
      <c r="W1017" s="56" t="n">
        <f aca="false">((I1017+J1017)/2)*O1017</f>
        <v>132.2307</v>
      </c>
      <c r="X1017" s="56" t="n">
        <f aca="false">H1017*O1017</f>
        <v>470.1536</v>
      </c>
    </row>
    <row r="1018" customFormat="false" ht="22.35" hidden="false" customHeight="false" outlineLevel="0" collapsed="false">
      <c r="A1018" s="76" t="s">
        <v>2063</v>
      </c>
      <c r="B1018" s="7" t="s">
        <v>2248</v>
      </c>
      <c r="C1018" s="7" t="s">
        <v>2249</v>
      </c>
      <c r="D1018" s="7" t="s">
        <v>2101</v>
      </c>
      <c r="E1018" s="57" t="s">
        <v>2102</v>
      </c>
      <c r="F1018" s="7" t="s">
        <v>2097</v>
      </c>
      <c r="G1018" s="7" t="s">
        <v>2097</v>
      </c>
      <c r="H1018" s="9" t="n">
        <v>2571</v>
      </c>
      <c r="I1018" s="9" t="n">
        <v>1179.85</v>
      </c>
      <c r="J1018" s="9" t="n">
        <v>3539.56</v>
      </c>
      <c r="K1018" s="52" t="n">
        <v>4000</v>
      </c>
      <c r="L1018" s="58" t="n">
        <v>20</v>
      </c>
      <c r="M1018" s="59" t="n">
        <v>80</v>
      </c>
      <c r="N1018" s="9" t="n">
        <v>117.985382</v>
      </c>
      <c r="O1018" s="8" t="n">
        <v>4.47</v>
      </c>
      <c r="P1018" s="9" t="n">
        <v>-968.56</v>
      </c>
      <c r="Q1018" s="7" t="s">
        <v>2103</v>
      </c>
      <c r="R1018" s="7" t="s">
        <v>2099</v>
      </c>
      <c r="S1018" s="58" t="n">
        <v>0.5</v>
      </c>
      <c r="T1018" s="9" t="n">
        <v>1000</v>
      </c>
      <c r="U1018" s="56" t="n">
        <f aca="false">I1018*O1018</f>
        <v>5273.9295</v>
      </c>
      <c r="V1018" s="56" t="n">
        <f aca="false">J1018*O1018</f>
        <v>15821.8332</v>
      </c>
      <c r="W1018" s="56" t="n">
        <f aca="false">((I1018+J1018)/2)*O1018</f>
        <v>10547.88135</v>
      </c>
      <c r="X1018" s="56" t="n">
        <f aca="false">H1018*O1018</f>
        <v>11492.37</v>
      </c>
    </row>
    <row r="1019" customFormat="false" ht="15" hidden="false" customHeight="false" outlineLevel="0" collapsed="false">
      <c r="A1019" s="76" t="s">
        <v>2063</v>
      </c>
      <c r="B1019" s="49" t="s">
        <v>3622</v>
      </c>
      <c r="C1019" s="49" t="s">
        <v>3623</v>
      </c>
      <c r="D1019" s="49" t="s">
        <v>2101</v>
      </c>
      <c r="E1019" s="50" t="s">
        <v>2096</v>
      </c>
      <c r="F1019" s="49" t="s">
        <v>2097</v>
      </c>
      <c r="G1019" s="49" t="s">
        <v>2097</v>
      </c>
      <c r="H1019" s="51" t="n">
        <v>80</v>
      </c>
      <c r="I1019" s="51" t="n">
        <v>23.59</v>
      </c>
      <c r="J1019" s="51" t="n">
        <v>70.78</v>
      </c>
      <c r="K1019" s="52" t="n">
        <v>70.78</v>
      </c>
      <c r="L1019" s="53" t="n">
        <v>19.6</v>
      </c>
      <c r="M1019" s="54" t="n">
        <v>84.6</v>
      </c>
      <c r="N1019" s="51" t="n">
        <v>2.407427</v>
      </c>
      <c r="O1019" s="55" t="n">
        <v>1.9317</v>
      </c>
      <c r="P1019" s="51" t="n">
        <v>9.22</v>
      </c>
      <c r="Q1019" s="49" t="s">
        <v>2098</v>
      </c>
      <c r="R1019" s="49" t="s">
        <v>2099</v>
      </c>
      <c r="S1019" s="53" t="n">
        <v>0.5</v>
      </c>
      <c r="T1019" s="51" t="n">
        <v>1</v>
      </c>
      <c r="U1019" s="56" t="n">
        <f aca="false">I1019*O1019</f>
        <v>45.568803</v>
      </c>
      <c r="V1019" s="56" t="n">
        <f aca="false">J1019*O1019</f>
        <v>136.725726</v>
      </c>
      <c r="W1019" s="56" t="n">
        <f aca="false">((I1019+J1019)/2)*O1019</f>
        <v>91.1472645</v>
      </c>
      <c r="X1019" s="56" t="n">
        <f aca="false">H1019*O1019</f>
        <v>154.536</v>
      </c>
    </row>
    <row r="1020" customFormat="false" ht="15" hidden="false" customHeight="false" outlineLevel="0" collapsed="false">
      <c r="A1020" s="76" t="s">
        <v>2063</v>
      </c>
      <c r="B1020" s="7" t="s">
        <v>3624</v>
      </c>
      <c r="C1020" s="7" t="s">
        <v>2230</v>
      </c>
      <c r="D1020" s="7" t="s">
        <v>2101</v>
      </c>
      <c r="E1020" s="50" t="s">
        <v>2096</v>
      </c>
      <c r="F1020" s="7" t="s">
        <v>2097</v>
      </c>
      <c r="G1020" s="7" t="s">
        <v>2097</v>
      </c>
      <c r="H1020" s="9" t="n">
        <v>40</v>
      </c>
      <c r="I1020" s="9" t="n">
        <v>2.07</v>
      </c>
      <c r="J1020" s="9" t="n">
        <v>6.21</v>
      </c>
      <c r="K1020" s="52" t="n">
        <v>55</v>
      </c>
      <c r="L1020" s="58" t="n">
        <v>11.6</v>
      </c>
      <c r="M1020" s="59" t="n">
        <v>40</v>
      </c>
      <c r="N1020" s="9" t="n">
        <v>0.356484</v>
      </c>
      <c r="O1020" s="8" t="n">
        <v>9.486</v>
      </c>
      <c r="P1020" s="9" t="n">
        <v>33.79</v>
      </c>
      <c r="Q1020" s="7" t="s">
        <v>2098</v>
      </c>
      <c r="R1020" s="7" t="s">
        <v>2099</v>
      </c>
      <c r="S1020" s="58" t="n">
        <v>0.5</v>
      </c>
      <c r="T1020" s="9" t="n">
        <v>55</v>
      </c>
      <c r="U1020" s="56" t="n">
        <f aca="false">I1020*O1020</f>
        <v>19.63602</v>
      </c>
      <c r="V1020" s="56" t="n">
        <f aca="false">J1020*O1020</f>
        <v>58.90806</v>
      </c>
      <c r="W1020" s="56" t="n">
        <f aca="false">((I1020+J1020)/2)*O1020</f>
        <v>39.27204</v>
      </c>
      <c r="X1020" s="56" t="n">
        <f aca="false">H1020*O1020</f>
        <v>379.44</v>
      </c>
    </row>
    <row r="1021" customFormat="false" ht="15" hidden="false" customHeight="false" outlineLevel="0" collapsed="false">
      <c r="A1021" s="76" t="s">
        <v>2063</v>
      </c>
      <c r="B1021" s="49" t="s">
        <v>3625</v>
      </c>
      <c r="C1021" s="49" t="s">
        <v>1615</v>
      </c>
      <c r="D1021" s="49" t="s">
        <v>2101</v>
      </c>
      <c r="E1021" s="50" t="s">
        <v>2096</v>
      </c>
      <c r="F1021" s="49" t="s">
        <v>2097</v>
      </c>
      <c r="G1021" s="49" t="s">
        <v>2097</v>
      </c>
      <c r="H1021" s="51" t="n">
        <v>40</v>
      </c>
      <c r="I1021" s="51" t="n">
        <v>2.11</v>
      </c>
      <c r="J1021" s="51" t="n">
        <v>6.33</v>
      </c>
      <c r="K1021" s="52" t="n">
        <v>6.33</v>
      </c>
      <c r="L1021" s="53" t="n">
        <v>13</v>
      </c>
      <c r="M1021" s="54" t="n">
        <v>80</v>
      </c>
      <c r="N1021" s="51" t="n">
        <v>0.324274</v>
      </c>
      <c r="O1021" s="55" t="n">
        <v>4</v>
      </c>
      <c r="P1021" s="51" t="n">
        <v>33.67</v>
      </c>
      <c r="Q1021" s="49" t="s">
        <v>2098</v>
      </c>
      <c r="R1021" s="49" t="s">
        <v>2099</v>
      </c>
      <c r="S1021" s="53" t="n">
        <v>0.5</v>
      </c>
      <c r="T1021" s="51" t="n">
        <v>1</v>
      </c>
      <c r="U1021" s="56" t="n">
        <f aca="false">I1021*O1021</f>
        <v>8.44</v>
      </c>
      <c r="V1021" s="56" t="n">
        <f aca="false">J1021*O1021</f>
        <v>25.32</v>
      </c>
      <c r="W1021" s="56" t="n">
        <f aca="false">((I1021+J1021)/2)*O1021</f>
        <v>16.88</v>
      </c>
      <c r="X1021" s="56" t="n">
        <f aca="false">H1021*O1021</f>
        <v>160</v>
      </c>
    </row>
    <row r="1022" customFormat="false" ht="15" hidden="false" customHeight="false" outlineLevel="0" collapsed="false">
      <c r="A1022" s="76" t="s">
        <v>2063</v>
      </c>
      <c r="B1022" s="7" t="s">
        <v>2250</v>
      </c>
      <c r="C1022" s="7" t="s">
        <v>2237</v>
      </c>
      <c r="D1022" s="7" t="s">
        <v>2101</v>
      </c>
      <c r="E1022" s="50" t="s">
        <v>2096</v>
      </c>
      <c r="F1022" s="7" t="s">
        <v>2097</v>
      </c>
      <c r="G1022" s="7" t="s">
        <v>2097</v>
      </c>
      <c r="H1022" s="9" t="n">
        <v>40</v>
      </c>
      <c r="I1022" s="9" t="n">
        <v>11.17</v>
      </c>
      <c r="J1022" s="9" t="n">
        <v>33.51</v>
      </c>
      <c r="K1022" s="52" t="n">
        <v>399</v>
      </c>
      <c r="L1022" s="58" t="n">
        <v>20.4</v>
      </c>
      <c r="M1022" s="59" t="n">
        <v>100</v>
      </c>
      <c r="N1022" s="9" t="n">
        <v>1.094988</v>
      </c>
      <c r="O1022" s="8" t="n">
        <v>5.43</v>
      </c>
      <c r="P1022" s="9" t="n">
        <v>6.49</v>
      </c>
      <c r="Q1022" s="7" t="s">
        <v>2098</v>
      </c>
      <c r="R1022" s="7" t="s">
        <v>2099</v>
      </c>
      <c r="S1022" s="58" t="n">
        <v>0.5</v>
      </c>
      <c r="T1022" s="9" t="n">
        <v>399</v>
      </c>
      <c r="U1022" s="56" t="n">
        <f aca="false">I1022*O1022</f>
        <v>60.6531</v>
      </c>
      <c r="V1022" s="56" t="n">
        <f aca="false">J1022*O1022</f>
        <v>181.9593</v>
      </c>
      <c r="W1022" s="56" t="n">
        <f aca="false">((I1022+J1022)/2)*O1022</f>
        <v>121.3062</v>
      </c>
      <c r="X1022" s="56" t="n">
        <f aca="false">H1022*O1022</f>
        <v>217.2</v>
      </c>
    </row>
    <row r="1023" customFormat="false" ht="22.35" hidden="false" customHeight="false" outlineLevel="0" collapsed="false">
      <c r="A1023" s="76" t="s">
        <v>2063</v>
      </c>
      <c r="B1023" s="49" t="s">
        <v>2251</v>
      </c>
      <c r="C1023" s="49" t="s">
        <v>1615</v>
      </c>
      <c r="D1023" s="49" t="s">
        <v>2101</v>
      </c>
      <c r="E1023" s="57" t="s">
        <v>2102</v>
      </c>
      <c r="F1023" s="49" t="s">
        <v>2097</v>
      </c>
      <c r="G1023" s="49" t="s">
        <v>2097</v>
      </c>
      <c r="H1023" s="51" t="n">
        <v>80</v>
      </c>
      <c r="I1023" s="51" t="n">
        <v>58.07</v>
      </c>
      <c r="J1023" s="51" t="n">
        <v>174.21</v>
      </c>
      <c r="K1023" s="52" t="n">
        <v>449.74</v>
      </c>
      <c r="L1023" s="53" t="n">
        <v>33.4</v>
      </c>
      <c r="M1023" s="54" t="n">
        <v>86.4</v>
      </c>
      <c r="N1023" s="51" t="n">
        <v>3.477315</v>
      </c>
      <c r="O1023" s="55" t="n">
        <v>4.2302</v>
      </c>
      <c r="P1023" s="51" t="n">
        <v>-94.21</v>
      </c>
      <c r="Q1023" s="49" t="s">
        <v>2103</v>
      </c>
      <c r="R1023" s="49" t="s">
        <v>2099</v>
      </c>
      <c r="S1023" s="53" t="n">
        <v>0.5</v>
      </c>
      <c r="T1023" s="51" t="n">
        <v>449.74</v>
      </c>
      <c r="U1023" s="56" t="n">
        <f aca="false">I1023*O1023</f>
        <v>245.647714</v>
      </c>
      <c r="V1023" s="56" t="n">
        <f aca="false">J1023*O1023</f>
        <v>736.943142</v>
      </c>
      <c r="W1023" s="56" t="n">
        <f aca="false">((I1023+J1023)/2)*O1023</f>
        <v>491.295428</v>
      </c>
      <c r="X1023" s="56" t="n">
        <f aca="false">H1023*O1023</f>
        <v>338.416</v>
      </c>
    </row>
    <row r="1024" customFormat="false" ht="22.35" hidden="false" customHeight="false" outlineLevel="0" collapsed="false">
      <c r="A1024" s="76" t="s">
        <v>2063</v>
      </c>
      <c r="B1024" s="7" t="s">
        <v>2252</v>
      </c>
      <c r="C1024" s="7" t="s">
        <v>1628</v>
      </c>
      <c r="D1024" s="7" t="s">
        <v>2101</v>
      </c>
      <c r="E1024" s="57" t="s">
        <v>2102</v>
      </c>
      <c r="F1024" s="7" t="s">
        <v>2097</v>
      </c>
      <c r="G1024" s="7" t="s">
        <v>2097</v>
      </c>
      <c r="H1024" s="9" t="n">
        <v>1074</v>
      </c>
      <c r="I1024" s="9" t="n">
        <v>1086.87</v>
      </c>
      <c r="J1024" s="9" t="n">
        <v>3260.61</v>
      </c>
      <c r="K1024" s="52" t="n">
        <v>3300</v>
      </c>
      <c r="L1024" s="58" t="n">
        <v>37.5</v>
      </c>
      <c r="M1024" s="59" t="n">
        <v>82.6</v>
      </c>
      <c r="N1024" s="9" t="n">
        <v>57.966332</v>
      </c>
      <c r="O1024" s="8" t="n">
        <v>2.64</v>
      </c>
      <c r="P1024" s="9" t="n">
        <v>-2186.61</v>
      </c>
      <c r="Q1024" s="7" t="s">
        <v>2103</v>
      </c>
      <c r="R1024" s="7" t="s">
        <v>2099</v>
      </c>
      <c r="S1024" s="58" t="n">
        <v>0.5</v>
      </c>
      <c r="T1024" s="9" t="n">
        <v>412.5</v>
      </c>
      <c r="U1024" s="56" t="n">
        <f aca="false">I1024*O1024</f>
        <v>2869.3368</v>
      </c>
      <c r="V1024" s="56" t="n">
        <f aca="false">J1024*O1024</f>
        <v>8608.0104</v>
      </c>
      <c r="W1024" s="56" t="n">
        <f aca="false">((I1024+J1024)/2)*O1024</f>
        <v>5738.6736</v>
      </c>
      <c r="X1024" s="56" t="n">
        <f aca="false">H1024*O1024</f>
        <v>2835.36</v>
      </c>
    </row>
    <row r="1025" customFormat="false" ht="22.35" hidden="false" customHeight="false" outlineLevel="0" collapsed="false">
      <c r="A1025" s="76" t="s">
        <v>2063</v>
      </c>
      <c r="B1025" s="62" t="s">
        <v>3626</v>
      </c>
      <c r="C1025" s="62" t="s">
        <v>3627</v>
      </c>
      <c r="D1025" s="62" t="s">
        <v>2101</v>
      </c>
      <c r="E1025" s="63" t="s">
        <v>2169</v>
      </c>
      <c r="F1025" s="64" t="s">
        <v>2170</v>
      </c>
      <c r="G1025" s="62" t="s">
        <v>2097</v>
      </c>
      <c r="H1025" s="65" t="n">
        <v>126</v>
      </c>
      <c r="I1025" s="65" t="n">
        <v>23.23</v>
      </c>
      <c r="J1025" s="65" t="n">
        <v>69.7</v>
      </c>
      <c r="K1025" s="66" t="n">
        <v>430</v>
      </c>
      <c r="L1025" s="67" t="n">
        <v>15</v>
      </c>
      <c r="M1025" s="68" t="n">
        <v>63.6</v>
      </c>
      <c r="N1025" s="65" t="n">
        <v>5.808493</v>
      </c>
      <c r="O1025" s="69" t="n">
        <v>7.18</v>
      </c>
      <c r="P1025" s="65" t="n">
        <v>56.3</v>
      </c>
      <c r="Q1025" s="62" t="s">
        <v>2098</v>
      </c>
      <c r="R1025" s="62" t="s">
        <v>3628</v>
      </c>
      <c r="S1025" s="67" t="n">
        <v>0.5</v>
      </c>
      <c r="T1025" s="65" t="n">
        <v>430</v>
      </c>
      <c r="U1025" s="56" t="n">
        <f aca="false">I1025*O1025</f>
        <v>166.7914</v>
      </c>
      <c r="V1025" s="56" t="n">
        <f aca="false">J1025*O1025</f>
        <v>500.446</v>
      </c>
      <c r="W1025" s="56" t="n">
        <f aca="false">((I1025+J1025)/2)*O1025</f>
        <v>333.6187</v>
      </c>
      <c r="X1025" s="56" t="n">
        <f aca="false">H1025*O1025</f>
        <v>904.68</v>
      </c>
    </row>
    <row r="1026" customFormat="false" ht="22.35" hidden="false" customHeight="false" outlineLevel="0" collapsed="false">
      <c r="A1026" s="76" t="s">
        <v>2063</v>
      </c>
      <c r="B1026" s="7" t="s">
        <v>2253</v>
      </c>
      <c r="C1026" s="7" t="s">
        <v>2254</v>
      </c>
      <c r="D1026" s="7" t="s">
        <v>2101</v>
      </c>
      <c r="E1026" s="57" t="s">
        <v>2102</v>
      </c>
      <c r="F1026" s="7" t="s">
        <v>2097</v>
      </c>
      <c r="G1026" s="7" t="s">
        <v>2097</v>
      </c>
      <c r="H1026" s="9" t="n">
        <v>168</v>
      </c>
      <c r="I1026" s="9" t="n">
        <v>171.67</v>
      </c>
      <c r="J1026" s="9" t="n">
        <v>515</v>
      </c>
      <c r="K1026" s="52" t="n">
        <v>515</v>
      </c>
      <c r="L1026" s="58" t="n">
        <v>45.6</v>
      </c>
      <c r="M1026" s="59" t="n">
        <v>68.4</v>
      </c>
      <c r="N1026" s="9" t="n">
        <v>7.529238</v>
      </c>
      <c r="O1026" s="8" t="n">
        <v>10.29</v>
      </c>
      <c r="P1026" s="9" t="n">
        <v>-347</v>
      </c>
      <c r="Q1026" s="7" t="s">
        <v>2103</v>
      </c>
      <c r="R1026" s="7" t="s">
        <v>2099</v>
      </c>
      <c r="S1026" s="58" t="n">
        <v>0.5</v>
      </c>
      <c r="T1026" s="9" t="n">
        <v>1</v>
      </c>
      <c r="U1026" s="56" t="n">
        <f aca="false">I1026*O1026</f>
        <v>1766.4843</v>
      </c>
      <c r="V1026" s="56" t="n">
        <f aca="false">J1026*O1026</f>
        <v>5299.35</v>
      </c>
      <c r="W1026" s="56" t="n">
        <f aca="false">((I1026+J1026)/2)*O1026</f>
        <v>3532.91715</v>
      </c>
      <c r="X1026" s="56" t="n">
        <f aca="false">H1026*O1026</f>
        <v>1728.72</v>
      </c>
    </row>
    <row r="1027" customFormat="false" ht="22.35" hidden="false" customHeight="false" outlineLevel="0" collapsed="false">
      <c r="A1027" s="76" t="s">
        <v>2063</v>
      </c>
      <c r="B1027" s="4" t="s">
        <v>3629</v>
      </c>
      <c r="C1027" s="4" t="s">
        <v>1531</v>
      </c>
      <c r="D1027" s="4" t="s">
        <v>2101</v>
      </c>
      <c r="E1027" s="70" t="s">
        <v>2193</v>
      </c>
      <c r="F1027" s="4" t="s">
        <v>2097</v>
      </c>
      <c r="G1027" s="71" t="s">
        <v>2194</v>
      </c>
      <c r="H1027" s="6" t="n">
        <v>40</v>
      </c>
      <c r="I1027" s="6" t="n">
        <v>0</v>
      </c>
      <c r="J1027" s="6" t="n">
        <v>0</v>
      </c>
      <c r="K1027" s="52" t="n">
        <v>0</v>
      </c>
      <c r="L1027" s="72" t="n">
        <v>16.6</v>
      </c>
      <c r="M1027" s="73" t="n">
        <v>100</v>
      </c>
      <c r="N1027" s="6" t="n">
        <v>0.3532</v>
      </c>
      <c r="O1027" s="5" t="n">
        <v>8.66</v>
      </c>
      <c r="P1027" s="6" t="n">
        <v>40</v>
      </c>
      <c r="Q1027" s="4" t="s">
        <v>2098</v>
      </c>
      <c r="R1027" s="4" t="s">
        <v>2195</v>
      </c>
      <c r="S1027" s="72" t="n">
        <v>0</v>
      </c>
      <c r="T1027" s="6" t="n">
        <v>55</v>
      </c>
      <c r="U1027" s="56" t="n">
        <f aca="false">I1027*O1027</f>
        <v>0</v>
      </c>
      <c r="V1027" s="56" t="n">
        <f aca="false">J1027*O1027</f>
        <v>0</v>
      </c>
      <c r="W1027" s="56" t="n">
        <f aca="false">((I1027+J1027)/2)*O1027</f>
        <v>0</v>
      </c>
      <c r="X1027" s="56" t="n">
        <f aca="false">H1027*O1027</f>
        <v>346.4</v>
      </c>
    </row>
    <row r="1028" customFormat="false" ht="22.35" hidden="false" customHeight="false" outlineLevel="0" collapsed="false">
      <c r="A1028" s="76" t="s">
        <v>2063</v>
      </c>
      <c r="B1028" s="7" t="s">
        <v>3630</v>
      </c>
      <c r="C1028" s="7" t="s">
        <v>3631</v>
      </c>
      <c r="D1028" s="7" t="s">
        <v>2101</v>
      </c>
      <c r="E1028" s="57" t="s">
        <v>2102</v>
      </c>
      <c r="F1028" s="7" t="s">
        <v>2097</v>
      </c>
      <c r="G1028" s="7" t="s">
        <v>2097</v>
      </c>
      <c r="H1028" s="9" t="n">
        <v>80</v>
      </c>
      <c r="I1028" s="9" t="n">
        <v>39.5</v>
      </c>
      <c r="J1028" s="9" t="n">
        <v>118.51</v>
      </c>
      <c r="K1028" s="52" t="n">
        <v>425</v>
      </c>
      <c r="L1028" s="58" t="n">
        <v>34.6</v>
      </c>
      <c r="M1028" s="59" t="n">
        <v>12.5</v>
      </c>
      <c r="N1028" s="9" t="n">
        <v>2.283492</v>
      </c>
      <c r="O1028" s="8" t="n">
        <v>11.094</v>
      </c>
      <c r="P1028" s="9" t="n">
        <v>-38.51</v>
      </c>
      <c r="Q1028" s="7" t="s">
        <v>2103</v>
      </c>
      <c r="R1028" s="7" t="s">
        <v>2099</v>
      </c>
      <c r="S1028" s="58" t="n">
        <v>0.5</v>
      </c>
      <c r="T1028" s="9" t="n">
        <v>425</v>
      </c>
      <c r="U1028" s="56" t="n">
        <f aca="false">I1028*O1028</f>
        <v>438.213</v>
      </c>
      <c r="V1028" s="56" t="n">
        <f aca="false">J1028*O1028</f>
        <v>1314.74994</v>
      </c>
      <c r="W1028" s="56" t="n">
        <f aca="false">((I1028+J1028)/2)*O1028</f>
        <v>876.48147</v>
      </c>
      <c r="X1028" s="56" t="n">
        <f aca="false">H1028*O1028</f>
        <v>887.52</v>
      </c>
    </row>
    <row r="1029" customFormat="false" ht="22.35" hidden="false" customHeight="false" outlineLevel="0" collapsed="false">
      <c r="A1029" s="76" t="s">
        <v>2063</v>
      </c>
      <c r="B1029" s="49" t="s">
        <v>2255</v>
      </c>
      <c r="C1029" s="49" t="s">
        <v>2173</v>
      </c>
      <c r="D1029" s="49" t="s">
        <v>2101</v>
      </c>
      <c r="E1029" s="57" t="s">
        <v>2102</v>
      </c>
      <c r="F1029" s="49" t="s">
        <v>2097</v>
      </c>
      <c r="G1029" s="49" t="s">
        <v>2097</v>
      </c>
      <c r="H1029" s="51" t="n">
        <v>404</v>
      </c>
      <c r="I1029" s="51" t="n">
        <v>316.05</v>
      </c>
      <c r="J1029" s="51" t="n">
        <v>948.15</v>
      </c>
      <c r="K1029" s="52" t="n">
        <v>1190.4</v>
      </c>
      <c r="L1029" s="53" t="n">
        <v>33.6</v>
      </c>
      <c r="M1029" s="54" t="n">
        <v>72.1</v>
      </c>
      <c r="N1029" s="51" t="n">
        <v>18.812375</v>
      </c>
      <c r="O1029" s="55" t="n">
        <v>4.56</v>
      </c>
      <c r="P1029" s="51" t="n">
        <v>-544.15</v>
      </c>
      <c r="Q1029" s="49" t="s">
        <v>2103</v>
      </c>
      <c r="R1029" s="49" t="s">
        <v>2099</v>
      </c>
      <c r="S1029" s="53" t="n">
        <v>0.5</v>
      </c>
      <c r="T1029" s="51" t="n">
        <v>396.8</v>
      </c>
      <c r="U1029" s="56" t="n">
        <f aca="false">I1029*O1029</f>
        <v>1441.188</v>
      </c>
      <c r="V1029" s="56" t="n">
        <f aca="false">J1029*O1029</f>
        <v>4323.564</v>
      </c>
      <c r="W1029" s="56" t="n">
        <f aca="false">((I1029+J1029)/2)*O1029</f>
        <v>2882.376</v>
      </c>
      <c r="X1029" s="56" t="n">
        <f aca="false">H1029*O1029</f>
        <v>1842.24</v>
      </c>
    </row>
    <row r="1030" customFormat="false" ht="22.35" hidden="false" customHeight="false" outlineLevel="0" collapsed="false">
      <c r="A1030" s="76" t="s">
        <v>2063</v>
      </c>
      <c r="B1030" s="7" t="s">
        <v>3632</v>
      </c>
      <c r="C1030" s="7" t="s">
        <v>3633</v>
      </c>
      <c r="D1030" s="7" t="s">
        <v>2101</v>
      </c>
      <c r="E1030" s="57" t="s">
        <v>2102</v>
      </c>
      <c r="F1030" s="7" t="s">
        <v>2097</v>
      </c>
      <c r="G1030" s="7" t="s">
        <v>2097</v>
      </c>
      <c r="H1030" s="9" t="n">
        <v>1854</v>
      </c>
      <c r="I1030" s="9" t="n">
        <v>1436.71</v>
      </c>
      <c r="J1030" s="9" t="n">
        <v>4310.13</v>
      </c>
      <c r="K1030" s="52" t="n">
        <v>4620</v>
      </c>
      <c r="L1030" s="58" t="n">
        <v>29.6</v>
      </c>
      <c r="M1030" s="59" t="n">
        <v>69.6</v>
      </c>
      <c r="N1030" s="9" t="n">
        <v>97.07511</v>
      </c>
      <c r="O1030" s="8" t="n">
        <v>3.918</v>
      </c>
      <c r="P1030" s="9" t="n">
        <v>-2456.13</v>
      </c>
      <c r="Q1030" s="7" t="s">
        <v>2103</v>
      </c>
      <c r="R1030" s="7" t="s">
        <v>2099</v>
      </c>
      <c r="S1030" s="58" t="n">
        <v>0.5</v>
      </c>
      <c r="T1030" s="9" t="n">
        <v>420</v>
      </c>
      <c r="U1030" s="56" t="n">
        <f aca="false">I1030*O1030</f>
        <v>5629.02978</v>
      </c>
      <c r="V1030" s="56" t="n">
        <f aca="false">J1030*O1030</f>
        <v>16887.08934</v>
      </c>
      <c r="W1030" s="56" t="n">
        <f aca="false">((I1030+J1030)/2)*O1030</f>
        <v>11258.05956</v>
      </c>
      <c r="X1030" s="56" t="n">
        <f aca="false">H1030*O1030</f>
        <v>7263.972</v>
      </c>
    </row>
    <row r="1031" customFormat="false" ht="22.35" hidden="false" customHeight="false" outlineLevel="0" collapsed="false">
      <c r="A1031" s="76" t="s">
        <v>2063</v>
      </c>
      <c r="B1031" s="49" t="s">
        <v>3634</v>
      </c>
      <c r="C1031" s="49" t="s">
        <v>3635</v>
      </c>
      <c r="D1031" s="49" t="s">
        <v>2101</v>
      </c>
      <c r="E1031" s="57" t="s">
        <v>2102</v>
      </c>
      <c r="F1031" s="49" t="s">
        <v>2097</v>
      </c>
      <c r="G1031" s="49" t="s">
        <v>2097</v>
      </c>
      <c r="H1031" s="51" t="n">
        <v>144</v>
      </c>
      <c r="I1031" s="51" t="n">
        <v>110.52</v>
      </c>
      <c r="J1031" s="51" t="n">
        <v>331.56</v>
      </c>
      <c r="K1031" s="52" t="n">
        <v>993</v>
      </c>
      <c r="L1031" s="53" t="n">
        <v>14.9</v>
      </c>
      <c r="M1031" s="54" t="n">
        <v>53.3</v>
      </c>
      <c r="N1031" s="51" t="n">
        <v>14.834768</v>
      </c>
      <c r="O1031" s="55" t="n">
        <v>3.94</v>
      </c>
      <c r="P1031" s="51" t="n">
        <v>-187.56</v>
      </c>
      <c r="Q1031" s="49" t="s">
        <v>2103</v>
      </c>
      <c r="R1031" s="49" t="s">
        <v>2099</v>
      </c>
      <c r="S1031" s="53" t="n">
        <v>0.5</v>
      </c>
      <c r="T1031" s="51" t="n">
        <v>993</v>
      </c>
      <c r="U1031" s="56" t="n">
        <f aca="false">I1031*O1031</f>
        <v>435.4488</v>
      </c>
      <c r="V1031" s="56" t="n">
        <f aca="false">J1031*O1031</f>
        <v>1306.3464</v>
      </c>
      <c r="W1031" s="56" t="n">
        <f aca="false">((I1031+J1031)/2)*O1031</f>
        <v>870.8976</v>
      </c>
      <c r="X1031" s="56" t="n">
        <f aca="false">H1031*O1031</f>
        <v>567.36</v>
      </c>
    </row>
    <row r="1032" customFormat="false" ht="22.35" hidden="false" customHeight="false" outlineLevel="0" collapsed="false">
      <c r="A1032" s="76" t="s">
        <v>2063</v>
      </c>
      <c r="B1032" s="4" t="s">
        <v>3636</v>
      </c>
      <c r="C1032" s="4" t="s">
        <v>3637</v>
      </c>
      <c r="D1032" s="4" t="s">
        <v>2101</v>
      </c>
      <c r="E1032" s="70" t="s">
        <v>2193</v>
      </c>
      <c r="F1032" s="4" t="s">
        <v>2097</v>
      </c>
      <c r="G1032" s="71" t="s">
        <v>2194</v>
      </c>
      <c r="H1032" s="6" t="n">
        <v>96</v>
      </c>
      <c r="I1032" s="6" t="n">
        <v>0</v>
      </c>
      <c r="J1032" s="6" t="n">
        <v>0</v>
      </c>
      <c r="K1032" s="52" t="n">
        <v>0</v>
      </c>
      <c r="L1032" s="72" t="n">
        <v>40.2</v>
      </c>
      <c r="M1032" s="73" t="n">
        <v>40</v>
      </c>
      <c r="N1032" s="6" t="n">
        <v>3.346589</v>
      </c>
      <c r="O1032" s="5" t="n">
        <v>7.87</v>
      </c>
      <c r="P1032" s="6" t="n">
        <v>96</v>
      </c>
      <c r="Q1032" s="4" t="s">
        <v>2098</v>
      </c>
      <c r="R1032" s="4" t="s">
        <v>2195</v>
      </c>
      <c r="S1032" s="72" t="n">
        <v>0</v>
      </c>
      <c r="T1032" s="6" t="n">
        <v>1</v>
      </c>
      <c r="U1032" s="56" t="n">
        <f aca="false">I1032*O1032</f>
        <v>0</v>
      </c>
      <c r="V1032" s="56" t="n">
        <f aca="false">J1032*O1032</f>
        <v>0</v>
      </c>
      <c r="W1032" s="56" t="n">
        <f aca="false">((I1032+J1032)/2)*O1032</f>
        <v>0</v>
      </c>
      <c r="X1032" s="56" t="n">
        <f aca="false">H1032*O1032</f>
        <v>755.52</v>
      </c>
    </row>
    <row r="1033" customFormat="false" ht="22.35" hidden="false" customHeight="false" outlineLevel="0" collapsed="false">
      <c r="A1033" s="76" t="s">
        <v>2063</v>
      </c>
      <c r="B1033" s="62" t="s">
        <v>3638</v>
      </c>
      <c r="C1033" s="62" t="s">
        <v>2270</v>
      </c>
      <c r="D1033" s="62" t="s">
        <v>2101</v>
      </c>
      <c r="E1033" s="63" t="s">
        <v>2169</v>
      </c>
      <c r="F1033" s="64" t="s">
        <v>2170</v>
      </c>
      <c r="G1033" s="62" t="s">
        <v>2097</v>
      </c>
      <c r="H1033" s="65" t="n">
        <v>1041</v>
      </c>
      <c r="I1033" s="65" t="n">
        <v>84.33</v>
      </c>
      <c r="J1033" s="65" t="n">
        <v>253</v>
      </c>
      <c r="K1033" s="66" t="n">
        <v>253</v>
      </c>
      <c r="L1033" s="67" t="n">
        <v>56</v>
      </c>
      <c r="M1033" s="68" t="n">
        <v>66.7</v>
      </c>
      <c r="N1033" s="65" t="n">
        <v>24.095082</v>
      </c>
      <c r="O1033" s="69" t="n">
        <v>2.208</v>
      </c>
      <c r="P1033" s="65" t="n">
        <v>788</v>
      </c>
      <c r="Q1033" s="62" t="s">
        <v>2098</v>
      </c>
      <c r="R1033" s="62" t="s">
        <v>2294</v>
      </c>
      <c r="S1033" s="67" t="n">
        <v>0.5</v>
      </c>
      <c r="T1033" s="65" t="n">
        <v>1</v>
      </c>
      <c r="U1033" s="56" t="n">
        <f aca="false">I1033*O1033</f>
        <v>186.20064</v>
      </c>
      <c r="V1033" s="56" t="n">
        <f aca="false">J1033*O1033</f>
        <v>558.624</v>
      </c>
      <c r="W1033" s="56" t="n">
        <f aca="false">((I1033+J1033)/2)*O1033</f>
        <v>372.41232</v>
      </c>
      <c r="X1033" s="56" t="n">
        <f aca="false">H1033*O1033</f>
        <v>2298.528</v>
      </c>
    </row>
    <row r="1034" customFormat="false" ht="22.35" hidden="false" customHeight="false" outlineLevel="0" collapsed="false">
      <c r="A1034" s="76" t="s">
        <v>2063</v>
      </c>
      <c r="B1034" s="7" t="s">
        <v>2256</v>
      </c>
      <c r="C1034" s="7" t="s">
        <v>1617</v>
      </c>
      <c r="D1034" s="7" t="s">
        <v>2101</v>
      </c>
      <c r="E1034" s="57" t="s">
        <v>2102</v>
      </c>
      <c r="F1034" s="7" t="s">
        <v>2097</v>
      </c>
      <c r="G1034" s="7" t="s">
        <v>2097</v>
      </c>
      <c r="H1034" s="9" t="n">
        <v>632</v>
      </c>
      <c r="I1034" s="9" t="n">
        <v>506.87</v>
      </c>
      <c r="J1034" s="9" t="n">
        <v>1520.61</v>
      </c>
      <c r="K1034" s="52" t="n">
        <v>1980</v>
      </c>
      <c r="L1034" s="58" t="n">
        <v>32.3</v>
      </c>
      <c r="M1034" s="59" t="n">
        <v>83.3</v>
      </c>
      <c r="N1034" s="9" t="n">
        <v>31.384998</v>
      </c>
      <c r="O1034" s="8" t="n">
        <v>10.099</v>
      </c>
      <c r="P1034" s="9" t="n">
        <v>-888.61</v>
      </c>
      <c r="Q1034" s="7" t="s">
        <v>2103</v>
      </c>
      <c r="R1034" s="7" t="s">
        <v>2099</v>
      </c>
      <c r="S1034" s="58" t="n">
        <v>0.5</v>
      </c>
      <c r="T1034" s="9" t="n">
        <v>495</v>
      </c>
      <c r="U1034" s="56" t="n">
        <f aca="false">I1034*O1034</f>
        <v>5118.88013</v>
      </c>
      <c r="V1034" s="56" t="n">
        <f aca="false">J1034*O1034</f>
        <v>15356.64039</v>
      </c>
      <c r="W1034" s="56" t="n">
        <f aca="false">((I1034+J1034)/2)*O1034</f>
        <v>10237.76026</v>
      </c>
      <c r="X1034" s="56" t="n">
        <f aca="false">H1034*O1034</f>
        <v>6382.568</v>
      </c>
    </row>
    <row r="1035" customFormat="false" ht="22.35" hidden="false" customHeight="false" outlineLevel="0" collapsed="false">
      <c r="A1035" s="76" t="s">
        <v>2063</v>
      </c>
      <c r="B1035" s="49" t="s">
        <v>2259</v>
      </c>
      <c r="C1035" s="49" t="s">
        <v>2192</v>
      </c>
      <c r="D1035" s="49" t="s">
        <v>2101</v>
      </c>
      <c r="E1035" s="57" t="s">
        <v>2102</v>
      </c>
      <c r="F1035" s="49" t="s">
        <v>2097</v>
      </c>
      <c r="G1035" s="49" t="s">
        <v>2097</v>
      </c>
      <c r="H1035" s="51" t="n">
        <v>116</v>
      </c>
      <c r="I1035" s="51" t="n">
        <v>96.39</v>
      </c>
      <c r="J1035" s="51" t="n">
        <v>289.18</v>
      </c>
      <c r="K1035" s="52" t="n">
        <v>440</v>
      </c>
      <c r="L1035" s="53" t="n">
        <v>23.5</v>
      </c>
      <c r="M1035" s="54" t="n">
        <v>82.1</v>
      </c>
      <c r="N1035" s="51" t="n">
        <v>8.203635</v>
      </c>
      <c r="O1035" s="55" t="n">
        <v>4.1</v>
      </c>
      <c r="P1035" s="51" t="n">
        <v>-173.18</v>
      </c>
      <c r="Q1035" s="49" t="s">
        <v>2103</v>
      </c>
      <c r="R1035" s="49" t="s">
        <v>2099</v>
      </c>
      <c r="S1035" s="53" t="n">
        <v>0.5</v>
      </c>
      <c r="T1035" s="51" t="n">
        <v>440</v>
      </c>
      <c r="U1035" s="56" t="n">
        <f aca="false">I1035*O1035</f>
        <v>395.199</v>
      </c>
      <c r="V1035" s="56" t="n">
        <f aca="false">J1035*O1035</f>
        <v>1185.638</v>
      </c>
      <c r="W1035" s="56" t="n">
        <f aca="false">((I1035+J1035)/2)*O1035</f>
        <v>790.4185</v>
      </c>
      <c r="X1035" s="56" t="n">
        <f aca="false">H1035*O1035</f>
        <v>475.6</v>
      </c>
    </row>
    <row r="1036" customFormat="false" ht="22.35" hidden="false" customHeight="false" outlineLevel="0" collapsed="false">
      <c r="A1036" s="76" t="s">
        <v>2063</v>
      </c>
      <c r="B1036" s="7" t="s">
        <v>3639</v>
      </c>
      <c r="C1036" s="7" t="s">
        <v>3640</v>
      </c>
      <c r="D1036" s="7" t="s">
        <v>2095</v>
      </c>
      <c r="E1036" s="61" t="s">
        <v>2113</v>
      </c>
      <c r="F1036" s="7" t="s">
        <v>2097</v>
      </c>
      <c r="G1036" s="7" t="s">
        <v>2097</v>
      </c>
      <c r="H1036" s="9" t="n">
        <v>291</v>
      </c>
      <c r="I1036" s="9" t="n">
        <v>2659.31</v>
      </c>
      <c r="J1036" s="9" t="n">
        <v>5318.62</v>
      </c>
      <c r="K1036" s="52" t="n">
        <v>5335</v>
      </c>
      <c r="L1036" s="58" t="n">
        <v>55.4</v>
      </c>
      <c r="M1036" s="59" t="n">
        <v>72</v>
      </c>
      <c r="N1036" s="9" t="n">
        <v>48.002003</v>
      </c>
      <c r="O1036" s="8" t="n">
        <v>5.78</v>
      </c>
      <c r="P1036" s="9" t="n">
        <v>-5027.62</v>
      </c>
      <c r="Q1036" s="7" t="s">
        <v>2103</v>
      </c>
      <c r="R1036" s="7" t="s">
        <v>2099</v>
      </c>
      <c r="S1036" s="58" t="n">
        <v>1</v>
      </c>
      <c r="T1036" s="9" t="n">
        <v>485</v>
      </c>
      <c r="U1036" s="56" t="n">
        <f aca="false">I1036*O1036</f>
        <v>15370.8118</v>
      </c>
      <c r="V1036" s="56" t="n">
        <f aca="false">J1036*O1036</f>
        <v>30741.6236</v>
      </c>
      <c r="W1036" s="56" t="n">
        <f aca="false">((I1036+J1036)/2)*O1036</f>
        <v>23056.2177</v>
      </c>
      <c r="X1036" s="56" t="n">
        <f aca="false">H1036*O1036</f>
        <v>1681.98</v>
      </c>
    </row>
    <row r="1037" customFormat="false" ht="22.35" hidden="false" customHeight="false" outlineLevel="0" collapsed="false">
      <c r="A1037" s="76" t="s">
        <v>2063</v>
      </c>
      <c r="B1037" s="49" t="s">
        <v>3641</v>
      </c>
      <c r="C1037" s="49" t="s">
        <v>1965</v>
      </c>
      <c r="D1037" s="49" t="s">
        <v>2101</v>
      </c>
      <c r="E1037" s="57" t="s">
        <v>2102</v>
      </c>
      <c r="F1037" s="49" t="s">
        <v>2097</v>
      </c>
      <c r="G1037" s="49" t="s">
        <v>2097</v>
      </c>
      <c r="H1037" s="51" t="n">
        <v>1479</v>
      </c>
      <c r="I1037" s="51" t="n">
        <v>686.43</v>
      </c>
      <c r="J1037" s="51" t="n">
        <v>2059.3</v>
      </c>
      <c r="K1037" s="52" t="n">
        <v>2936.4</v>
      </c>
      <c r="L1037" s="53" t="n">
        <v>24.3</v>
      </c>
      <c r="M1037" s="54" t="n">
        <v>61.9</v>
      </c>
      <c r="N1037" s="51" t="n">
        <v>56.496579</v>
      </c>
      <c r="O1037" s="55" t="n">
        <v>5.53</v>
      </c>
      <c r="P1037" s="51" t="n">
        <v>-580.3</v>
      </c>
      <c r="Q1037" s="49" t="s">
        <v>2103</v>
      </c>
      <c r="R1037" s="49" t="s">
        <v>2099</v>
      </c>
      <c r="S1037" s="53" t="n">
        <v>0.5</v>
      </c>
      <c r="T1037" s="51" t="n">
        <v>2936.4</v>
      </c>
      <c r="U1037" s="56" t="n">
        <f aca="false">I1037*O1037</f>
        <v>3795.9579</v>
      </c>
      <c r="V1037" s="56" t="n">
        <f aca="false">J1037*O1037</f>
        <v>11387.929</v>
      </c>
      <c r="W1037" s="56" t="n">
        <f aca="false">((I1037+J1037)/2)*O1037</f>
        <v>7591.94345</v>
      </c>
      <c r="X1037" s="56" t="n">
        <f aca="false">H1037*O1037</f>
        <v>8178.87</v>
      </c>
    </row>
    <row r="1038" customFormat="false" ht="22.35" hidden="false" customHeight="false" outlineLevel="0" collapsed="false">
      <c r="A1038" s="76" t="s">
        <v>2063</v>
      </c>
      <c r="B1038" s="7" t="s">
        <v>3642</v>
      </c>
      <c r="C1038" s="7" t="s">
        <v>3643</v>
      </c>
      <c r="D1038" s="7" t="s">
        <v>2101</v>
      </c>
      <c r="E1038" s="57" t="s">
        <v>2102</v>
      </c>
      <c r="F1038" s="7" t="s">
        <v>2097</v>
      </c>
      <c r="G1038" s="7" t="s">
        <v>2097</v>
      </c>
      <c r="H1038" s="9" t="n">
        <v>549</v>
      </c>
      <c r="I1038" s="9" t="n">
        <v>354.01</v>
      </c>
      <c r="J1038" s="9" t="n">
        <v>1062.04</v>
      </c>
      <c r="K1038" s="52" t="n">
        <v>1140</v>
      </c>
      <c r="L1038" s="58" t="n">
        <v>35.1</v>
      </c>
      <c r="M1038" s="59" t="n">
        <v>70.4</v>
      </c>
      <c r="N1038" s="9" t="n">
        <v>20.171655</v>
      </c>
      <c r="O1038" s="8" t="n">
        <v>6.69</v>
      </c>
      <c r="P1038" s="9" t="n">
        <v>-513.04</v>
      </c>
      <c r="Q1038" s="7" t="s">
        <v>2103</v>
      </c>
      <c r="R1038" s="7" t="s">
        <v>2099</v>
      </c>
      <c r="S1038" s="58" t="n">
        <v>0.5</v>
      </c>
      <c r="T1038" s="9" t="n">
        <v>380</v>
      </c>
      <c r="U1038" s="56" t="n">
        <f aca="false">I1038*O1038</f>
        <v>2368.3269</v>
      </c>
      <c r="V1038" s="56" t="n">
        <f aca="false">J1038*O1038</f>
        <v>7105.0476</v>
      </c>
      <c r="W1038" s="56" t="n">
        <f aca="false">((I1038+J1038)/2)*O1038</f>
        <v>4736.68725</v>
      </c>
      <c r="X1038" s="56" t="n">
        <f aca="false">H1038*O1038</f>
        <v>3672.81</v>
      </c>
    </row>
    <row r="1039" customFormat="false" ht="15" hidden="false" customHeight="false" outlineLevel="0" collapsed="false">
      <c r="A1039" s="76" t="s">
        <v>2063</v>
      </c>
      <c r="B1039" s="49" t="s">
        <v>3644</v>
      </c>
      <c r="C1039" s="49" t="s">
        <v>1531</v>
      </c>
      <c r="D1039" s="49" t="s">
        <v>2101</v>
      </c>
      <c r="E1039" s="50" t="s">
        <v>2096</v>
      </c>
      <c r="F1039" s="49" t="s">
        <v>2097</v>
      </c>
      <c r="G1039" s="49" t="s">
        <v>2097</v>
      </c>
      <c r="H1039" s="51" t="n">
        <v>28</v>
      </c>
      <c r="I1039" s="51" t="n">
        <v>1.41</v>
      </c>
      <c r="J1039" s="51" t="n">
        <v>4.22</v>
      </c>
      <c r="K1039" s="52" t="n">
        <v>40</v>
      </c>
      <c r="L1039" s="53" t="n">
        <v>14.2</v>
      </c>
      <c r="M1039" s="54" t="n">
        <v>100</v>
      </c>
      <c r="N1039" s="51" t="n">
        <v>0.197984</v>
      </c>
      <c r="O1039" s="55" t="n">
        <v>13.8781</v>
      </c>
      <c r="P1039" s="51" t="n">
        <v>23.78</v>
      </c>
      <c r="Q1039" s="49" t="s">
        <v>2098</v>
      </c>
      <c r="R1039" s="49" t="s">
        <v>2099</v>
      </c>
      <c r="S1039" s="53" t="n">
        <v>0.5</v>
      </c>
      <c r="T1039" s="51" t="n">
        <v>40</v>
      </c>
      <c r="U1039" s="56" t="n">
        <f aca="false">I1039*O1039</f>
        <v>19.568121</v>
      </c>
      <c r="V1039" s="56" t="n">
        <f aca="false">J1039*O1039</f>
        <v>58.565582</v>
      </c>
      <c r="W1039" s="56" t="n">
        <f aca="false">((I1039+J1039)/2)*O1039</f>
        <v>39.0668515</v>
      </c>
      <c r="X1039" s="56" t="n">
        <f aca="false">H1039*O1039</f>
        <v>388.5868</v>
      </c>
    </row>
    <row r="1040" customFormat="false" ht="22.35" hidden="false" customHeight="false" outlineLevel="0" collapsed="false">
      <c r="A1040" s="76" t="s">
        <v>2063</v>
      </c>
      <c r="B1040" s="62" t="s">
        <v>3645</v>
      </c>
      <c r="C1040" s="62" t="s">
        <v>1615</v>
      </c>
      <c r="D1040" s="62" t="s">
        <v>2101</v>
      </c>
      <c r="E1040" s="63" t="s">
        <v>2169</v>
      </c>
      <c r="F1040" s="64" t="s">
        <v>2170</v>
      </c>
      <c r="G1040" s="62" t="s">
        <v>2097</v>
      </c>
      <c r="H1040" s="65" t="n">
        <v>352</v>
      </c>
      <c r="I1040" s="65" t="n">
        <v>100.14</v>
      </c>
      <c r="J1040" s="65" t="n">
        <v>300.42</v>
      </c>
      <c r="K1040" s="66" t="n">
        <v>400</v>
      </c>
      <c r="L1040" s="67" t="n">
        <v>16.8</v>
      </c>
      <c r="M1040" s="68" t="n">
        <v>100</v>
      </c>
      <c r="N1040" s="65" t="n">
        <v>13.132948</v>
      </c>
      <c r="O1040" s="69" t="n">
        <v>4.07</v>
      </c>
      <c r="P1040" s="65" t="n">
        <v>51.58</v>
      </c>
      <c r="Q1040" s="62" t="s">
        <v>2098</v>
      </c>
      <c r="R1040" s="62" t="s">
        <v>3646</v>
      </c>
      <c r="S1040" s="67" t="n">
        <v>0.5</v>
      </c>
      <c r="T1040" s="65" t="n">
        <v>400</v>
      </c>
      <c r="U1040" s="56" t="n">
        <f aca="false">I1040*O1040</f>
        <v>407.5698</v>
      </c>
      <c r="V1040" s="56" t="n">
        <f aca="false">J1040*O1040</f>
        <v>1222.7094</v>
      </c>
      <c r="W1040" s="56" t="n">
        <f aca="false">((I1040+J1040)/2)*O1040</f>
        <v>815.1396</v>
      </c>
      <c r="X1040" s="56" t="n">
        <f aca="false">H1040*O1040</f>
        <v>1432.64</v>
      </c>
    </row>
    <row r="1041" customFormat="false" ht="22.35" hidden="false" customHeight="false" outlineLevel="0" collapsed="false">
      <c r="A1041" s="76" t="s">
        <v>2063</v>
      </c>
      <c r="B1041" s="49" t="s">
        <v>3647</v>
      </c>
      <c r="C1041" s="49" t="s">
        <v>1838</v>
      </c>
      <c r="D1041" s="49" t="s">
        <v>2095</v>
      </c>
      <c r="E1041" s="61" t="s">
        <v>2113</v>
      </c>
      <c r="F1041" s="49" t="s">
        <v>2097</v>
      </c>
      <c r="G1041" s="49" t="s">
        <v>2097</v>
      </c>
      <c r="H1041" s="51" t="n">
        <v>6175</v>
      </c>
      <c r="I1041" s="51" t="n">
        <v>5790.46</v>
      </c>
      <c r="J1041" s="51" t="n">
        <v>11580.92</v>
      </c>
      <c r="K1041" s="52" t="n">
        <v>11725</v>
      </c>
      <c r="L1041" s="53" t="n">
        <v>22.2</v>
      </c>
      <c r="M1041" s="54" t="n">
        <v>78</v>
      </c>
      <c r="N1041" s="51" t="n">
        <v>260.831683</v>
      </c>
      <c r="O1041" s="55" t="n">
        <v>3.96</v>
      </c>
      <c r="P1041" s="51" t="n">
        <v>-5405.92</v>
      </c>
      <c r="Q1041" s="49" t="s">
        <v>2103</v>
      </c>
      <c r="R1041" s="49" t="s">
        <v>2099</v>
      </c>
      <c r="S1041" s="53" t="n">
        <v>1</v>
      </c>
      <c r="T1041" s="51" t="n">
        <v>1675</v>
      </c>
      <c r="U1041" s="56" t="n">
        <f aca="false">I1041*O1041</f>
        <v>22930.2216</v>
      </c>
      <c r="V1041" s="56" t="n">
        <f aca="false">J1041*O1041</f>
        <v>45860.4432</v>
      </c>
      <c r="W1041" s="56" t="n">
        <f aca="false">((I1041+J1041)/2)*O1041</f>
        <v>34395.3324</v>
      </c>
      <c r="X1041" s="56" t="n">
        <f aca="false">H1041*O1041</f>
        <v>24453</v>
      </c>
    </row>
    <row r="1042" customFormat="false" ht="22.35" hidden="false" customHeight="false" outlineLevel="0" collapsed="false">
      <c r="A1042" s="76" t="s">
        <v>2063</v>
      </c>
      <c r="B1042" s="7" t="s">
        <v>3648</v>
      </c>
      <c r="C1042" s="7" t="s">
        <v>3649</v>
      </c>
      <c r="D1042" s="7" t="s">
        <v>2095</v>
      </c>
      <c r="E1042" s="61" t="s">
        <v>2113</v>
      </c>
      <c r="F1042" s="7" t="s">
        <v>2097</v>
      </c>
      <c r="G1042" s="7" t="s">
        <v>2097</v>
      </c>
      <c r="H1042" s="9" t="n">
        <v>4048</v>
      </c>
      <c r="I1042" s="9" t="n">
        <v>3926.35</v>
      </c>
      <c r="J1042" s="9" t="n">
        <v>7852.7</v>
      </c>
      <c r="K1042" s="52" t="n">
        <v>7871</v>
      </c>
      <c r="L1042" s="58" t="n">
        <v>22.4</v>
      </c>
      <c r="M1042" s="59" t="n">
        <v>67.3</v>
      </c>
      <c r="N1042" s="9" t="n">
        <v>175.283551</v>
      </c>
      <c r="O1042" s="8" t="n">
        <v>5.31</v>
      </c>
      <c r="P1042" s="9" t="n">
        <v>-3804.7</v>
      </c>
      <c r="Q1042" s="7" t="s">
        <v>2103</v>
      </c>
      <c r="R1042" s="7" t="s">
        <v>2099</v>
      </c>
      <c r="S1042" s="58" t="n">
        <v>1</v>
      </c>
      <c r="T1042" s="9" t="n">
        <v>463</v>
      </c>
      <c r="U1042" s="56" t="n">
        <f aca="false">I1042*O1042</f>
        <v>20848.9185</v>
      </c>
      <c r="V1042" s="56" t="n">
        <f aca="false">J1042*O1042</f>
        <v>41697.837</v>
      </c>
      <c r="W1042" s="56" t="n">
        <f aca="false">((I1042+J1042)/2)*O1042</f>
        <v>31273.37775</v>
      </c>
      <c r="X1042" s="56" t="n">
        <f aca="false">H1042*O1042</f>
        <v>21494.88</v>
      </c>
    </row>
    <row r="1043" customFormat="false" ht="22.35" hidden="false" customHeight="false" outlineLevel="0" collapsed="false">
      <c r="A1043" s="76" t="s">
        <v>2063</v>
      </c>
      <c r="B1043" s="49" t="s">
        <v>2266</v>
      </c>
      <c r="C1043" s="49" t="s">
        <v>2173</v>
      </c>
      <c r="D1043" s="49" t="s">
        <v>2101</v>
      </c>
      <c r="E1043" s="57" t="s">
        <v>2102</v>
      </c>
      <c r="F1043" s="49" t="s">
        <v>2097</v>
      </c>
      <c r="G1043" s="49" t="s">
        <v>2097</v>
      </c>
      <c r="H1043" s="51" t="n">
        <v>163</v>
      </c>
      <c r="I1043" s="51" t="n">
        <v>150.98</v>
      </c>
      <c r="J1043" s="51" t="n">
        <v>452.93</v>
      </c>
      <c r="K1043" s="52" t="n">
        <v>500</v>
      </c>
      <c r="L1043" s="53" t="n">
        <v>34.8</v>
      </c>
      <c r="M1043" s="54" t="n">
        <v>71.9</v>
      </c>
      <c r="N1043" s="51" t="n">
        <v>8.676787</v>
      </c>
      <c r="O1043" s="55" t="n">
        <v>3.09</v>
      </c>
      <c r="P1043" s="51" t="n">
        <v>-289.93</v>
      </c>
      <c r="Q1043" s="49" t="s">
        <v>2103</v>
      </c>
      <c r="R1043" s="49" t="s">
        <v>2099</v>
      </c>
      <c r="S1043" s="53" t="n">
        <v>0.5</v>
      </c>
      <c r="T1043" s="51" t="n">
        <v>500</v>
      </c>
      <c r="U1043" s="56" t="n">
        <f aca="false">I1043*O1043</f>
        <v>466.5282</v>
      </c>
      <c r="V1043" s="56" t="n">
        <f aca="false">J1043*O1043</f>
        <v>1399.5537</v>
      </c>
      <c r="W1043" s="56" t="n">
        <f aca="false">((I1043+J1043)/2)*O1043</f>
        <v>933.04095</v>
      </c>
      <c r="X1043" s="56" t="n">
        <f aca="false">H1043*O1043</f>
        <v>503.67</v>
      </c>
    </row>
    <row r="1044" customFormat="false" ht="22.35" hidden="false" customHeight="false" outlineLevel="0" collapsed="false">
      <c r="A1044" s="76" t="s">
        <v>2063</v>
      </c>
      <c r="B1044" s="7" t="s">
        <v>2267</v>
      </c>
      <c r="C1044" s="7" t="s">
        <v>1615</v>
      </c>
      <c r="D1044" s="7" t="s">
        <v>2109</v>
      </c>
      <c r="E1044" s="60" t="s">
        <v>2110</v>
      </c>
      <c r="F1044" s="7" t="s">
        <v>2097</v>
      </c>
      <c r="G1044" s="7" t="s">
        <v>2097</v>
      </c>
      <c r="H1044" s="9" t="n">
        <v>9107</v>
      </c>
      <c r="I1044" s="9" t="n">
        <v>19213.07</v>
      </c>
      <c r="J1044" s="9" t="n">
        <v>32021.78</v>
      </c>
      <c r="K1044" s="52" t="n">
        <v>32021.78</v>
      </c>
      <c r="L1044" s="58" t="n">
        <v>34</v>
      </c>
      <c r="M1044" s="59" t="n">
        <v>74.7</v>
      </c>
      <c r="N1044" s="9" t="n">
        <v>376.726795</v>
      </c>
      <c r="O1044" s="8" t="n">
        <v>2.568</v>
      </c>
      <c r="P1044" s="9" t="n">
        <v>-22914.78</v>
      </c>
      <c r="Q1044" s="7" t="s">
        <v>2103</v>
      </c>
      <c r="R1044" s="7" t="s">
        <v>2099</v>
      </c>
      <c r="S1044" s="58" t="n">
        <v>1.5</v>
      </c>
      <c r="T1044" s="9" t="n">
        <v>0</v>
      </c>
      <c r="U1044" s="56" t="n">
        <f aca="false">I1044*O1044</f>
        <v>49339.16376</v>
      </c>
      <c r="V1044" s="56" t="n">
        <f aca="false">J1044*O1044</f>
        <v>82231.93104</v>
      </c>
      <c r="W1044" s="56" t="n">
        <f aca="false">((I1044+J1044)/2)*O1044</f>
        <v>65785.5474</v>
      </c>
      <c r="X1044" s="56" t="n">
        <f aca="false">H1044*O1044</f>
        <v>23386.776</v>
      </c>
    </row>
    <row r="1045" customFormat="false" ht="22.35" hidden="false" customHeight="false" outlineLevel="0" collapsed="false">
      <c r="A1045" s="76" t="s">
        <v>2063</v>
      </c>
      <c r="B1045" s="49" t="s">
        <v>2269</v>
      </c>
      <c r="C1045" s="49" t="s">
        <v>2270</v>
      </c>
      <c r="D1045" s="49" t="s">
        <v>2095</v>
      </c>
      <c r="E1045" s="61" t="s">
        <v>2113</v>
      </c>
      <c r="F1045" s="49" t="s">
        <v>2097</v>
      </c>
      <c r="G1045" s="49" t="s">
        <v>2097</v>
      </c>
      <c r="H1045" s="51" t="n">
        <v>14605</v>
      </c>
      <c r="I1045" s="51" t="n">
        <v>32417.53</v>
      </c>
      <c r="J1045" s="51" t="n">
        <v>64835.06</v>
      </c>
      <c r="K1045" s="52" t="n">
        <v>70560</v>
      </c>
      <c r="L1045" s="53" t="n">
        <v>60.8</v>
      </c>
      <c r="M1045" s="54" t="n">
        <v>90</v>
      </c>
      <c r="N1045" s="51" t="n">
        <v>533.183061</v>
      </c>
      <c r="O1045" s="55" t="n">
        <v>1.98</v>
      </c>
      <c r="P1045" s="51" t="n">
        <v>-50230.06</v>
      </c>
      <c r="Q1045" s="49" t="s">
        <v>2103</v>
      </c>
      <c r="R1045" s="49" t="s">
        <v>2099</v>
      </c>
      <c r="S1045" s="53" t="n">
        <v>1</v>
      </c>
      <c r="T1045" s="51" t="n">
        <v>7056</v>
      </c>
      <c r="U1045" s="56" t="n">
        <f aca="false">I1045*O1045</f>
        <v>64186.7094</v>
      </c>
      <c r="V1045" s="56" t="n">
        <f aca="false">J1045*O1045</f>
        <v>128373.4188</v>
      </c>
      <c r="W1045" s="56" t="n">
        <f aca="false">((I1045+J1045)/2)*O1045</f>
        <v>96280.0641</v>
      </c>
      <c r="X1045" s="56" t="n">
        <f aca="false">H1045*O1045</f>
        <v>28917.9</v>
      </c>
    </row>
    <row r="1046" customFormat="false" ht="22.35" hidden="false" customHeight="false" outlineLevel="0" collapsed="false">
      <c r="A1046" s="76" t="s">
        <v>2063</v>
      </c>
      <c r="B1046" s="7" t="s">
        <v>3650</v>
      </c>
      <c r="C1046" s="7" t="s">
        <v>1531</v>
      </c>
      <c r="D1046" s="7" t="s">
        <v>2101</v>
      </c>
      <c r="E1046" s="57" t="s">
        <v>2102</v>
      </c>
      <c r="F1046" s="7" t="s">
        <v>2097</v>
      </c>
      <c r="G1046" s="7" t="s">
        <v>2097</v>
      </c>
      <c r="H1046" s="9" t="n">
        <v>40</v>
      </c>
      <c r="I1046" s="9" t="n">
        <v>30.35</v>
      </c>
      <c r="J1046" s="9" t="n">
        <v>91.05</v>
      </c>
      <c r="K1046" s="52" t="n">
        <v>91.05</v>
      </c>
      <c r="L1046" s="58" t="n">
        <v>31.7</v>
      </c>
      <c r="M1046" s="59" t="n">
        <v>53.8</v>
      </c>
      <c r="N1046" s="9" t="n">
        <v>1.914678</v>
      </c>
      <c r="O1046" s="8" t="n">
        <v>3.3</v>
      </c>
      <c r="P1046" s="9" t="n">
        <v>-51.05</v>
      </c>
      <c r="Q1046" s="7" t="s">
        <v>2103</v>
      </c>
      <c r="R1046" s="7" t="s">
        <v>2099</v>
      </c>
      <c r="S1046" s="58" t="n">
        <v>0.5</v>
      </c>
      <c r="T1046" s="9" t="n">
        <v>1</v>
      </c>
      <c r="U1046" s="56" t="n">
        <f aca="false">I1046*O1046</f>
        <v>100.155</v>
      </c>
      <c r="V1046" s="56" t="n">
        <f aca="false">J1046*O1046</f>
        <v>300.465</v>
      </c>
      <c r="W1046" s="56" t="n">
        <f aca="false">((I1046+J1046)/2)*O1046</f>
        <v>200.31</v>
      </c>
      <c r="X1046" s="56" t="n">
        <f aca="false">H1046*O1046</f>
        <v>132</v>
      </c>
    </row>
    <row r="1047" customFormat="false" ht="32.8" hidden="false" customHeight="false" outlineLevel="0" collapsed="false">
      <c r="A1047" s="76" t="s">
        <v>2063</v>
      </c>
      <c r="B1047" s="62" t="s">
        <v>3651</v>
      </c>
      <c r="C1047" s="62" t="s">
        <v>1615</v>
      </c>
      <c r="D1047" s="62" t="s">
        <v>2101</v>
      </c>
      <c r="E1047" s="78" t="s">
        <v>3474</v>
      </c>
      <c r="F1047" s="64" t="s">
        <v>2170</v>
      </c>
      <c r="G1047" s="62" t="s">
        <v>2097</v>
      </c>
      <c r="H1047" s="65" t="n">
        <v>384</v>
      </c>
      <c r="I1047" s="65" t="n">
        <v>248.18</v>
      </c>
      <c r="J1047" s="65" t="n">
        <v>744.54</v>
      </c>
      <c r="K1047" s="66" t="n">
        <v>744.54</v>
      </c>
      <c r="L1047" s="67" t="n">
        <v>18.8</v>
      </c>
      <c r="M1047" s="68" t="n">
        <v>100</v>
      </c>
      <c r="N1047" s="65" t="n">
        <v>15.798753</v>
      </c>
      <c r="O1047" s="69" t="n">
        <v>4.16</v>
      </c>
      <c r="P1047" s="65" t="n">
        <v>-360.54</v>
      </c>
      <c r="Q1047" s="62" t="s">
        <v>2103</v>
      </c>
      <c r="R1047" s="62" t="s">
        <v>3652</v>
      </c>
      <c r="S1047" s="67" t="n">
        <v>0.5</v>
      </c>
      <c r="T1047" s="65" t="n">
        <v>1</v>
      </c>
      <c r="U1047" s="56" t="n">
        <f aca="false">I1047*O1047</f>
        <v>1032.4288</v>
      </c>
      <c r="V1047" s="56" t="n">
        <f aca="false">J1047*O1047</f>
        <v>3097.2864</v>
      </c>
      <c r="W1047" s="56" t="n">
        <f aca="false">((I1047+J1047)/2)*O1047</f>
        <v>2064.8576</v>
      </c>
      <c r="X1047" s="56" t="n">
        <f aca="false">H1047*O1047</f>
        <v>1597.44</v>
      </c>
    </row>
    <row r="1048" customFormat="false" ht="22.35" hidden="false" customHeight="false" outlineLevel="0" collapsed="false">
      <c r="A1048" s="76" t="s">
        <v>2063</v>
      </c>
      <c r="B1048" s="4" t="s">
        <v>3653</v>
      </c>
      <c r="C1048" s="4" t="s">
        <v>1531</v>
      </c>
      <c r="D1048" s="4" t="s">
        <v>2101</v>
      </c>
      <c r="E1048" s="70" t="s">
        <v>2193</v>
      </c>
      <c r="F1048" s="4" t="s">
        <v>2097</v>
      </c>
      <c r="G1048" s="71" t="s">
        <v>2194</v>
      </c>
      <c r="H1048" s="6" t="n">
        <v>28</v>
      </c>
      <c r="I1048" s="6" t="n">
        <v>0</v>
      </c>
      <c r="J1048" s="6" t="n">
        <v>0</v>
      </c>
      <c r="K1048" s="52" t="n">
        <v>0</v>
      </c>
      <c r="L1048" s="72" t="n">
        <v>24.1</v>
      </c>
      <c r="M1048" s="73" t="n">
        <v>88.2</v>
      </c>
      <c r="N1048" s="6" t="n">
        <v>0.915959</v>
      </c>
      <c r="O1048" s="5" t="n">
        <v>4.9</v>
      </c>
      <c r="P1048" s="6" t="n">
        <v>28</v>
      </c>
      <c r="Q1048" s="4" t="s">
        <v>2098</v>
      </c>
      <c r="R1048" s="4" t="s">
        <v>2195</v>
      </c>
      <c r="S1048" s="72" t="n">
        <v>0</v>
      </c>
      <c r="T1048" s="6" t="n">
        <v>40</v>
      </c>
      <c r="U1048" s="56" t="n">
        <f aca="false">I1048*O1048</f>
        <v>0</v>
      </c>
      <c r="V1048" s="56" t="n">
        <f aca="false">J1048*O1048</f>
        <v>0</v>
      </c>
      <c r="W1048" s="56" t="n">
        <f aca="false">((I1048+J1048)/2)*O1048</f>
        <v>0</v>
      </c>
      <c r="X1048" s="56" t="n">
        <f aca="false">H1048*O1048</f>
        <v>137.2</v>
      </c>
    </row>
    <row r="1049" customFormat="false" ht="22.35" hidden="false" customHeight="false" outlineLevel="0" collapsed="false">
      <c r="A1049" s="76" t="s">
        <v>2063</v>
      </c>
      <c r="B1049" s="49" t="s">
        <v>3654</v>
      </c>
      <c r="C1049" s="49" t="s">
        <v>2168</v>
      </c>
      <c r="D1049" s="49" t="s">
        <v>2101</v>
      </c>
      <c r="E1049" s="57" t="s">
        <v>2102</v>
      </c>
      <c r="F1049" s="49" t="s">
        <v>2097</v>
      </c>
      <c r="G1049" s="49" t="s">
        <v>2097</v>
      </c>
      <c r="H1049" s="51" t="n">
        <v>784</v>
      </c>
      <c r="I1049" s="51" t="n">
        <v>630.19</v>
      </c>
      <c r="J1049" s="51" t="n">
        <v>1890.57</v>
      </c>
      <c r="K1049" s="52" t="n">
        <v>1890.57</v>
      </c>
      <c r="L1049" s="53" t="n">
        <v>48.1</v>
      </c>
      <c r="M1049" s="54" t="n">
        <v>38.9</v>
      </c>
      <c r="N1049" s="51" t="n">
        <v>26.203254</v>
      </c>
      <c r="O1049" s="55" t="n">
        <v>5.0346</v>
      </c>
      <c r="P1049" s="51" t="n">
        <v>-1106.57</v>
      </c>
      <c r="Q1049" s="49" t="s">
        <v>2103</v>
      </c>
      <c r="R1049" s="49" t="s">
        <v>2099</v>
      </c>
      <c r="S1049" s="53" t="n">
        <v>0.5</v>
      </c>
      <c r="T1049" s="51" t="n">
        <v>1</v>
      </c>
      <c r="U1049" s="56" t="n">
        <f aca="false">I1049*O1049</f>
        <v>3172.754574</v>
      </c>
      <c r="V1049" s="56" t="n">
        <f aca="false">J1049*O1049</f>
        <v>9518.263722</v>
      </c>
      <c r="W1049" s="56" t="n">
        <f aca="false">((I1049+J1049)/2)*O1049</f>
        <v>6345.509148</v>
      </c>
      <c r="X1049" s="56" t="n">
        <f aca="false">H1049*O1049</f>
        <v>3947.1264</v>
      </c>
    </row>
    <row r="1050" customFormat="false" ht="22.35" hidden="false" customHeight="false" outlineLevel="0" collapsed="false">
      <c r="A1050" s="76" t="s">
        <v>2063</v>
      </c>
      <c r="B1050" s="7" t="s">
        <v>2273</v>
      </c>
      <c r="C1050" s="7" t="s">
        <v>2274</v>
      </c>
      <c r="D1050" s="7" t="s">
        <v>2095</v>
      </c>
      <c r="E1050" s="61" t="s">
        <v>2113</v>
      </c>
      <c r="F1050" s="7" t="s">
        <v>2097</v>
      </c>
      <c r="G1050" s="7" t="s">
        <v>2097</v>
      </c>
      <c r="H1050" s="9" t="n">
        <v>80</v>
      </c>
      <c r="I1050" s="9" t="n">
        <v>149.46</v>
      </c>
      <c r="J1050" s="9" t="n">
        <v>298.92</v>
      </c>
      <c r="K1050" s="52" t="n">
        <v>298.92</v>
      </c>
      <c r="L1050" s="58" t="n">
        <v>41</v>
      </c>
      <c r="M1050" s="59" t="n">
        <v>48.1</v>
      </c>
      <c r="N1050" s="9" t="n">
        <v>3.645466</v>
      </c>
      <c r="O1050" s="8" t="n">
        <v>7.253</v>
      </c>
      <c r="P1050" s="9" t="n">
        <v>-218.92</v>
      </c>
      <c r="Q1050" s="7" t="s">
        <v>2103</v>
      </c>
      <c r="R1050" s="7" t="s">
        <v>2099</v>
      </c>
      <c r="S1050" s="58" t="n">
        <v>1</v>
      </c>
      <c r="T1050" s="9" t="n">
        <v>1</v>
      </c>
      <c r="U1050" s="56" t="n">
        <f aca="false">I1050*O1050</f>
        <v>1084.03338</v>
      </c>
      <c r="V1050" s="56" t="n">
        <f aca="false">J1050*O1050</f>
        <v>2168.06676</v>
      </c>
      <c r="W1050" s="56" t="n">
        <f aca="false">((I1050+J1050)/2)*O1050</f>
        <v>1626.05007</v>
      </c>
      <c r="X1050" s="56" t="n">
        <f aca="false">H1050*O1050</f>
        <v>580.24</v>
      </c>
    </row>
    <row r="1051" customFormat="false" ht="22.35" hidden="false" customHeight="false" outlineLevel="0" collapsed="false">
      <c r="A1051" s="76" t="s">
        <v>2063</v>
      </c>
      <c r="B1051" s="49" t="s">
        <v>2275</v>
      </c>
      <c r="C1051" s="49" t="s">
        <v>1615</v>
      </c>
      <c r="D1051" s="49" t="s">
        <v>2101</v>
      </c>
      <c r="E1051" s="57" t="s">
        <v>2102</v>
      </c>
      <c r="F1051" s="49" t="s">
        <v>2097</v>
      </c>
      <c r="G1051" s="49" t="s">
        <v>2097</v>
      </c>
      <c r="H1051" s="51" t="n">
        <v>80</v>
      </c>
      <c r="I1051" s="51" t="n">
        <v>49.02</v>
      </c>
      <c r="J1051" s="51" t="n">
        <v>147.05</v>
      </c>
      <c r="K1051" s="52" t="n">
        <v>147.05</v>
      </c>
      <c r="L1051" s="53" t="n">
        <v>46.5</v>
      </c>
      <c r="M1051" s="54" t="n">
        <v>95.6</v>
      </c>
      <c r="N1051" s="51" t="n">
        <v>2.108219</v>
      </c>
      <c r="O1051" s="55" t="n">
        <v>10.282</v>
      </c>
      <c r="P1051" s="51" t="n">
        <v>-67.05</v>
      </c>
      <c r="Q1051" s="49" t="s">
        <v>2103</v>
      </c>
      <c r="R1051" s="49" t="s">
        <v>2099</v>
      </c>
      <c r="S1051" s="53" t="n">
        <v>0.5</v>
      </c>
      <c r="T1051" s="51" t="n">
        <v>1</v>
      </c>
      <c r="U1051" s="56" t="n">
        <f aca="false">I1051*O1051</f>
        <v>504.02364</v>
      </c>
      <c r="V1051" s="56" t="n">
        <f aca="false">J1051*O1051</f>
        <v>1511.9681</v>
      </c>
      <c r="W1051" s="56" t="n">
        <f aca="false">((I1051+J1051)/2)*O1051</f>
        <v>1007.99587</v>
      </c>
      <c r="X1051" s="56" t="n">
        <f aca="false">H1051*O1051</f>
        <v>822.56</v>
      </c>
    </row>
    <row r="1052" customFormat="false" ht="22.35" hidden="false" customHeight="false" outlineLevel="0" collapsed="false">
      <c r="A1052" s="76" t="s">
        <v>2063</v>
      </c>
      <c r="B1052" s="62" t="s">
        <v>3655</v>
      </c>
      <c r="C1052" s="62" t="s">
        <v>1615</v>
      </c>
      <c r="D1052" s="62" t="s">
        <v>2101</v>
      </c>
      <c r="E1052" s="63" t="s">
        <v>2169</v>
      </c>
      <c r="F1052" s="64" t="s">
        <v>2170</v>
      </c>
      <c r="G1052" s="62" t="s">
        <v>2097</v>
      </c>
      <c r="H1052" s="65" t="n">
        <v>80</v>
      </c>
      <c r="I1052" s="65" t="n">
        <v>7.26</v>
      </c>
      <c r="J1052" s="65" t="n">
        <v>21.77</v>
      </c>
      <c r="K1052" s="66" t="n">
        <v>440.9</v>
      </c>
      <c r="L1052" s="67" t="n">
        <v>16.8</v>
      </c>
      <c r="M1052" s="68" t="n">
        <v>75</v>
      </c>
      <c r="N1052" s="65" t="n">
        <v>1.813836</v>
      </c>
      <c r="O1052" s="69" t="n">
        <v>4.7003</v>
      </c>
      <c r="P1052" s="65" t="n">
        <v>58.23</v>
      </c>
      <c r="Q1052" s="62" t="s">
        <v>2098</v>
      </c>
      <c r="R1052" s="62" t="s">
        <v>3628</v>
      </c>
      <c r="S1052" s="67" t="n">
        <v>0.5</v>
      </c>
      <c r="T1052" s="65" t="n">
        <v>440.9</v>
      </c>
      <c r="U1052" s="56" t="n">
        <f aca="false">I1052*O1052</f>
        <v>34.124178</v>
      </c>
      <c r="V1052" s="56" t="n">
        <f aca="false">J1052*O1052</f>
        <v>102.325531</v>
      </c>
      <c r="W1052" s="56" t="n">
        <f aca="false">((I1052+J1052)/2)*O1052</f>
        <v>68.2248545</v>
      </c>
      <c r="X1052" s="56" t="n">
        <f aca="false">H1052*O1052</f>
        <v>376.024</v>
      </c>
    </row>
    <row r="1053" customFormat="false" ht="15" hidden="false" customHeight="false" outlineLevel="0" collapsed="false">
      <c r="A1053" s="76" t="s">
        <v>2063</v>
      </c>
      <c r="B1053" s="49" t="s">
        <v>3656</v>
      </c>
      <c r="C1053" s="49" t="s">
        <v>3657</v>
      </c>
      <c r="D1053" s="49" t="s">
        <v>2101</v>
      </c>
      <c r="E1053" s="50" t="s">
        <v>2096</v>
      </c>
      <c r="F1053" s="49" t="s">
        <v>2097</v>
      </c>
      <c r="G1053" s="49" t="s">
        <v>2097</v>
      </c>
      <c r="H1053" s="51" t="n">
        <v>40</v>
      </c>
      <c r="I1053" s="51" t="n">
        <v>3.41</v>
      </c>
      <c r="J1053" s="51" t="n">
        <v>10.22</v>
      </c>
      <c r="K1053" s="52" t="n">
        <v>10.22</v>
      </c>
      <c r="L1053" s="53" t="n">
        <v>14</v>
      </c>
      <c r="M1053" s="54" t="n">
        <v>100</v>
      </c>
      <c r="N1053" s="51" t="n">
        <v>0.486658</v>
      </c>
      <c r="O1053" s="55" t="n">
        <v>5.4116</v>
      </c>
      <c r="P1053" s="51" t="n">
        <v>29.78</v>
      </c>
      <c r="Q1053" s="49" t="s">
        <v>2098</v>
      </c>
      <c r="R1053" s="49" t="s">
        <v>2099</v>
      </c>
      <c r="S1053" s="53" t="n">
        <v>0.5</v>
      </c>
      <c r="T1053" s="51" t="n">
        <v>1</v>
      </c>
      <c r="U1053" s="56" t="n">
        <f aca="false">I1053*O1053</f>
        <v>18.453556</v>
      </c>
      <c r="V1053" s="56" t="n">
        <f aca="false">J1053*O1053</f>
        <v>55.306552</v>
      </c>
      <c r="W1053" s="56" t="n">
        <f aca="false">((I1053+J1053)/2)*O1053</f>
        <v>36.880054</v>
      </c>
      <c r="X1053" s="56" t="n">
        <f aca="false">H1053*O1053</f>
        <v>216.464</v>
      </c>
    </row>
    <row r="1054" customFormat="false" ht="22.35" hidden="false" customHeight="false" outlineLevel="0" collapsed="false">
      <c r="A1054" s="76" t="s">
        <v>2063</v>
      </c>
      <c r="B1054" s="7" t="s">
        <v>2281</v>
      </c>
      <c r="C1054" s="7" t="s">
        <v>1542</v>
      </c>
      <c r="D1054" s="7" t="s">
        <v>2101</v>
      </c>
      <c r="E1054" s="57" t="s">
        <v>2102</v>
      </c>
      <c r="F1054" s="7" t="s">
        <v>2097</v>
      </c>
      <c r="G1054" s="7" t="s">
        <v>2097</v>
      </c>
      <c r="H1054" s="9" t="n">
        <v>159</v>
      </c>
      <c r="I1054" s="9" t="n">
        <v>81.25</v>
      </c>
      <c r="J1054" s="9" t="n">
        <v>243.74</v>
      </c>
      <c r="K1054" s="52" t="n">
        <v>280</v>
      </c>
      <c r="L1054" s="58" t="n">
        <v>23.8</v>
      </c>
      <c r="M1054" s="59" t="n">
        <v>83.3</v>
      </c>
      <c r="N1054" s="9" t="n">
        <v>6.82737</v>
      </c>
      <c r="O1054" s="8" t="n">
        <v>3.1771</v>
      </c>
      <c r="P1054" s="9" t="n">
        <v>-84.74</v>
      </c>
      <c r="Q1054" s="7" t="s">
        <v>2103</v>
      </c>
      <c r="R1054" s="7" t="s">
        <v>2099</v>
      </c>
      <c r="S1054" s="58" t="n">
        <v>0.5</v>
      </c>
      <c r="T1054" s="9" t="n">
        <v>40</v>
      </c>
      <c r="U1054" s="56" t="n">
        <f aca="false">I1054*O1054</f>
        <v>258.139375</v>
      </c>
      <c r="V1054" s="56" t="n">
        <f aca="false">J1054*O1054</f>
        <v>774.386354</v>
      </c>
      <c r="W1054" s="56" t="n">
        <f aca="false">((I1054+J1054)/2)*O1054</f>
        <v>516.2628645</v>
      </c>
      <c r="X1054" s="56" t="n">
        <f aca="false">H1054*O1054</f>
        <v>505.1589</v>
      </c>
    </row>
    <row r="1055" customFormat="false" ht="15" hidden="false" customHeight="false" outlineLevel="0" collapsed="false">
      <c r="A1055" s="76" t="s">
        <v>2063</v>
      </c>
      <c r="B1055" s="49" t="s">
        <v>3658</v>
      </c>
      <c r="C1055" s="49" t="s">
        <v>1542</v>
      </c>
      <c r="D1055" s="49" t="s">
        <v>2101</v>
      </c>
      <c r="E1055" s="50" t="s">
        <v>2096</v>
      </c>
      <c r="F1055" s="49" t="s">
        <v>2097</v>
      </c>
      <c r="G1055" s="49" t="s">
        <v>2097</v>
      </c>
      <c r="H1055" s="51" t="n">
        <v>40</v>
      </c>
      <c r="I1055" s="51" t="n">
        <v>5.46</v>
      </c>
      <c r="J1055" s="51" t="n">
        <v>16.37</v>
      </c>
      <c r="K1055" s="52" t="n">
        <v>40</v>
      </c>
      <c r="L1055" s="53" t="n">
        <v>16.1</v>
      </c>
      <c r="M1055" s="54" t="n">
        <v>64.7</v>
      </c>
      <c r="N1055" s="51" t="n">
        <v>0.677658</v>
      </c>
      <c r="O1055" s="55" t="n">
        <v>4.303</v>
      </c>
      <c r="P1055" s="51" t="n">
        <v>23.63</v>
      </c>
      <c r="Q1055" s="49" t="s">
        <v>2098</v>
      </c>
      <c r="R1055" s="49" t="s">
        <v>2099</v>
      </c>
      <c r="S1055" s="53" t="n">
        <v>0.5</v>
      </c>
      <c r="T1055" s="51" t="n">
        <v>40</v>
      </c>
      <c r="U1055" s="56" t="n">
        <f aca="false">I1055*O1055</f>
        <v>23.49438</v>
      </c>
      <c r="V1055" s="56" t="n">
        <f aca="false">J1055*O1055</f>
        <v>70.44011</v>
      </c>
      <c r="W1055" s="56" t="n">
        <f aca="false">((I1055+J1055)/2)*O1055</f>
        <v>46.967245</v>
      </c>
      <c r="X1055" s="56" t="n">
        <f aca="false">H1055*O1055</f>
        <v>172.12</v>
      </c>
    </row>
    <row r="1056" customFormat="false" ht="22.35" hidden="false" customHeight="false" outlineLevel="0" collapsed="false">
      <c r="A1056" s="76" t="s">
        <v>2063</v>
      </c>
      <c r="B1056" s="7" t="s">
        <v>3659</v>
      </c>
      <c r="C1056" s="7" t="s">
        <v>3660</v>
      </c>
      <c r="D1056" s="7" t="s">
        <v>2101</v>
      </c>
      <c r="E1056" s="57" t="s">
        <v>2102</v>
      </c>
      <c r="F1056" s="7" t="s">
        <v>2097</v>
      </c>
      <c r="G1056" s="7" t="s">
        <v>2097</v>
      </c>
      <c r="H1056" s="9" t="n">
        <v>132</v>
      </c>
      <c r="I1056" s="9" t="n">
        <v>206.79</v>
      </c>
      <c r="J1056" s="9" t="n">
        <v>620.36</v>
      </c>
      <c r="K1056" s="52" t="n">
        <v>620.36</v>
      </c>
      <c r="L1056" s="58" t="n">
        <v>38.5</v>
      </c>
      <c r="M1056" s="59" t="n">
        <v>75</v>
      </c>
      <c r="N1056" s="9" t="n">
        <v>10.74211</v>
      </c>
      <c r="O1056" s="8" t="n">
        <v>3.954</v>
      </c>
      <c r="P1056" s="9" t="n">
        <v>-488.36</v>
      </c>
      <c r="Q1056" s="7" t="s">
        <v>2103</v>
      </c>
      <c r="R1056" s="7" t="s">
        <v>2099</v>
      </c>
      <c r="S1056" s="58" t="n">
        <v>0.5</v>
      </c>
      <c r="T1056" s="9" t="n">
        <v>1</v>
      </c>
      <c r="U1056" s="56" t="n">
        <f aca="false">I1056*O1056</f>
        <v>817.64766</v>
      </c>
      <c r="V1056" s="56" t="n">
        <f aca="false">J1056*O1056</f>
        <v>2452.90344</v>
      </c>
      <c r="W1056" s="56" t="n">
        <f aca="false">((I1056+J1056)/2)*O1056</f>
        <v>1635.27555</v>
      </c>
      <c r="X1056" s="56" t="n">
        <f aca="false">H1056*O1056</f>
        <v>521.928</v>
      </c>
    </row>
    <row r="1057" customFormat="false" ht="22.35" hidden="false" customHeight="false" outlineLevel="0" collapsed="false">
      <c r="A1057" s="76" t="s">
        <v>2063</v>
      </c>
      <c r="B1057" s="49" t="s">
        <v>3661</v>
      </c>
      <c r="C1057" s="49" t="s">
        <v>3662</v>
      </c>
      <c r="D1057" s="49" t="s">
        <v>2101</v>
      </c>
      <c r="E1057" s="57" t="s">
        <v>2102</v>
      </c>
      <c r="F1057" s="49" t="s">
        <v>2097</v>
      </c>
      <c r="G1057" s="49" t="s">
        <v>2097</v>
      </c>
      <c r="H1057" s="51" t="n">
        <v>1035</v>
      </c>
      <c r="I1057" s="51" t="n">
        <v>398</v>
      </c>
      <c r="J1057" s="51" t="n">
        <v>1194</v>
      </c>
      <c r="K1057" s="52" t="n">
        <v>2095</v>
      </c>
      <c r="L1057" s="53" t="n">
        <v>19.7</v>
      </c>
      <c r="M1057" s="54" t="n">
        <v>68.2</v>
      </c>
      <c r="N1057" s="51" t="n">
        <v>40.406027</v>
      </c>
      <c r="O1057" s="55" t="n">
        <v>3.5098</v>
      </c>
      <c r="P1057" s="51" t="n">
        <v>-159</v>
      </c>
      <c r="Q1057" s="49" t="s">
        <v>2103</v>
      </c>
      <c r="R1057" s="49" t="s">
        <v>2099</v>
      </c>
      <c r="S1057" s="53" t="n">
        <v>0.5</v>
      </c>
      <c r="T1057" s="51" t="n">
        <v>2095</v>
      </c>
      <c r="U1057" s="56" t="n">
        <f aca="false">I1057*O1057</f>
        <v>1396.9004</v>
      </c>
      <c r="V1057" s="56" t="n">
        <f aca="false">J1057*O1057</f>
        <v>4190.7012</v>
      </c>
      <c r="W1057" s="56" t="n">
        <f aca="false">((I1057+J1057)/2)*O1057</f>
        <v>2793.8008</v>
      </c>
      <c r="X1057" s="56" t="n">
        <f aca="false">H1057*O1057</f>
        <v>3632.643</v>
      </c>
    </row>
    <row r="1058" customFormat="false" ht="22.35" hidden="false" customHeight="false" outlineLevel="0" collapsed="false">
      <c r="A1058" s="76" t="s">
        <v>2063</v>
      </c>
      <c r="B1058" s="7" t="s">
        <v>3663</v>
      </c>
      <c r="C1058" s="7" t="s">
        <v>1531</v>
      </c>
      <c r="D1058" s="7" t="s">
        <v>2101</v>
      </c>
      <c r="E1058" s="57" t="s">
        <v>2102</v>
      </c>
      <c r="F1058" s="7" t="s">
        <v>2097</v>
      </c>
      <c r="G1058" s="7" t="s">
        <v>2097</v>
      </c>
      <c r="H1058" s="9" t="n">
        <v>221</v>
      </c>
      <c r="I1058" s="9" t="n">
        <v>136.25</v>
      </c>
      <c r="J1058" s="9" t="n">
        <v>408.74</v>
      </c>
      <c r="K1058" s="52" t="n">
        <v>772</v>
      </c>
      <c r="L1058" s="58" t="n">
        <v>26.6</v>
      </c>
      <c r="M1058" s="59" t="n">
        <v>73.3</v>
      </c>
      <c r="N1058" s="9" t="n">
        <v>10.24406</v>
      </c>
      <c r="O1058" s="8" t="n">
        <v>6.535</v>
      </c>
      <c r="P1058" s="9" t="n">
        <v>-187.74</v>
      </c>
      <c r="Q1058" s="7" t="s">
        <v>2103</v>
      </c>
      <c r="R1058" s="7" t="s">
        <v>2099</v>
      </c>
      <c r="S1058" s="58" t="n">
        <v>0.5</v>
      </c>
      <c r="T1058" s="9" t="n">
        <v>386</v>
      </c>
      <c r="U1058" s="56" t="n">
        <f aca="false">I1058*O1058</f>
        <v>890.39375</v>
      </c>
      <c r="V1058" s="56" t="n">
        <f aca="false">J1058*O1058</f>
        <v>2671.1159</v>
      </c>
      <c r="W1058" s="56" t="n">
        <f aca="false">((I1058+J1058)/2)*O1058</f>
        <v>1780.754825</v>
      </c>
      <c r="X1058" s="56" t="n">
        <f aca="false">H1058*O1058</f>
        <v>1444.235</v>
      </c>
    </row>
    <row r="1059" customFormat="false" ht="22.35" hidden="false" customHeight="false" outlineLevel="0" collapsed="false">
      <c r="A1059" s="76" t="s">
        <v>2063</v>
      </c>
      <c r="B1059" s="4" t="s">
        <v>3664</v>
      </c>
      <c r="C1059" s="4" t="s">
        <v>3665</v>
      </c>
      <c r="D1059" s="4" t="s">
        <v>2101</v>
      </c>
      <c r="E1059" s="70" t="s">
        <v>2193</v>
      </c>
      <c r="F1059" s="4" t="s">
        <v>2097</v>
      </c>
      <c r="G1059" s="71" t="s">
        <v>2194</v>
      </c>
      <c r="H1059" s="6" t="n">
        <v>40</v>
      </c>
      <c r="I1059" s="6" t="n">
        <v>0</v>
      </c>
      <c r="J1059" s="6" t="n">
        <v>0</v>
      </c>
      <c r="K1059" s="52" t="n">
        <v>0</v>
      </c>
      <c r="L1059" s="72" t="n">
        <v>28</v>
      </c>
      <c r="M1059" s="73" t="n">
        <v>75</v>
      </c>
      <c r="N1059" s="6" t="n">
        <v>1.17444</v>
      </c>
      <c r="O1059" s="5" t="n">
        <v>2.4831</v>
      </c>
      <c r="P1059" s="6" t="n">
        <v>40</v>
      </c>
      <c r="Q1059" s="4" t="s">
        <v>2098</v>
      </c>
      <c r="R1059" s="4" t="s">
        <v>2195</v>
      </c>
      <c r="S1059" s="72" t="n">
        <v>0</v>
      </c>
      <c r="T1059" s="6" t="n">
        <v>1</v>
      </c>
      <c r="U1059" s="56" t="n">
        <f aca="false">I1059*O1059</f>
        <v>0</v>
      </c>
      <c r="V1059" s="56" t="n">
        <f aca="false">J1059*O1059</f>
        <v>0</v>
      </c>
      <c r="W1059" s="56" t="n">
        <f aca="false">((I1059+J1059)/2)*O1059</f>
        <v>0</v>
      </c>
      <c r="X1059" s="56" t="n">
        <f aca="false">H1059*O1059</f>
        <v>99.324</v>
      </c>
    </row>
    <row r="1060" customFormat="false" ht="22.35" hidden="false" customHeight="false" outlineLevel="0" collapsed="false">
      <c r="A1060" s="76" t="s">
        <v>2063</v>
      </c>
      <c r="B1060" s="7" t="s">
        <v>3666</v>
      </c>
      <c r="C1060" s="7" t="s">
        <v>2302</v>
      </c>
      <c r="D1060" s="7" t="s">
        <v>2101</v>
      </c>
      <c r="E1060" s="57" t="s">
        <v>2102</v>
      </c>
      <c r="F1060" s="7" t="s">
        <v>2097</v>
      </c>
      <c r="G1060" s="7" t="s">
        <v>2097</v>
      </c>
      <c r="H1060" s="9" t="n">
        <v>304</v>
      </c>
      <c r="I1060" s="9" t="n">
        <v>176.2</v>
      </c>
      <c r="J1060" s="9" t="n">
        <v>528.6</v>
      </c>
      <c r="K1060" s="52" t="n">
        <v>528.6</v>
      </c>
      <c r="L1060" s="58" t="n">
        <v>17.5</v>
      </c>
      <c r="M1060" s="59" t="n">
        <v>75</v>
      </c>
      <c r="N1060" s="9" t="n">
        <v>20.136986</v>
      </c>
      <c r="O1060" s="8" t="n">
        <v>3.24</v>
      </c>
      <c r="P1060" s="9" t="n">
        <v>-224.6</v>
      </c>
      <c r="Q1060" s="7" t="s">
        <v>2103</v>
      </c>
      <c r="R1060" s="7" t="s">
        <v>2099</v>
      </c>
      <c r="S1060" s="58" t="n">
        <v>0.5</v>
      </c>
      <c r="T1060" s="9" t="n">
        <v>1</v>
      </c>
      <c r="U1060" s="56" t="n">
        <f aca="false">I1060*O1060</f>
        <v>570.888</v>
      </c>
      <c r="V1060" s="56" t="n">
        <f aca="false">J1060*O1060</f>
        <v>1712.664</v>
      </c>
      <c r="W1060" s="56" t="n">
        <f aca="false">((I1060+J1060)/2)*O1060</f>
        <v>1141.776</v>
      </c>
      <c r="X1060" s="56" t="n">
        <f aca="false">H1060*O1060</f>
        <v>984.96</v>
      </c>
    </row>
    <row r="1061" customFormat="false" ht="22.35" hidden="false" customHeight="false" outlineLevel="0" collapsed="false">
      <c r="A1061" s="76" t="s">
        <v>2063</v>
      </c>
      <c r="B1061" s="4" t="s">
        <v>3667</v>
      </c>
      <c r="C1061" s="4" t="s">
        <v>3668</v>
      </c>
      <c r="D1061" s="4" t="s">
        <v>2101</v>
      </c>
      <c r="E1061" s="70" t="s">
        <v>2193</v>
      </c>
      <c r="F1061" s="4" t="s">
        <v>2097</v>
      </c>
      <c r="G1061" s="71" t="s">
        <v>2194</v>
      </c>
      <c r="H1061" s="6" t="n">
        <v>24</v>
      </c>
      <c r="I1061" s="6" t="n">
        <v>0</v>
      </c>
      <c r="J1061" s="6" t="n">
        <v>0</v>
      </c>
      <c r="K1061" s="52" t="n">
        <v>0</v>
      </c>
      <c r="L1061" s="72" t="n">
        <v>24</v>
      </c>
      <c r="M1061" s="73" t="n">
        <v>100</v>
      </c>
      <c r="N1061" s="6" t="n">
        <v>0.105685</v>
      </c>
      <c r="O1061" s="5" t="n">
        <v>9.57</v>
      </c>
      <c r="P1061" s="6" t="n">
        <v>24</v>
      </c>
      <c r="Q1061" s="4" t="s">
        <v>2098</v>
      </c>
      <c r="R1061" s="4" t="s">
        <v>2195</v>
      </c>
      <c r="S1061" s="72" t="n">
        <v>0</v>
      </c>
      <c r="T1061" s="6" t="n">
        <v>33</v>
      </c>
      <c r="U1061" s="56" t="n">
        <f aca="false">I1061*O1061</f>
        <v>0</v>
      </c>
      <c r="V1061" s="56" t="n">
        <f aca="false">J1061*O1061</f>
        <v>0</v>
      </c>
      <c r="W1061" s="56" t="n">
        <f aca="false">((I1061+J1061)/2)*O1061</f>
        <v>0</v>
      </c>
      <c r="X1061" s="56" t="n">
        <f aca="false">H1061*O1061</f>
        <v>229.68</v>
      </c>
    </row>
    <row r="1062" customFormat="false" ht="22.35" hidden="false" customHeight="false" outlineLevel="0" collapsed="false">
      <c r="A1062" s="76" t="s">
        <v>2063</v>
      </c>
      <c r="B1062" s="7" t="s">
        <v>3669</v>
      </c>
      <c r="C1062" s="7" t="s">
        <v>3670</v>
      </c>
      <c r="D1062" s="7" t="s">
        <v>2101</v>
      </c>
      <c r="E1062" s="57" t="s">
        <v>2102</v>
      </c>
      <c r="F1062" s="7" t="s">
        <v>2097</v>
      </c>
      <c r="G1062" s="7" t="s">
        <v>2097</v>
      </c>
      <c r="H1062" s="9" t="n">
        <v>219</v>
      </c>
      <c r="I1062" s="9" t="n">
        <v>154.33</v>
      </c>
      <c r="J1062" s="9" t="n">
        <v>463</v>
      </c>
      <c r="K1062" s="52" t="n">
        <v>880</v>
      </c>
      <c r="L1062" s="58" t="n">
        <v>30.1</v>
      </c>
      <c r="M1062" s="59" t="n">
        <v>82.8</v>
      </c>
      <c r="N1062" s="9" t="n">
        <v>10.254671</v>
      </c>
      <c r="O1062" s="8" t="n">
        <v>11.7736</v>
      </c>
      <c r="P1062" s="9" t="n">
        <v>-244</v>
      </c>
      <c r="Q1062" s="7" t="s">
        <v>2103</v>
      </c>
      <c r="R1062" s="7" t="s">
        <v>2099</v>
      </c>
      <c r="S1062" s="58" t="n">
        <v>0.5</v>
      </c>
      <c r="T1062" s="9" t="n">
        <v>440</v>
      </c>
      <c r="U1062" s="56" t="n">
        <f aca="false">I1062*O1062</f>
        <v>1817.019688</v>
      </c>
      <c r="V1062" s="56" t="n">
        <f aca="false">J1062*O1062</f>
        <v>5451.1768</v>
      </c>
      <c r="W1062" s="56" t="n">
        <f aca="false">((I1062+J1062)/2)*O1062</f>
        <v>3634.098244</v>
      </c>
      <c r="X1062" s="56" t="n">
        <f aca="false">H1062*O1062</f>
        <v>2578.4184</v>
      </c>
    </row>
    <row r="1063" customFormat="false" ht="22.35" hidden="false" customHeight="false" outlineLevel="0" collapsed="false">
      <c r="A1063" s="76" t="s">
        <v>2063</v>
      </c>
      <c r="B1063" s="49" t="s">
        <v>3671</v>
      </c>
      <c r="C1063" s="49" t="s">
        <v>1965</v>
      </c>
      <c r="D1063" s="49" t="s">
        <v>2095</v>
      </c>
      <c r="E1063" s="61" t="s">
        <v>2113</v>
      </c>
      <c r="F1063" s="49" t="s">
        <v>2097</v>
      </c>
      <c r="G1063" s="49" t="s">
        <v>2097</v>
      </c>
      <c r="H1063" s="51" t="n">
        <v>9691</v>
      </c>
      <c r="I1063" s="51" t="n">
        <v>26446.94</v>
      </c>
      <c r="J1063" s="51" t="n">
        <v>52893.88</v>
      </c>
      <c r="K1063" s="52" t="n">
        <v>57040</v>
      </c>
      <c r="L1063" s="53" t="n">
        <v>56.5</v>
      </c>
      <c r="M1063" s="54" t="n">
        <v>68.6</v>
      </c>
      <c r="N1063" s="51" t="n">
        <v>468.087384</v>
      </c>
      <c r="O1063" s="55" t="n">
        <v>2.9</v>
      </c>
      <c r="P1063" s="51" t="n">
        <v>-43202.88</v>
      </c>
      <c r="Q1063" s="49" t="s">
        <v>2103</v>
      </c>
      <c r="R1063" s="49" t="s">
        <v>2099</v>
      </c>
      <c r="S1063" s="53" t="n">
        <v>1</v>
      </c>
      <c r="T1063" s="51" t="n">
        <v>7130</v>
      </c>
      <c r="U1063" s="56" t="n">
        <f aca="false">I1063*O1063</f>
        <v>76696.126</v>
      </c>
      <c r="V1063" s="56" t="n">
        <f aca="false">J1063*O1063</f>
        <v>153392.252</v>
      </c>
      <c r="W1063" s="56" t="n">
        <f aca="false">((I1063+J1063)/2)*O1063</f>
        <v>115044.189</v>
      </c>
      <c r="X1063" s="56" t="n">
        <f aca="false">H1063*O1063</f>
        <v>28103.9</v>
      </c>
    </row>
    <row r="1064" customFormat="false" ht="22.35" hidden="false" customHeight="false" outlineLevel="0" collapsed="false">
      <c r="A1064" s="76" t="s">
        <v>2063</v>
      </c>
      <c r="B1064" s="7" t="s">
        <v>2286</v>
      </c>
      <c r="C1064" s="7" t="s">
        <v>1615</v>
      </c>
      <c r="D1064" s="7" t="s">
        <v>2101</v>
      </c>
      <c r="E1064" s="57" t="s">
        <v>2102</v>
      </c>
      <c r="F1064" s="7" t="s">
        <v>2097</v>
      </c>
      <c r="G1064" s="7" t="s">
        <v>2097</v>
      </c>
      <c r="H1064" s="9" t="n">
        <v>708</v>
      </c>
      <c r="I1064" s="9" t="n">
        <v>305.5</v>
      </c>
      <c r="J1064" s="9" t="n">
        <v>916.51</v>
      </c>
      <c r="K1064" s="52" t="n">
        <v>1680</v>
      </c>
      <c r="L1064" s="58" t="n">
        <v>20.3</v>
      </c>
      <c r="M1064" s="59" t="n">
        <v>38.5</v>
      </c>
      <c r="N1064" s="9" t="n">
        <v>30.098863</v>
      </c>
      <c r="O1064" s="8" t="n">
        <v>5.167</v>
      </c>
      <c r="P1064" s="9" t="n">
        <v>-208.51</v>
      </c>
      <c r="Q1064" s="7" t="s">
        <v>2103</v>
      </c>
      <c r="R1064" s="7" t="s">
        <v>2099</v>
      </c>
      <c r="S1064" s="58" t="n">
        <v>0.5</v>
      </c>
      <c r="T1064" s="9" t="n">
        <v>1680</v>
      </c>
      <c r="U1064" s="56" t="n">
        <f aca="false">I1064*O1064</f>
        <v>1578.5185</v>
      </c>
      <c r="V1064" s="56" t="n">
        <f aca="false">J1064*O1064</f>
        <v>4735.60717</v>
      </c>
      <c r="W1064" s="56" t="n">
        <f aca="false">((I1064+J1064)/2)*O1064</f>
        <v>3157.062835</v>
      </c>
      <c r="X1064" s="56" t="n">
        <f aca="false">H1064*O1064</f>
        <v>3658.236</v>
      </c>
    </row>
    <row r="1065" customFormat="false" ht="22.35" hidden="false" customHeight="false" outlineLevel="0" collapsed="false">
      <c r="A1065" s="76" t="s">
        <v>2063</v>
      </c>
      <c r="B1065" s="49" t="s">
        <v>3672</v>
      </c>
      <c r="C1065" s="49" t="s">
        <v>1617</v>
      </c>
      <c r="D1065" s="49" t="s">
        <v>2101</v>
      </c>
      <c r="E1065" s="57" t="s">
        <v>2102</v>
      </c>
      <c r="F1065" s="49" t="s">
        <v>2097</v>
      </c>
      <c r="G1065" s="49" t="s">
        <v>2097</v>
      </c>
      <c r="H1065" s="51" t="n">
        <v>80</v>
      </c>
      <c r="I1065" s="51" t="n">
        <v>37.64</v>
      </c>
      <c r="J1065" s="51" t="n">
        <v>112.92</v>
      </c>
      <c r="K1065" s="52" t="n">
        <v>120</v>
      </c>
      <c r="L1065" s="53" t="n">
        <v>38.3</v>
      </c>
      <c r="M1065" s="54" t="n">
        <v>73.3</v>
      </c>
      <c r="N1065" s="51" t="n">
        <v>1.965609</v>
      </c>
      <c r="O1065" s="55" t="n">
        <v>6.6695</v>
      </c>
      <c r="P1065" s="51" t="n">
        <v>-32.92</v>
      </c>
      <c r="Q1065" s="49" t="s">
        <v>2103</v>
      </c>
      <c r="R1065" s="49" t="s">
        <v>2099</v>
      </c>
      <c r="S1065" s="53" t="n">
        <v>0.5</v>
      </c>
      <c r="T1065" s="51" t="n">
        <v>40</v>
      </c>
      <c r="U1065" s="56" t="n">
        <f aca="false">I1065*O1065</f>
        <v>251.03998</v>
      </c>
      <c r="V1065" s="56" t="n">
        <f aca="false">J1065*O1065</f>
        <v>753.11994</v>
      </c>
      <c r="W1065" s="56" t="n">
        <f aca="false">((I1065+J1065)/2)*O1065</f>
        <v>502.07996</v>
      </c>
      <c r="X1065" s="56" t="n">
        <f aca="false">H1065*O1065</f>
        <v>533.56</v>
      </c>
    </row>
    <row r="1066" customFormat="false" ht="22.35" hidden="false" customHeight="false" outlineLevel="0" collapsed="false">
      <c r="A1066" s="76" t="s">
        <v>2063</v>
      </c>
      <c r="B1066" s="7" t="s">
        <v>2287</v>
      </c>
      <c r="C1066" s="7" t="s">
        <v>1531</v>
      </c>
      <c r="D1066" s="7" t="s">
        <v>2101</v>
      </c>
      <c r="E1066" s="57" t="s">
        <v>2102</v>
      </c>
      <c r="F1066" s="7" t="s">
        <v>2097</v>
      </c>
      <c r="G1066" s="7" t="s">
        <v>2097</v>
      </c>
      <c r="H1066" s="9" t="n">
        <v>535</v>
      </c>
      <c r="I1066" s="9" t="n">
        <v>501.35</v>
      </c>
      <c r="J1066" s="9" t="n">
        <v>1504.06</v>
      </c>
      <c r="K1066" s="52" t="n">
        <v>1584</v>
      </c>
      <c r="L1066" s="58" t="n">
        <v>39.9</v>
      </c>
      <c r="M1066" s="59" t="n">
        <v>82.7</v>
      </c>
      <c r="N1066" s="9" t="n">
        <v>25.130489</v>
      </c>
      <c r="O1066" s="8" t="n">
        <v>7.925</v>
      </c>
      <c r="P1066" s="9" t="n">
        <v>-969.06</v>
      </c>
      <c r="Q1066" s="7" t="s">
        <v>2103</v>
      </c>
      <c r="R1066" s="7" t="s">
        <v>2099</v>
      </c>
      <c r="S1066" s="58" t="n">
        <v>0.5</v>
      </c>
      <c r="T1066" s="9" t="n">
        <v>396</v>
      </c>
      <c r="U1066" s="56" t="n">
        <f aca="false">I1066*O1066</f>
        <v>3973.19875</v>
      </c>
      <c r="V1066" s="56" t="n">
        <f aca="false">J1066*O1066</f>
        <v>11919.6755</v>
      </c>
      <c r="W1066" s="56" t="n">
        <f aca="false">((I1066+J1066)/2)*O1066</f>
        <v>7946.437125</v>
      </c>
      <c r="X1066" s="56" t="n">
        <f aca="false">H1066*O1066</f>
        <v>4239.875</v>
      </c>
    </row>
    <row r="1067" customFormat="false" ht="22.35" hidden="false" customHeight="false" outlineLevel="0" collapsed="false">
      <c r="A1067" s="76" t="s">
        <v>2063</v>
      </c>
      <c r="B1067" s="4" t="s">
        <v>3673</v>
      </c>
      <c r="C1067" s="4" t="s">
        <v>2173</v>
      </c>
      <c r="D1067" s="4" t="s">
        <v>2101</v>
      </c>
      <c r="E1067" s="70" t="s">
        <v>2193</v>
      </c>
      <c r="F1067" s="4" t="s">
        <v>2097</v>
      </c>
      <c r="G1067" s="71" t="s">
        <v>2194</v>
      </c>
      <c r="H1067" s="6" t="n">
        <v>80</v>
      </c>
      <c r="I1067" s="6" t="n">
        <v>0</v>
      </c>
      <c r="J1067" s="6" t="n">
        <v>0</v>
      </c>
      <c r="K1067" s="52" t="n">
        <v>0</v>
      </c>
      <c r="L1067" s="72" t="n">
        <v>13.7</v>
      </c>
      <c r="M1067" s="73" t="n">
        <v>57.1</v>
      </c>
      <c r="N1067" s="6" t="n">
        <v>1.094594</v>
      </c>
      <c r="O1067" s="5" t="n">
        <v>4.93</v>
      </c>
      <c r="P1067" s="6" t="n">
        <v>80</v>
      </c>
      <c r="Q1067" s="4" t="s">
        <v>2098</v>
      </c>
      <c r="R1067" s="4" t="s">
        <v>2195</v>
      </c>
      <c r="S1067" s="72" t="n">
        <v>0</v>
      </c>
      <c r="T1067" s="6" t="n">
        <v>441</v>
      </c>
      <c r="U1067" s="56" t="n">
        <f aca="false">I1067*O1067</f>
        <v>0</v>
      </c>
      <c r="V1067" s="56" t="n">
        <f aca="false">J1067*O1067</f>
        <v>0</v>
      </c>
      <c r="W1067" s="56" t="n">
        <f aca="false">((I1067+J1067)/2)*O1067</f>
        <v>0</v>
      </c>
      <c r="X1067" s="56" t="n">
        <f aca="false">H1067*O1067</f>
        <v>394.4</v>
      </c>
    </row>
    <row r="1068" customFormat="false" ht="22.35" hidden="false" customHeight="false" outlineLevel="0" collapsed="false">
      <c r="A1068" s="76" t="s">
        <v>2063</v>
      </c>
      <c r="B1068" s="7" t="s">
        <v>3674</v>
      </c>
      <c r="C1068" s="7" t="s">
        <v>2215</v>
      </c>
      <c r="D1068" s="7" t="s">
        <v>2101</v>
      </c>
      <c r="E1068" s="57" t="s">
        <v>2102</v>
      </c>
      <c r="F1068" s="7" t="s">
        <v>2097</v>
      </c>
      <c r="G1068" s="7" t="s">
        <v>2097</v>
      </c>
      <c r="H1068" s="9" t="n">
        <v>545</v>
      </c>
      <c r="I1068" s="9" t="n">
        <v>309.62</v>
      </c>
      <c r="J1068" s="9" t="n">
        <v>928.87</v>
      </c>
      <c r="K1068" s="52" t="n">
        <v>1350</v>
      </c>
      <c r="L1068" s="58" t="n">
        <v>25.5</v>
      </c>
      <c r="M1068" s="59" t="n">
        <v>62.5</v>
      </c>
      <c r="N1068" s="9" t="n">
        <v>24.284137</v>
      </c>
      <c r="O1068" s="8" t="n">
        <v>2.16</v>
      </c>
      <c r="P1068" s="9" t="n">
        <v>-383.87</v>
      </c>
      <c r="Q1068" s="7" t="s">
        <v>2103</v>
      </c>
      <c r="R1068" s="7" t="s">
        <v>2099</v>
      </c>
      <c r="S1068" s="58" t="n">
        <v>0.5</v>
      </c>
      <c r="T1068" s="9" t="n">
        <v>450</v>
      </c>
      <c r="U1068" s="56" t="n">
        <f aca="false">I1068*O1068</f>
        <v>668.7792</v>
      </c>
      <c r="V1068" s="56" t="n">
        <f aca="false">J1068*O1068</f>
        <v>2006.3592</v>
      </c>
      <c r="W1068" s="56" t="n">
        <f aca="false">((I1068+J1068)/2)*O1068</f>
        <v>1337.5692</v>
      </c>
      <c r="X1068" s="56" t="n">
        <f aca="false">H1068*O1068</f>
        <v>1177.2</v>
      </c>
    </row>
    <row r="1069" customFormat="false" ht="22.35" hidden="false" customHeight="false" outlineLevel="0" collapsed="false">
      <c r="A1069" s="76" t="s">
        <v>2063</v>
      </c>
      <c r="B1069" s="49" t="s">
        <v>3675</v>
      </c>
      <c r="C1069" s="49" t="s">
        <v>2215</v>
      </c>
      <c r="D1069" s="49" t="s">
        <v>2101</v>
      </c>
      <c r="E1069" s="57" t="s">
        <v>2102</v>
      </c>
      <c r="F1069" s="49" t="s">
        <v>2097</v>
      </c>
      <c r="G1069" s="49" t="s">
        <v>2097</v>
      </c>
      <c r="H1069" s="51" t="n">
        <v>40</v>
      </c>
      <c r="I1069" s="51" t="n">
        <v>32.38</v>
      </c>
      <c r="J1069" s="51" t="n">
        <v>97.14</v>
      </c>
      <c r="K1069" s="52" t="n">
        <v>450</v>
      </c>
      <c r="L1069" s="53" t="n">
        <v>78.5</v>
      </c>
      <c r="M1069" s="54" t="n">
        <v>0</v>
      </c>
      <c r="N1069" s="51" t="n">
        <v>0.824973</v>
      </c>
      <c r="O1069" s="55" t="n">
        <v>4.0849</v>
      </c>
      <c r="P1069" s="51" t="n">
        <v>-57.14</v>
      </c>
      <c r="Q1069" s="49" t="s">
        <v>2103</v>
      </c>
      <c r="R1069" s="49" t="s">
        <v>2099</v>
      </c>
      <c r="S1069" s="53" t="n">
        <v>0.5</v>
      </c>
      <c r="T1069" s="51" t="n">
        <v>450</v>
      </c>
      <c r="U1069" s="56" t="n">
        <f aca="false">I1069*O1069</f>
        <v>132.269062</v>
      </c>
      <c r="V1069" s="56" t="n">
        <f aca="false">J1069*O1069</f>
        <v>396.807186</v>
      </c>
      <c r="W1069" s="56" t="n">
        <f aca="false">((I1069+J1069)/2)*O1069</f>
        <v>264.538124</v>
      </c>
      <c r="X1069" s="56" t="n">
        <f aca="false">H1069*O1069</f>
        <v>163.396</v>
      </c>
    </row>
    <row r="1070" customFormat="false" ht="32.8" hidden="false" customHeight="false" outlineLevel="0" collapsed="false">
      <c r="A1070" s="76" t="s">
        <v>2063</v>
      </c>
      <c r="B1070" s="62" t="s">
        <v>3676</v>
      </c>
      <c r="C1070" s="62" t="s">
        <v>2215</v>
      </c>
      <c r="D1070" s="62" t="s">
        <v>2101</v>
      </c>
      <c r="E1070" s="78" t="s">
        <v>3474</v>
      </c>
      <c r="F1070" s="64" t="s">
        <v>2170</v>
      </c>
      <c r="G1070" s="62" t="s">
        <v>2097</v>
      </c>
      <c r="H1070" s="65" t="n">
        <v>141</v>
      </c>
      <c r="I1070" s="65" t="n">
        <v>156.73</v>
      </c>
      <c r="J1070" s="65" t="n">
        <v>470.2</v>
      </c>
      <c r="K1070" s="66" t="n">
        <v>840</v>
      </c>
      <c r="L1070" s="67" t="n">
        <v>45.6</v>
      </c>
      <c r="M1070" s="68" t="n">
        <v>57.1</v>
      </c>
      <c r="N1070" s="65" t="n">
        <v>4.765562</v>
      </c>
      <c r="O1070" s="69" t="n">
        <v>5.98</v>
      </c>
      <c r="P1070" s="65" t="n">
        <v>-329.2</v>
      </c>
      <c r="Q1070" s="62" t="s">
        <v>2103</v>
      </c>
      <c r="R1070" s="62" t="s">
        <v>3677</v>
      </c>
      <c r="S1070" s="67" t="n">
        <v>0.5</v>
      </c>
      <c r="T1070" s="65" t="n">
        <v>420</v>
      </c>
      <c r="U1070" s="56" t="n">
        <f aca="false">I1070*O1070</f>
        <v>937.2454</v>
      </c>
      <c r="V1070" s="56" t="n">
        <f aca="false">J1070*O1070</f>
        <v>2811.796</v>
      </c>
      <c r="W1070" s="56" t="n">
        <f aca="false">((I1070+J1070)/2)*O1070</f>
        <v>1874.5207</v>
      </c>
      <c r="X1070" s="56" t="n">
        <f aca="false">H1070*O1070</f>
        <v>843.18</v>
      </c>
    </row>
    <row r="1071" customFormat="false" ht="22.35" hidden="false" customHeight="false" outlineLevel="0" collapsed="false">
      <c r="A1071" s="76" t="s">
        <v>2063</v>
      </c>
      <c r="B1071" s="62" t="s">
        <v>3678</v>
      </c>
      <c r="C1071" s="62" t="s">
        <v>3679</v>
      </c>
      <c r="D1071" s="62" t="s">
        <v>2101</v>
      </c>
      <c r="E1071" s="63" t="s">
        <v>2169</v>
      </c>
      <c r="F1071" s="64" t="s">
        <v>2170</v>
      </c>
      <c r="G1071" s="62" t="s">
        <v>2097</v>
      </c>
      <c r="H1071" s="65" t="n">
        <v>584</v>
      </c>
      <c r="I1071" s="65" t="n">
        <v>191.21</v>
      </c>
      <c r="J1071" s="65" t="n">
        <v>573.63</v>
      </c>
      <c r="K1071" s="66" t="n">
        <v>948</v>
      </c>
      <c r="L1071" s="67" t="n">
        <v>35.4</v>
      </c>
      <c r="M1071" s="68" t="n">
        <v>88.2</v>
      </c>
      <c r="N1071" s="65" t="n">
        <v>19.637562</v>
      </c>
      <c r="O1071" s="69" t="n">
        <v>3.67</v>
      </c>
      <c r="P1071" s="65" t="n">
        <v>10.37</v>
      </c>
      <c r="Q1071" s="62" t="s">
        <v>2098</v>
      </c>
      <c r="R1071" s="62" t="s">
        <v>3680</v>
      </c>
      <c r="S1071" s="67" t="n">
        <v>0.5</v>
      </c>
      <c r="T1071" s="65" t="n">
        <v>474</v>
      </c>
      <c r="U1071" s="56" t="n">
        <f aca="false">I1071*O1071</f>
        <v>701.7407</v>
      </c>
      <c r="V1071" s="56" t="n">
        <f aca="false">J1071*O1071</f>
        <v>2105.2221</v>
      </c>
      <c r="W1071" s="56" t="n">
        <f aca="false">((I1071+J1071)/2)*O1071</f>
        <v>1403.4814</v>
      </c>
      <c r="X1071" s="56" t="n">
        <f aca="false">H1071*O1071</f>
        <v>2143.28</v>
      </c>
    </row>
    <row r="1072" customFormat="false" ht="22.35" hidden="false" customHeight="false" outlineLevel="0" collapsed="false">
      <c r="A1072" s="76" t="s">
        <v>2063</v>
      </c>
      <c r="B1072" s="4" t="s">
        <v>3681</v>
      </c>
      <c r="C1072" s="4" t="s">
        <v>3682</v>
      </c>
      <c r="D1072" s="4" t="s">
        <v>2101</v>
      </c>
      <c r="E1072" s="70" t="s">
        <v>2193</v>
      </c>
      <c r="F1072" s="4" t="s">
        <v>2097</v>
      </c>
      <c r="G1072" s="71" t="s">
        <v>2194</v>
      </c>
      <c r="H1072" s="6" t="n">
        <v>40</v>
      </c>
      <c r="I1072" s="6" t="n">
        <v>0</v>
      </c>
      <c r="J1072" s="6" t="n">
        <v>0</v>
      </c>
      <c r="K1072" s="52" t="n">
        <v>0</v>
      </c>
      <c r="L1072" s="72" t="n">
        <v>21.6</v>
      </c>
      <c r="M1072" s="73" t="n">
        <v>60</v>
      </c>
      <c r="N1072" s="6" t="n">
        <v>0.111068</v>
      </c>
      <c r="O1072" s="5" t="n">
        <v>7.85</v>
      </c>
      <c r="P1072" s="6" t="n">
        <v>40</v>
      </c>
      <c r="Q1072" s="4" t="s">
        <v>2098</v>
      </c>
      <c r="R1072" s="4" t="s">
        <v>2195</v>
      </c>
      <c r="S1072" s="72" t="n">
        <v>0</v>
      </c>
      <c r="T1072" s="6" t="n">
        <v>33</v>
      </c>
      <c r="U1072" s="56" t="n">
        <f aca="false">I1072*O1072</f>
        <v>0</v>
      </c>
      <c r="V1072" s="56" t="n">
        <f aca="false">J1072*O1072</f>
        <v>0</v>
      </c>
      <c r="W1072" s="56" t="n">
        <f aca="false">((I1072+J1072)/2)*O1072</f>
        <v>0</v>
      </c>
      <c r="X1072" s="56" t="n">
        <f aca="false">H1072*O1072</f>
        <v>314</v>
      </c>
    </row>
    <row r="1073" customFormat="false" ht="22.35" hidden="false" customHeight="false" outlineLevel="0" collapsed="false">
      <c r="A1073" s="76" t="s">
        <v>2063</v>
      </c>
      <c r="B1073" s="49" t="s">
        <v>2291</v>
      </c>
      <c r="C1073" s="49" t="s">
        <v>1615</v>
      </c>
      <c r="D1073" s="49" t="s">
        <v>2095</v>
      </c>
      <c r="E1073" s="61" t="s">
        <v>2113</v>
      </c>
      <c r="F1073" s="49" t="s">
        <v>2097</v>
      </c>
      <c r="G1073" s="49" t="s">
        <v>2097</v>
      </c>
      <c r="H1073" s="51" t="n">
        <v>805</v>
      </c>
      <c r="I1073" s="51" t="n">
        <v>2077.56</v>
      </c>
      <c r="J1073" s="51" t="n">
        <v>4155.12</v>
      </c>
      <c r="K1073" s="52" t="n">
        <v>4500</v>
      </c>
      <c r="L1073" s="53" t="n">
        <v>32.4</v>
      </c>
      <c r="M1073" s="54" t="n">
        <v>86.2</v>
      </c>
      <c r="N1073" s="51" t="n">
        <v>64.12211</v>
      </c>
      <c r="O1073" s="55" t="n">
        <v>3.7</v>
      </c>
      <c r="P1073" s="51" t="n">
        <v>-3350.12</v>
      </c>
      <c r="Q1073" s="49" t="s">
        <v>2103</v>
      </c>
      <c r="R1073" s="49" t="s">
        <v>2099</v>
      </c>
      <c r="S1073" s="53" t="n">
        <v>1</v>
      </c>
      <c r="T1073" s="51" t="n">
        <v>450</v>
      </c>
      <c r="U1073" s="56" t="n">
        <f aca="false">I1073*O1073</f>
        <v>7686.972</v>
      </c>
      <c r="V1073" s="56" t="n">
        <f aca="false">J1073*O1073</f>
        <v>15373.944</v>
      </c>
      <c r="W1073" s="56" t="n">
        <f aca="false">((I1073+J1073)/2)*O1073</f>
        <v>11530.458</v>
      </c>
      <c r="X1073" s="56" t="n">
        <f aca="false">H1073*O1073</f>
        <v>2978.5</v>
      </c>
    </row>
    <row r="1074" customFormat="false" ht="22.35" hidden="false" customHeight="false" outlineLevel="0" collapsed="false">
      <c r="A1074" s="76" t="s">
        <v>2063</v>
      </c>
      <c r="B1074" s="4" t="s">
        <v>3683</v>
      </c>
      <c r="C1074" s="4" t="s">
        <v>3684</v>
      </c>
      <c r="D1074" s="4" t="s">
        <v>2101</v>
      </c>
      <c r="E1074" s="70" t="s">
        <v>2193</v>
      </c>
      <c r="F1074" s="4" t="s">
        <v>2097</v>
      </c>
      <c r="G1074" s="71" t="s">
        <v>2194</v>
      </c>
      <c r="H1074" s="6" t="n">
        <v>40</v>
      </c>
      <c r="I1074" s="6" t="n">
        <v>0</v>
      </c>
      <c r="J1074" s="6" t="n">
        <v>0</v>
      </c>
      <c r="K1074" s="52" t="n">
        <v>0</v>
      </c>
      <c r="L1074" s="72" t="n">
        <v>29.7</v>
      </c>
      <c r="M1074" s="73" t="n">
        <v>66.7</v>
      </c>
      <c r="N1074" s="6" t="n">
        <v>1.357049</v>
      </c>
      <c r="O1074" s="5" t="n">
        <v>19.157</v>
      </c>
      <c r="P1074" s="6" t="n">
        <v>40</v>
      </c>
      <c r="Q1074" s="4" t="s">
        <v>2098</v>
      </c>
      <c r="R1074" s="4" t="s">
        <v>2195</v>
      </c>
      <c r="S1074" s="72" t="n">
        <v>0</v>
      </c>
      <c r="T1074" s="6" t="n">
        <v>465</v>
      </c>
      <c r="U1074" s="56" t="n">
        <f aca="false">I1074*O1074</f>
        <v>0</v>
      </c>
      <c r="V1074" s="56" t="n">
        <f aca="false">J1074*O1074</f>
        <v>0</v>
      </c>
      <c r="W1074" s="56" t="n">
        <f aca="false">((I1074+J1074)/2)*O1074</f>
        <v>0</v>
      </c>
      <c r="X1074" s="56" t="n">
        <f aca="false">H1074*O1074</f>
        <v>766.28</v>
      </c>
    </row>
    <row r="1075" customFormat="false" ht="15" hidden="false" customHeight="false" outlineLevel="0" collapsed="false">
      <c r="A1075" s="76" t="s">
        <v>2063</v>
      </c>
      <c r="B1075" s="49" t="s">
        <v>2296</v>
      </c>
      <c r="C1075" s="49" t="s">
        <v>2297</v>
      </c>
      <c r="D1075" s="49" t="s">
        <v>2101</v>
      </c>
      <c r="E1075" s="50" t="s">
        <v>2096</v>
      </c>
      <c r="F1075" s="49" t="s">
        <v>2097</v>
      </c>
      <c r="G1075" s="49" t="s">
        <v>2097</v>
      </c>
      <c r="H1075" s="51" t="n">
        <v>40</v>
      </c>
      <c r="I1075" s="51" t="n">
        <v>5.02</v>
      </c>
      <c r="J1075" s="51" t="n">
        <v>15.06</v>
      </c>
      <c r="K1075" s="52" t="n">
        <v>441</v>
      </c>
      <c r="L1075" s="53" t="n">
        <v>29.9</v>
      </c>
      <c r="M1075" s="54" t="n">
        <v>58.3</v>
      </c>
      <c r="N1075" s="51" t="n">
        <v>0.335626</v>
      </c>
      <c r="O1075" s="55" t="n">
        <v>13.018</v>
      </c>
      <c r="P1075" s="51" t="n">
        <v>24.94</v>
      </c>
      <c r="Q1075" s="49" t="s">
        <v>2098</v>
      </c>
      <c r="R1075" s="49" t="s">
        <v>2099</v>
      </c>
      <c r="S1075" s="53" t="n">
        <v>0.5</v>
      </c>
      <c r="T1075" s="51" t="n">
        <v>441</v>
      </c>
      <c r="U1075" s="56" t="n">
        <f aca="false">I1075*O1075</f>
        <v>65.35036</v>
      </c>
      <c r="V1075" s="56" t="n">
        <f aca="false">J1075*O1075</f>
        <v>196.05108</v>
      </c>
      <c r="W1075" s="56" t="n">
        <f aca="false">((I1075+J1075)/2)*O1075</f>
        <v>130.70072</v>
      </c>
      <c r="X1075" s="56" t="n">
        <f aca="false">H1075*O1075</f>
        <v>520.72</v>
      </c>
    </row>
    <row r="1076" customFormat="false" ht="22.35" hidden="false" customHeight="false" outlineLevel="0" collapsed="false">
      <c r="A1076" s="76" t="s">
        <v>2063</v>
      </c>
      <c r="B1076" s="7" t="s">
        <v>2298</v>
      </c>
      <c r="C1076" s="7" t="s">
        <v>2299</v>
      </c>
      <c r="D1076" s="7" t="s">
        <v>2101</v>
      </c>
      <c r="E1076" s="57" t="s">
        <v>2102</v>
      </c>
      <c r="F1076" s="7" t="s">
        <v>2097</v>
      </c>
      <c r="G1076" s="7" t="s">
        <v>2097</v>
      </c>
      <c r="H1076" s="9" t="n">
        <v>482</v>
      </c>
      <c r="I1076" s="9" t="n">
        <v>213.26</v>
      </c>
      <c r="J1076" s="9" t="n">
        <v>639.79</v>
      </c>
      <c r="K1076" s="52" t="n">
        <v>748</v>
      </c>
      <c r="L1076" s="58" t="n">
        <v>25</v>
      </c>
      <c r="M1076" s="59" t="n">
        <v>86.8</v>
      </c>
      <c r="N1076" s="9" t="n">
        <v>17.061001</v>
      </c>
      <c r="O1076" s="8" t="n">
        <v>1.89</v>
      </c>
      <c r="P1076" s="9" t="n">
        <v>-157.79</v>
      </c>
      <c r="Q1076" s="7" t="s">
        <v>2103</v>
      </c>
      <c r="R1076" s="7" t="s">
        <v>2099</v>
      </c>
      <c r="S1076" s="58" t="n">
        <v>0.5</v>
      </c>
      <c r="T1076" s="9" t="n">
        <v>748</v>
      </c>
      <c r="U1076" s="56" t="n">
        <f aca="false">I1076*O1076</f>
        <v>403.0614</v>
      </c>
      <c r="V1076" s="56" t="n">
        <f aca="false">J1076*O1076</f>
        <v>1209.2031</v>
      </c>
      <c r="W1076" s="56" t="n">
        <f aca="false">((I1076+J1076)/2)*O1076</f>
        <v>806.13225</v>
      </c>
      <c r="X1076" s="56" t="n">
        <f aca="false">H1076*O1076</f>
        <v>910.98</v>
      </c>
    </row>
    <row r="1077" customFormat="false" ht="22.35" hidden="false" customHeight="false" outlineLevel="0" collapsed="false">
      <c r="A1077" s="76" t="s">
        <v>2063</v>
      </c>
      <c r="B1077" s="49" t="s">
        <v>2300</v>
      </c>
      <c r="C1077" s="49" t="s">
        <v>1542</v>
      </c>
      <c r="D1077" s="49" t="s">
        <v>2101</v>
      </c>
      <c r="E1077" s="57" t="s">
        <v>2102</v>
      </c>
      <c r="F1077" s="49" t="s">
        <v>2097</v>
      </c>
      <c r="G1077" s="49" t="s">
        <v>2097</v>
      </c>
      <c r="H1077" s="51" t="n">
        <v>80</v>
      </c>
      <c r="I1077" s="51" t="n">
        <v>42.18</v>
      </c>
      <c r="J1077" s="51" t="n">
        <v>126.54</v>
      </c>
      <c r="K1077" s="52" t="n">
        <v>176</v>
      </c>
      <c r="L1077" s="53" t="n">
        <v>19.6</v>
      </c>
      <c r="M1077" s="54" t="n">
        <v>86.4</v>
      </c>
      <c r="N1077" s="51" t="n">
        <v>4.304191</v>
      </c>
      <c r="O1077" s="55" t="n">
        <v>5.61</v>
      </c>
      <c r="P1077" s="51" t="n">
        <v>-46.54</v>
      </c>
      <c r="Q1077" s="49" t="s">
        <v>2103</v>
      </c>
      <c r="R1077" s="49" t="s">
        <v>2099</v>
      </c>
      <c r="S1077" s="53" t="n">
        <v>0.5</v>
      </c>
      <c r="T1077" s="51" t="n">
        <v>176</v>
      </c>
      <c r="U1077" s="56" t="n">
        <f aca="false">I1077*O1077</f>
        <v>236.6298</v>
      </c>
      <c r="V1077" s="56" t="n">
        <f aca="false">J1077*O1077</f>
        <v>709.8894</v>
      </c>
      <c r="W1077" s="56" t="n">
        <f aca="false">((I1077+J1077)/2)*O1077</f>
        <v>473.2596</v>
      </c>
      <c r="X1077" s="56" t="n">
        <f aca="false">H1077*O1077</f>
        <v>448.8</v>
      </c>
    </row>
    <row r="1078" customFormat="false" ht="22.35" hidden="false" customHeight="false" outlineLevel="0" collapsed="false">
      <c r="A1078" s="76" t="s">
        <v>2063</v>
      </c>
      <c r="B1078" s="7" t="s">
        <v>2303</v>
      </c>
      <c r="C1078" s="7" t="s">
        <v>2304</v>
      </c>
      <c r="D1078" s="7" t="s">
        <v>2101</v>
      </c>
      <c r="E1078" s="57" t="s">
        <v>2102</v>
      </c>
      <c r="F1078" s="7" t="s">
        <v>2097</v>
      </c>
      <c r="G1078" s="7" t="s">
        <v>2097</v>
      </c>
      <c r="H1078" s="9" t="n">
        <v>80</v>
      </c>
      <c r="I1078" s="9" t="n">
        <v>50.54</v>
      </c>
      <c r="J1078" s="9" t="n">
        <v>151.61</v>
      </c>
      <c r="K1078" s="52" t="n">
        <v>450</v>
      </c>
      <c r="L1078" s="58" t="n">
        <v>22.5</v>
      </c>
      <c r="M1078" s="59" t="n">
        <v>84.8</v>
      </c>
      <c r="N1078" s="9" t="n">
        <v>4.492126</v>
      </c>
      <c r="O1078" s="8" t="n">
        <v>6.56</v>
      </c>
      <c r="P1078" s="9" t="n">
        <v>-71.61</v>
      </c>
      <c r="Q1078" s="7" t="s">
        <v>2103</v>
      </c>
      <c r="R1078" s="7" t="s">
        <v>2099</v>
      </c>
      <c r="S1078" s="58" t="n">
        <v>0.5</v>
      </c>
      <c r="T1078" s="9" t="n">
        <v>450</v>
      </c>
      <c r="U1078" s="56" t="n">
        <f aca="false">I1078*O1078</f>
        <v>331.5424</v>
      </c>
      <c r="V1078" s="56" t="n">
        <f aca="false">J1078*O1078</f>
        <v>994.5616</v>
      </c>
      <c r="W1078" s="56" t="n">
        <f aca="false">((I1078+J1078)/2)*O1078</f>
        <v>663.052</v>
      </c>
      <c r="X1078" s="56" t="n">
        <f aca="false">H1078*O1078</f>
        <v>524.8</v>
      </c>
    </row>
    <row r="1079" customFormat="false" ht="22.35" hidden="false" customHeight="false" outlineLevel="0" collapsed="false">
      <c r="A1079" s="76" t="s">
        <v>2063</v>
      </c>
      <c r="B1079" s="49" t="s">
        <v>3685</v>
      </c>
      <c r="C1079" s="49" t="s">
        <v>3572</v>
      </c>
      <c r="D1079" s="49" t="s">
        <v>2095</v>
      </c>
      <c r="E1079" s="61" t="s">
        <v>2113</v>
      </c>
      <c r="F1079" s="49" t="s">
        <v>2097</v>
      </c>
      <c r="G1079" s="49" t="s">
        <v>2097</v>
      </c>
      <c r="H1079" s="51" t="n">
        <v>13059</v>
      </c>
      <c r="I1079" s="51" t="n">
        <v>14086.01</v>
      </c>
      <c r="J1079" s="51" t="n">
        <v>28172.02</v>
      </c>
      <c r="K1079" s="52" t="n">
        <v>28172.02</v>
      </c>
      <c r="L1079" s="53" t="n">
        <v>23.6</v>
      </c>
      <c r="M1079" s="54" t="n">
        <v>81.4</v>
      </c>
      <c r="N1079" s="51" t="n">
        <v>596.865037</v>
      </c>
      <c r="O1079" s="55" t="n">
        <v>3.73</v>
      </c>
      <c r="P1079" s="51" t="n">
        <v>-15113.02</v>
      </c>
      <c r="Q1079" s="49" t="s">
        <v>2103</v>
      </c>
      <c r="R1079" s="49" t="s">
        <v>2099</v>
      </c>
      <c r="S1079" s="53" t="n">
        <v>1</v>
      </c>
      <c r="T1079" s="51" t="n">
        <v>0</v>
      </c>
      <c r="U1079" s="56" t="n">
        <f aca="false">I1079*O1079</f>
        <v>52540.8173</v>
      </c>
      <c r="V1079" s="56" t="n">
        <f aca="false">J1079*O1079</f>
        <v>105081.6346</v>
      </c>
      <c r="W1079" s="56" t="n">
        <f aca="false">((I1079+J1079)/2)*O1079</f>
        <v>78811.22595</v>
      </c>
      <c r="X1079" s="56" t="n">
        <f aca="false">H1079*O1079</f>
        <v>48710.07</v>
      </c>
    </row>
    <row r="1080" customFormat="false" ht="22.35" hidden="false" customHeight="false" outlineLevel="0" collapsed="false">
      <c r="A1080" s="76" t="s">
        <v>2063</v>
      </c>
      <c r="B1080" s="7" t="s">
        <v>2305</v>
      </c>
      <c r="C1080" s="7" t="s">
        <v>2306</v>
      </c>
      <c r="D1080" s="7" t="s">
        <v>2101</v>
      </c>
      <c r="E1080" s="57" t="s">
        <v>2102</v>
      </c>
      <c r="F1080" s="7" t="s">
        <v>2097</v>
      </c>
      <c r="G1080" s="7" t="s">
        <v>2097</v>
      </c>
      <c r="H1080" s="9" t="n">
        <v>152</v>
      </c>
      <c r="I1080" s="9" t="n">
        <v>101.97</v>
      </c>
      <c r="J1080" s="9" t="n">
        <v>305.9</v>
      </c>
      <c r="K1080" s="52" t="n">
        <v>660</v>
      </c>
      <c r="L1080" s="58" t="n">
        <v>26.1</v>
      </c>
      <c r="M1080" s="59" t="n">
        <v>86.7</v>
      </c>
      <c r="N1080" s="9" t="n">
        <v>7.813494</v>
      </c>
      <c r="O1080" s="8" t="n">
        <v>5.098</v>
      </c>
      <c r="P1080" s="9" t="n">
        <v>-153.9</v>
      </c>
      <c r="Q1080" s="7" t="s">
        <v>2103</v>
      </c>
      <c r="R1080" s="7" t="s">
        <v>2099</v>
      </c>
      <c r="S1080" s="58" t="n">
        <v>0.5</v>
      </c>
      <c r="T1080" s="9" t="n">
        <v>660</v>
      </c>
      <c r="U1080" s="56" t="n">
        <f aca="false">I1080*O1080</f>
        <v>519.84306</v>
      </c>
      <c r="V1080" s="56" t="n">
        <f aca="false">J1080*O1080</f>
        <v>1559.4782</v>
      </c>
      <c r="W1080" s="56" t="n">
        <f aca="false">((I1080+J1080)/2)*O1080</f>
        <v>1039.66063</v>
      </c>
      <c r="X1080" s="56" t="n">
        <f aca="false">H1080*O1080</f>
        <v>774.896</v>
      </c>
    </row>
    <row r="1081" customFormat="false" ht="32.8" hidden="false" customHeight="false" outlineLevel="0" collapsed="false">
      <c r="A1081" s="76" t="s">
        <v>2063</v>
      </c>
      <c r="B1081" s="62" t="s">
        <v>3686</v>
      </c>
      <c r="C1081" s="62" t="s">
        <v>3687</v>
      </c>
      <c r="D1081" s="62" t="s">
        <v>2101</v>
      </c>
      <c r="E1081" s="78" t="s">
        <v>3474</v>
      </c>
      <c r="F1081" s="64" t="s">
        <v>2170</v>
      </c>
      <c r="G1081" s="62" t="s">
        <v>2097</v>
      </c>
      <c r="H1081" s="65" t="n">
        <v>80</v>
      </c>
      <c r="I1081" s="65" t="n">
        <v>57.53</v>
      </c>
      <c r="J1081" s="65" t="n">
        <v>172.58</v>
      </c>
      <c r="K1081" s="66" t="n">
        <v>440</v>
      </c>
      <c r="L1081" s="67" t="n">
        <v>55.3</v>
      </c>
      <c r="M1081" s="68" t="n">
        <v>50</v>
      </c>
      <c r="N1081" s="65" t="n">
        <v>2.984027</v>
      </c>
      <c r="O1081" s="69" t="n">
        <v>5.061</v>
      </c>
      <c r="P1081" s="65" t="n">
        <v>-92.58</v>
      </c>
      <c r="Q1081" s="62" t="s">
        <v>2103</v>
      </c>
      <c r="R1081" s="62" t="s">
        <v>3688</v>
      </c>
      <c r="S1081" s="67" t="n">
        <v>0.5</v>
      </c>
      <c r="T1081" s="65" t="n">
        <v>440</v>
      </c>
      <c r="U1081" s="56" t="n">
        <f aca="false">I1081*O1081</f>
        <v>291.15933</v>
      </c>
      <c r="V1081" s="56" t="n">
        <f aca="false">J1081*O1081</f>
        <v>873.42738</v>
      </c>
      <c r="W1081" s="56" t="n">
        <f aca="false">((I1081+J1081)/2)*O1081</f>
        <v>582.293355</v>
      </c>
      <c r="X1081" s="56" t="n">
        <f aca="false">H1081*O1081</f>
        <v>404.88</v>
      </c>
    </row>
    <row r="1082" customFormat="false" ht="32.8" hidden="false" customHeight="false" outlineLevel="0" collapsed="false">
      <c r="A1082" s="76" t="s">
        <v>2063</v>
      </c>
      <c r="B1082" s="62" t="s">
        <v>3689</v>
      </c>
      <c r="C1082" s="62" t="s">
        <v>1707</v>
      </c>
      <c r="D1082" s="62" t="s">
        <v>2101</v>
      </c>
      <c r="E1082" s="78" t="s">
        <v>3474</v>
      </c>
      <c r="F1082" s="64" t="s">
        <v>2170</v>
      </c>
      <c r="G1082" s="62" t="s">
        <v>2097</v>
      </c>
      <c r="H1082" s="65" t="n">
        <v>40</v>
      </c>
      <c r="I1082" s="65" t="n">
        <v>15.8</v>
      </c>
      <c r="J1082" s="65" t="n">
        <v>47.39</v>
      </c>
      <c r="K1082" s="66" t="n">
        <v>160</v>
      </c>
      <c r="L1082" s="67" t="n">
        <v>45</v>
      </c>
      <c r="M1082" s="68" t="n">
        <v>40</v>
      </c>
      <c r="N1082" s="65" t="n">
        <v>0.616904</v>
      </c>
      <c r="O1082" s="69" t="n">
        <v>8.075</v>
      </c>
      <c r="P1082" s="65" t="n">
        <v>-7.39</v>
      </c>
      <c r="Q1082" s="62" t="s">
        <v>2103</v>
      </c>
      <c r="R1082" s="62" t="s">
        <v>3690</v>
      </c>
      <c r="S1082" s="67" t="n">
        <v>0.5</v>
      </c>
      <c r="T1082" s="65" t="n">
        <v>160</v>
      </c>
      <c r="U1082" s="56" t="n">
        <f aca="false">I1082*O1082</f>
        <v>127.585</v>
      </c>
      <c r="V1082" s="56" t="n">
        <f aca="false">J1082*O1082</f>
        <v>382.67425</v>
      </c>
      <c r="W1082" s="56" t="n">
        <f aca="false">((I1082+J1082)/2)*O1082</f>
        <v>255.129625</v>
      </c>
      <c r="X1082" s="56" t="n">
        <f aca="false">H1082*O1082</f>
        <v>323</v>
      </c>
    </row>
    <row r="1083" customFormat="false" ht="22.35" hidden="false" customHeight="false" outlineLevel="0" collapsed="false">
      <c r="A1083" s="76" t="s">
        <v>2063</v>
      </c>
      <c r="B1083" s="62" t="s">
        <v>3691</v>
      </c>
      <c r="C1083" s="62" t="s">
        <v>1707</v>
      </c>
      <c r="D1083" s="62" t="s">
        <v>2101</v>
      </c>
      <c r="E1083" s="63" t="s">
        <v>2169</v>
      </c>
      <c r="F1083" s="64" t="s">
        <v>2170</v>
      </c>
      <c r="G1083" s="62" t="s">
        <v>2097</v>
      </c>
      <c r="H1083" s="65" t="n">
        <v>80</v>
      </c>
      <c r="I1083" s="65" t="n">
        <v>14.81</v>
      </c>
      <c r="J1083" s="65" t="n">
        <v>44.42</v>
      </c>
      <c r="K1083" s="66" t="n">
        <v>64</v>
      </c>
      <c r="L1083" s="67" t="n">
        <v>26.8</v>
      </c>
      <c r="M1083" s="68" t="n">
        <v>85.3</v>
      </c>
      <c r="N1083" s="65" t="n">
        <v>2.420988</v>
      </c>
      <c r="O1083" s="69" t="n">
        <v>4.95</v>
      </c>
      <c r="P1083" s="65" t="n">
        <v>35.58</v>
      </c>
      <c r="Q1083" s="62" t="s">
        <v>2098</v>
      </c>
      <c r="R1083" s="62" t="s">
        <v>2171</v>
      </c>
      <c r="S1083" s="67" t="n">
        <v>0.5</v>
      </c>
      <c r="T1083" s="65" t="n">
        <v>32</v>
      </c>
      <c r="U1083" s="56" t="n">
        <f aca="false">I1083*O1083</f>
        <v>73.3095</v>
      </c>
      <c r="V1083" s="56" t="n">
        <f aca="false">J1083*O1083</f>
        <v>219.879</v>
      </c>
      <c r="W1083" s="56" t="n">
        <f aca="false">((I1083+J1083)/2)*O1083</f>
        <v>146.59425</v>
      </c>
      <c r="X1083" s="56" t="n">
        <f aca="false">H1083*O1083</f>
        <v>396</v>
      </c>
    </row>
    <row r="1084" customFormat="false" ht="15" hidden="false" customHeight="false" outlineLevel="0" collapsed="false">
      <c r="A1084" s="76" t="s">
        <v>2063</v>
      </c>
      <c r="B1084" s="7" t="s">
        <v>3692</v>
      </c>
      <c r="C1084" s="7" t="s">
        <v>3693</v>
      </c>
      <c r="D1084" s="7" t="s">
        <v>2101</v>
      </c>
      <c r="E1084" s="50" t="s">
        <v>2096</v>
      </c>
      <c r="F1084" s="7" t="s">
        <v>2097</v>
      </c>
      <c r="G1084" s="7" t="s">
        <v>2097</v>
      </c>
      <c r="H1084" s="9" t="n">
        <v>40</v>
      </c>
      <c r="I1084" s="9" t="n">
        <v>4.96</v>
      </c>
      <c r="J1084" s="9" t="n">
        <v>14.89</v>
      </c>
      <c r="K1084" s="52" t="n">
        <v>44</v>
      </c>
      <c r="L1084" s="58" t="n">
        <v>21</v>
      </c>
      <c r="M1084" s="59" t="n">
        <v>83.3</v>
      </c>
      <c r="N1084" s="9" t="n">
        <v>0.47263</v>
      </c>
      <c r="O1084" s="8" t="n">
        <v>6.71</v>
      </c>
      <c r="P1084" s="9" t="n">
        <v>25.11</v>
      </c>
      <c r="Q1084" s="7" t="s">
        <v>2098</v>
      </c>
      <c r="R1084" s="7" t="s">
        <v>2099</v>
      </c>
      <c r="S1084" s="58" t="n">
        <v>0.5</v>
      </c>
      <c r="T1084" s="9" t="n">
        <v>44</v>
      </c>
      <c r="U1084" s="56" t="n">
        <f aca="false">I1084*O1084</f>
        <v>33.2816</v>
      </c>
      <c r="V1084" s="56" t="n">
        <f aca="false">J1084*O1084</f>
        <v>99.9119</v>
      </c>
      <c r="W1084" s="56" t="n">
        <f aca="false">((I1084+J1084)/2)*O1084</f>
        <v>66.59675</v>
      </c>
      <c r="X1084" s="56" t="n">
        <f aca="false">H1084*O1084</f>
        <v>268.4</v>
      </c>
    </row>
    <row r="1085" customFormat="false" ht="22.35" hidden="false" customHeight="false" outlineLevel="0" collapsed="false">
      <c r="A1085" s="76" t="s">
        <v>2063</v>
      </c>
      <c r="B1085" s="49" t="s">
        <v>2309</v>
      </c>
      <c r="C1085" s="49" t="s">
        <v>2310</v>
      </c>
      <c r="D1085" s="49" t="s">
        <v>2101</v>
      </c>
      <c r="E1085" s="57" t="s">
        <v>2102</v>
      </c>
      <c r="F1085" s="49" t="s">
        <v>2097</v>
      </c>
      <c r="G1085" s="49" t="s">
        <v>2097</v>
      </c>
      <c r="H1085" s="51" t="n">
        <v>356</v>
      </c>
      <c r="I1085" s="51" t="n">
        <v>135.16</v>
      </c>
      <c r="J1085" s="51" t="n">
        <v>405.47</v>
      </c>
      <c r="K1085" s="52" t="n">
        <v>405.47</v>
      </c>
      <c r="L1085" s="53" t="n">
        <v>14.8</v>
      </c>
      <c r="M1085" s="54" t="n">
        <v>95</v>
      </c>
      <c r="N1085" s="51" t="n">
        <v>18.264274</v>
      </c>
      <c r="O1085" s="55" t="n">
        <v>3.824</v>
      </c>
      <c r="P1085" s="51" t="n">
        <v>-49.47</v>
      </c>
      <c r="Q1085" s="49" t="s">
        <v>2103</v>
      </c>
      <c r="R1085" s="49" t="s">
        <v>2099</v>
      </c>
      <c r="S1085" s="53" t="n">
        <v>0.5</v>
      </c>
      <c r="T1085" s="51" t="n">
        <v>1</v>
      </c>
      <c r="U1085" s="56" t="n">
        <f aca="false">I1085*O1085</f>
        <v>516.85184</v>
      </c>
      <c r="V1085" s="56" t="n">
        <f aca="false">J1085*O1085</f>
        <v>1550.51728</v>
      </c>
      <c r="W1085" s="56" t="n">
        <f aca="false">((I1085+J1085)/2)*O1085</f>
        <v>1033.68456</v>
      </c>
      <c r="X1085" s="56" t="n">
        <f aca="false">H1085*O1085</f>
        <v>1361.344</v>
      </c>
    </row>
    <row r="1086" customFormat="false" ht="15" hidden="false" customHeight="false" outlineLevel="0" collapsed="false">
      <c r="A1086" s="76" t="s">
        <v>2063</v>
      </c>
      <c r="B1086" s="7" t="s">
        <v>2313</v>
      </c>
      <c r="C1086" s="7" t="s">
        <v>2314</v>
      </c>
      <c r="D1086" s="7" t="s">
        <v>2101</v>
      </c>
      <c r="E1086" s="50" t="s">
        <v>2096</v>
      </c>
      <c r="F1086" s="7" t="s">
        <v>2097</v>
      </c>
      <c r="G1086" s="7" t="s">
        <v>2097</v>
      </c>
      <c r="H1086" s="9" t="n">
        <v>40</v>
      </c>
      <c r="I1086" s="9" t="n">
        <v>0.56</v>
      </c>
      <c r="J1086" s="9" t="n">
        <v>1.69</v>
      </c>
      <c r="K1086" s="52" t="n">
        <v>570</v>
      </c>
      <c r="L1086" s="58" t="n">
        <v>9</v>
      </c>
      <c r="M1086" s="59" t="n">
        <v>33.3</v>
      </c>
      <c r="N1086" s="9" t="n">
        <v>0.125374</v>
      </c>
      <c r="O1086" s="8" t="n">
        <v>1.2201</v>
      </c>
      <c r="P1086" s="9" t="n">
        <v>38.31</v>
      </c>
      <c r="Q1086" s="7" t="s">
        <v>2098</v>
      </c>
      <c r="R1086" s="7" t="s">
        <v>2099</v>
      </c>
      <c r="S1086" s="58" t="n">
        <v>0.5</v>
      </c>
      <c r="T1086" s="9" t="n">
        <v>570</v>
      </c>
      <c r="U1086" s="56" t="n">
        <f aca="false">I1086*O1086</f>
        <v>0.683256</v>
      </c>
      <c r="V1086" s="56" t="n">
        <f aca="false">J1086*O1086</f>
        <v>2.061969</v>
      </c>
      <c r="W1086" s="56" t="n">
        <f aca="false">((I1086+J1086)/2)*O1086</f>
        <v>1.3726125</v>
      </c>
      <c r="X1086" s="56" t="n">
        <f aca="false">H1086*O1086</f>
        <v>48.804</v>
      </c>
    </row>
    <row r="1087" customFormat="false" ht="22.35" hidden="false" customHeight="false" outlineLevel="0" collapsed="false">
      <c r="A1087" s="76" t="s">
        <v>2063</v>
      </c>
      <c r="B1087" s="49" t="s">
        <v>3694</v>
      </c>
      <c r="C1087" s="49" t="s">
        <v>3695</v>
      </c>
      <c r="D1087" s="49" t="s">
        <v>2101</v>
      </c>
      <c r="E1087" s="57" t="s">
        <v>2102</v>
      </c>
      <c r="F1087" s="49" t="s">
        <v>2097</v>
      </c>
      <c r="G1087" s="49" t="s">
        <v>2097</v>
      </c>
      <c r="H1087" s="51" t="n">
        <v>1017</v>
      </c>
      <c r="I1087" s="51" t="n">
        <v>342.81</v>
      </c>
      <c r="J1087" s="51" t="n">
        <v>1028.43</v>
      </c>
      <c r="K1087" s="52" t="n">
        <v>1230</v>
      </c>
      <c r="L1087" s="53" t="n">
        <v>17.8</v>
      </c>
      <c r="M1087" s="54" t="n">
        <v>80</v>
      </c>
      <c r="N1087" s="51" t="n">
        <v>38.517948</v>
      </c>
      <c r="O1087" s="55" t="n">
        <v>1.5496</v>
      </c>
      <c r="P1087" s="51" t="n">
        <v>-11.43</v>
      </c>
      <c r="Q1087" s="49" t="s">
        <v>2103</v>
      </c>
      <c r="R1087" s="49" t="s">
        <v>2099</v>
      </c>
      <c r="S1087" s="53" t="n">
        <v>0.5</v>
      </c>
      <c r="T1087" s="51" t="n">
        <v>410</v>
      </c>
      <c r="U1087" s="56" t="n">
        <f aca="false">I1087*O1087</f>
        <v>531.218376</v>
      </c>
      <c r="V1087" s="56" t="n">
        <f aca="false">J1087*O1087</f>
        <v>1593.655128</v>
      </c>
      <c r="W1087" s="56" t="n">
        <f aca="false">((I1087+J1087)/2)*O1087</f>
        <v>1062.436752</v>
      </c>
      <c r="X1087" s="56" t="n">
        <f aca="false">H1087*O1087</f>
        <v>1575.9432</v>
      </c>
    </row>
    <row r="1088" customFormat="false" ht="22.35" hidden="false" customHeight="false" outlineLevel="0" collapsed="false">
      <c r="A1088" s="76" t="s">
        <v>2063</v>
      </c>
      <c r="B1088" s="4" t="s">
        <v>3696</v>
      </c>
      <c r="C1088" s="4" t="s">
        <v>3697</v>
      </c>
      <c r="D1088" s="4" t="s">
        <v>2101</v>
      </c>
      <c r="E1088" s="70" t="s">
        <v>2193</v>
      </c>
      <c r="F1088" s="4" t="s">
        <v>2097</v>
      </c>
      <c r="G1088" s="71" t="s">
        <v>2194</v>
      </c>
      <c r="H1088" s="6" t="n">
        <v>80</v>
      </c>
      <c r="I1088" s="6" t="n">
        <v>0</v>
      </c>
      <c r="J1088" s="6" t="n">
        <v>0</v>
      </c>
      <c r="K1088" s="52" t="n">
        <v>0</v>
      </c>
      <c r="L1088" s="72" t="n">
        <v>15.8</v>
      </c>
      <c r="M1088" s="73" t="n">
        <v>60</v>
      </c>
      <c r="N1088" s="6" t="n">
        <v>2.014821</v>
      </c>
      <c r="O1088" s="5" t="n">
        <v>4.7403</v>
      </c>
      <c r="P1088" s="6" t="n">
        <v>80</v>
      </c>
      <c r="Q1088" s="4" t="s">
        <v>2098</v>
      </c>
      <c r="R1088" s="4" t="s">
        <v>2195</v>
      </c>
      <c r="S1088" s="72" t="n">
        <v>0</v>
      </c>
      <c r="T1088" s="6" t="n">
        <v>440.92</v>
      </c>
      <c r="U1088" s="56" t="n">
        <f aca="false">I1088*O1088</f>
        <v>0</v>
      </c>
      <c r="V1088" s="56" t="n">
        <f aca="false">J1088*O1088</f>
        <v>0</v>
      </c>
      <c r="W1088" s="56" t="n">
        <f aca="false">((I1088+J1088)/2)*O1088</f>
        <v>0</v>
      </c>
      <c r="X1088" s="56" t="n">
        <f aca="false">H1088*O1088</f>
        <v>379.224</v>
      </c>
    </row>
    <row r="1089" customFormat="false" ht="22.35" hidden="false" customHeight="false" outlineLevel="0" collapsed="false">
      <c r="A1089" s="76" t="s">
        <v>2063</v>
      </c>
      <c r="B1089" s="49" t="s">
        <v>2317</v>
      </c>
      <c r="C1089" s="49" t="s">
        <v>2318</v>
      </c>
      <c r="D1089" s="49" t="s">
        <v>2101</v>
      </c>
      <c r="E1089" s="57" t="s">
        <v>2102</v>
      </c>
      <c r="F1089" s="49" t="s">
        <v>2097</v>
      </c>
      <c r="G1089" s="49" t="s">
        <v>2097</v>
      </c>
      <c r="H1089" s="51" t="n">
        <v>40</v>
      </c>
      <c r="I1089" s="51" t="n">
        <v>18.57</v>
      </c>
      <c r="J1089" s="51" t="n">
        <v>55.71</v>
      </c>
      <c r="K1089" s="52" t="n">
        <v>55.71</v>
      </c>
      <c r="L1089" s="53" t="n">
        <v>38.1</v>
      </c>
      <c r="M1089" s="54" t="n">
        <v>47.1</v>
      </c>
      <c r="N1089" s="51" t="n">
        <v>0.974895</v>
      </c>
      <c r="O1089" s="55" t="n">
        <v>6.05</v>
      </c>
      <c r="P1089" s="51" t="n">
        <v>-15.71</v>
      </c>
      <c r="Q1089" s="49" t="s">
        <v>2103</v>
      </c>
      <c r="R1089" s="49" t="s">
        <v>2099</v>
      </c>
      <c r="S1089" s="53" t="n">
        <v>0.5</v>
      </c>
      <c r="T1089" s="51" t="n">
        <v>1</v>
      </c>
      <c r="U1089" s="56" t="n">
        <f aca="false">I1089*O1089</f>
        <v>112.3485</v>
      </c>
      <c r="V1089" s="56" t="n">
        <f aca="false">J1089*O1089</f>
        <v>337.0455</v>
      </c>
      <c r="W1089" s="56" t="n">
        <f aca="false">((I1089+J1089)/2)*O1089</f>
        <v>224.697</v>
      </c>
      <c r="X1089" s="56" t="n">
        <f aca="false">H1089*O1089</f>
        <v>242</v>
      </c>
    </row>
    <row r="1090" customFormat="false" ht="22.35" hidden="false" customHeight="false" outlineLevel="0" collapsed="false">
      <c r="A1090" s="76" t="s">
        <v>2063</v>
      </c>
      <c r="B1090" s="7" t="s">
        <v>3698</v>
      </c>
      <c r="C1090" s="7" t="s">
        <v>1605</v>
      </c>
      <c r="D1090" s="7" t="s">
        <v>2101</v>
      </c>
      <c r="E1090" s="57" t="s">
        <v>2102</v>
      </c>
      <c r="F1090" s="7" t="s">
        <v>2097</v>
      </c>
      <c r="G1090" s="7" t="s">
        <v>2097</v>
      </c>
      <c r="H1090" s="9" t="n">
        <v>201</v>
      </c>
      <c r="I1090" s="9" t="n">
        <v>189.64</v>
      </c>
      <c r="J1090" s="9" t="n">
        <v>568.91</v>
      </c>
      <c r="K1090" s="52" t="n">
        <v>1540</v>
      </c>
      <c r="L1090" s="58" t="n">
        <v>47.7</v>
      </c>
      <c r="M1090" s="59" t="n">
        <v>66.7</v>
      </c>
      <c r="N1090" s="9" t="n">
        <v>7.951223</v>
      </c>
      <c r="O1090" s="8" t="n">
        <v>1.7634</v>
      </c>
      <c r="P1090" s="9" t="n">
        <v>-367.91</v>
      </c>
      <c r="Q1090" s="7" t="s">
        <v>2103</v>
      </c>
      <c r="R1090" s="7" t="s">
        <v>2099</v>
      </c>
      <c r="S1090" s="58" t="n">
        <v>0.5</v>
      </c>
      <c r="T1090" s="9" t="n">
        <v>1540</v>
      </c>
      <c r="U1090" s="56" t="n">
        <f aca="false">I1090*O1090</f>
        <v>334.411176</v>
      </c>
      <c r="V1090" s="56" t="n">
        <f aca="false">J1090*O1090</f>
        <v>1003.215894</v>
      </c>
      <c r="W1090" s="56" t="n">
        <f aca="false">((I1090+J1090)/2)*O1090</f>
        <v>668.813535</v>
      </c>
      <c r="X1090" s="56" t="n">
        <f aca="false">H1090*O1090</f>
        <v>354.4434</v>
      </c>
    </row>
    <row r="1091" customFormat="false" ht="22.35" hidden="false" customHeight="false" outlineLevel="0" collapsed="false">
      <c r="A1091" s="76" t="s">
        <v>2063</v>
      </c>
      <c r="B1091" s="49" t="s">
        <v>1283</v>
      </c>
      <c r="C1091" s="49" t="s">
        <v>3699</v>
      </c>
      <c r="D1091" s="49" t="s">
        <v>2319</v>
      </c>
      <c r="E1091" s="74" t="s">
        <v>2320</v>
      </c>
      <c r="F1091" s="49" t="s">
        <v>2097</v>
      </c>
      <c r="G1091" s="49" t="s">
        <v>2097</v>
      </c>
      <c r="H1091" s="51" t="n">
        <v>100</v>
      </c>
      <c r="I1091" s="51" t="n">
        <v>0</v>
      </c>
      <c r="J1091" s="51" t="n">
        <v>0</v>
      </c>
      <c r="K1091" s="52" t="n">
        <v>0</v>
      </c>
      <c r="L1091" s="53" t="n">
        <v>36.5</v>
      </c>
      <c r="M1091" s="54" t="n">
        <v>25</v>
      </c>
      <c r="N1091" s="51" t="n">
        <v>0</v>
      </c>
      <c r="O1091" s="55" t="n">
        <v>0.488</v>
      </c>
      <c r="P1091" s="51" t="n">
        <v>100</v>
      </c>
      <c r="Q1091" s="49" t="s">
        <v>2098</v>
      </c>
      <c r="R1091" s="49" t="s">
        <v>2321</v>
      </c>
      <c r="S1091" s="53" t="n">
        <v>0</v>
      </c>
      <c r="T1091" s="51" t="n">
        <v>4300</v>
      </c>
      <c r="U1091" s="56" t="n">
        <f aca="false">I1091*O1091</f>
        <v>0</v>
      </c>
      <c r="V1091" s="56" t="n">
        <f aca="false">J1091*O1091</f>
        <v>0</v>
      </c>
      <c r="W1091" s="56" t="n">
        <f aca="false">((I1091+J1091)/2)*O1091</f>
        <v>0</v>
      </c>
      <c r="X1091" s="56" t="n">
        <f aca="false">H1091*O1091</f>
        <v>48.8</v>
      </c>
    </row>
    <row r="1092" customFormat="false" ht="22.35" hidden="false" customHeight="false" outlineLevel="0" collapsed="false">
      <c r="A1092" s="76" t="s">
        <v>2063</v>
      </c>
      <c r="B1092" s="7" t="s">
        <v>3700</v>
      </c>
      <c r="C1092" s="7" t="s">
        <v>3701</v>
      </c>
      <c r="D1092" s="7" t="s">
        <v>2101</v>
      </c>
      <c r="E1092" s="57" t="s">
        <v>2102</v>
      </c>
      <c r="F1092" s="7" t="s">
        <v>2097</v>
      </c>
      <c r="G1092" s="7" t="s">
        <v>2097</v>
      </c>
      <c r="H1092" s="9" t="n">
        <v>157</v>
      </c>
      <c r="I1092" s="9" t="n">
        <v>94.96</v>
      </c>
      <c r="J1092" s="9" t="n">
        <v>284.88</v>
      </c>
      <c r="K1092" s="52" t="n">
        <v>284.88</v>
      </c>
      <c r="L1092" s="58" t="n">
        <v>39</v>
      </c>
      <c r="M1092" s="59" t="n">
        <v>66.7</v>
      </c>
      <c r="N1092" s="9" t="n">
        <v>4.869863</v>
      </c>
      <c r="O1092" s="8" t="n">
        <v>1.39</v>
      </c>
      <c r="P1092" s="9" t="n">
        <v>-127.88</v>
      </c>
      <c r="Q1092" s="7" t="s">
        <v>2103</v>
      </c>
      <c r="R1092" s="7" t="s">
        <v>2099</v>
      </c>
      <c r="S1092" s="58" t="n">
        <v>0.5</v>
      </c>
      <c r="T1092" s="9" t="n">
        <v>1</v>
      </c>
      <c r="U1092" s="56" t="n">
        <f aca="false">I1092*O1092</f>
        <v>131.9944</v>
      </c>
      <c r="V1092" s="56" t="n">
        <f aca="false">J1092*O1092</f>
        <v>395.9832</v>
      </c>
      <c r="W1092" s="56" t="n">
        <f aca="false">((I1092+J1092)/2)*O1092</f>
        <v>263.9888</v>
      </c>
      <c r="X1092" s="56" t="n">
        <f aca="false">H1092*O1092</f>
        <v>218.23</v>
      </c>
    </row>
    <row r="1093" customFormat="false" ht="22.35" hidden="false" customHeight="false" outlineLevel="0" collapsed="false">
      <c r="A1093" s="76" t="s">
        <v>2063</v>
      </c>
      <c r="B1093" s="49" t="s">
        <v>1872</v>
      </c>
      <c r="C1093" s="49" t="s">
        <v>1873</v>
      </c>
      <c r="D1093" s="49" t="s">
        <v>2319</v>
      </c>
      <c r="E1093" s="74" t="s">
        <v>2320</v>
      </c>
      <c r="F1093" s="49" t="s">
        <v>2097</v>
      </c>
      <c r="G1093" s="49" t="s">
        <v>2097</v>
      </c>
      <c r="H1093" s="51" t="n">
        <v>2500</v>
      </c>
      <c r="I1093" s="51" t="n">
        <v>0</v>
      </c>
      <c r="J1093" s="51" t="n">
        <v>0</v>
      </c>
      <c r="K1093" s="52" t="n">
        <v>0</v>
      </c>
      <c r="L1093" s="53" t="n">
        <v>35.7</v>
      </c>
      <c r="M1093" s="54" t="n">
        <v>87.8</v>
      </c>
      <c r="N1093" s="51" t="n">
        <v>0</v>
      </c>
      <c r="O1093" s="55" t="n">
        <v>0.558</v>
      </c>
      <c r="P1093" s="51" t="n">
        <v>2500</v>
      </c>
      <c r="Q1093" s="49" t="s">
        <v>2098</v>
      </c>
      <c r="R1093" s="49" t="s">
        <v>2321</v>
      </c>
      <c r="S1093" s="53" t="n">
        <v>0</v>
      </c>
      <c r="T1093" s="51" t="n">
        <v>4500</v>
      </c>
      <c r="U1093" s="56" t="n">
        <f aca="false">I1093*O1093</f>
        <v>0</v>
      </c>
      <c r="V1093" s="56" t="n">
        <f aca="false">J1093*O1093</f>
        <v>0</v>
      </c>
      <c r="W1093" s="56" t="n">
        <f aca="false">((I1093+J1093)/2)*O1093</f>
        <v>0</v>
      </c>
      <c r="X1093" s="56" t="n">
        <f aca="false">H1093*O1093</f>
        <v>1395</v>
      </c>
    </row>
    <row r="1094" customFormat="false" ht="22.35" hidden="false" customHeight="false" outlineLevel="0" collapsed="false">
      <c r="A1094" s="76" t="s">
        <v>2063</v>
      </c>
      <c r="B1094" s="7" t="s">
        <v>1555</v>
      </c>
      <c r="C1094" s="7" t="s">
        <v>1556</v>
      </c>
      <c r="D1094" s="7" t="s">
        <v>2319</v>
      </c>
      <c r="E1094" s="74" t="s">
        <v>2320</v>
      </c>
      <c r="F1094" s="7" t="s">
        <v>2097</v>
      </c>
      <c r="G1094" s="7" t="s">
        <v>2097</v>
      </c>
      <c r="H1094" s="9" t="n">
        <v>334</v>
      </c>
      <c r="I1094" s="9" t="n">
        <v>0</v>
      </c>
      <c r="J1094" s="9" t="n">
        <v>0</v>
      </c>
      <c r="K1094" s="52" t="n">
        <v>0</v>
      </c>
      <c r="L1094" s="58" t="n">
        <v>21.8</v>
      </c>
      <c r="M1094" s="59" t="n">
        <v>93.3</v>
      </c>
      <c r="N1094" s="9" t="n">
        <v>0</v>
      </c>
      <c r="O1094" s="8" t="n">
        <v>1.19</v>
      </c>
      <c r="P1094" s="9" t="n">
        <v>334</v>
      </c>
      <c r="Q1094" s="7" t="s">
        <v>2098</v>
      </c>
      <c r="R1094" s="7" t="s">
        <v>2321</v>
      </c>
      <c r="S1094" s="58" t="n">
        <v>0</v>
      </c>
      <c r="T1094" s="9" t="n">
        <v>250</v>
      </c>
      <c r="U1094" s="56" t="n">
        <f aca="false">I1094*O1094</f>
        <v>0</v>
      </c>
      <c r="V1094" s="56" t="n">
        <f aca="false">J1094*O1094</f>
        <v>0</v>
      </c>
      <c r="W1094" s="56" t="n">
        <f aca="false">((I1094+J1094)/2)*O1094</f>
        <v>0</v>
      </c>
      <c r="X1094" s="56" t="n">
        <f aca="false">H1094*O1094</f>
        <v>397.46</v>
      </c>
    </row>
    <row r="1095" customFormat="false" ht="22.35" hidden="false" customHeight="false" outlineLevel="0" collapsed="false">
      <c r="A1095" s="76" t="s">
        <v>2063</v>
      </c>
      <c r="B1095" s="49" t="s">
        <v>1606</v>
      </c>
      <c r="C1095" s="49" t="s">
        <v>1607</v>
      </c>
      <c r="D1095" s="49" t="s">
        <v>2319</v>
      </c>
      <c r="E1095" s="74" t="s">
        <v>2320</v>
      </c>
      <c r="F1095" s="49" t="s">
        <v>2097</v>
      </c>
      <c r="G1095" s="49" t="s">
        <v>2097</v>
      </c>
      <c r="H1095" s="51" t="n">
        <v>1434</v>
      </c>
      <c r="I1095" s="51" t="n">
        <v>0</v>
      </c>
      <c r="J1095" s="51" t="n">
        <v>0</v>
      </c>
      <c r="K1095" s="52" t="n">
        <v>0</v>
      </c>
      <c r="L1095" s="53" t="n">
        <v>30.7</v>
      </c>
      <c r="M1095" s="54" t="n">
        <v>90.5</v>
      </c>
      <c r="N1095" s="51" t="n">
        <v>0</v>
      </c>
      <c r="O1095" s="55" t="n">
        <v>1.2</v>
      </c>
      <c r="P1095" s="51" t="n">
        <v>1434</v>
      </c>
      <c r="Q1095" s="49" t="s">
        <v>2098</v>
      </c>
      <c r="R1095" s="49" t="s">
        <v>2321</v>
      </c>
      <c r="S1095" s="53" t="n">
        <v>0</v>
      </c>
      <c r="T1095" s="51" t="n">
        <v>2000</v>
      </c>
      <c r="U1095" s="56" t="n">
        <f aca="false">I1095*O1095</f>
        <v>0</v>
      </c>
      <c r="V1095" s="56" t="n">
        <f aca="false">J1095*O1095</f>
        <v>0</v>
      </c>
      <c r="W1095" s="56" t="n">
        <f aca="false">((I1095+J1095)/2)*O1095</f>
        <v>0</v>
      </c>
      <c r="X1095" s="56" t="n">
        <f aca="false">H1095*O1095</f>
        <v>1720.8</v>
      </c>
    </row>
    <row r="1096" customFormat="false" ht="22.35" hidden="false" customHeight="false" outlineLevel="0" collapsed="false">
      <c r="A1096" s="76" t="s">
        <v>2063</v>
      </c>
      <c r="B1096" s="7" t="s">
        <v>1309</v>
      </c>
      <c r="C1096" s="7" t="s">
        <v>3702</v>
      </c>
      <c r="D1096" s="7" t="s">
        <v>2319</v>
      </c>
      <c r="E1096" s="74" t="s">
        <v>2320</v>
      </c>
      <c r="F1096" s="7" t="s">
        <v>2097</v>
      </c>
      <c r="G1096" s="7" t="s">
        <v>2097</v>
      </c>
      <c r="H1096" s="9" t="n">
        <v>1000</v>
      </c>
      <c r="I1096" s="9" t="n">
        <v>0</v>
      </c>
      <c r="J1096" s="9" t="n">
        <v>0</v>
      </c>
      <c r="K1096" s="52" t="n">
        <v>0</v>
      </c>
      <c r="L1096" s="58" t="n">
        <v>46.8</v>
      </c>
      <c r="M1096" s="59" t="n">
        <v>58.8</v>
      </c>
      <c r="N1096" s="9" t="n">
        <v>0</v>
      </c>
      <c r="O1096" s="8" t="n">
        <v>1.69</v>
      </c>
      <c r="P1096" s="9" t="n">
        <v>1000</v>
      </c>
      <c r="Q1096" s="7" t="s">
        <v>2098</v>
      </c>
      <c r="R1096" s="7" t="s">
        <v>2321</v>
      </c>
      <c r="S1096" s="58" t="n">
        <v>0</v>
      </c>
      <c r="T1096" s="9" t="n">
        <v>1000</v>
      </c>
      <c r="U1096" s="56" t="n">
        <f aca="false">I1096*O1096</f>
        <v>0</v>
      </c>
      <c r="V1096" s="56" t="n">
        <f aca="false">J1096*O1096</f>
        <v>0</v>
      </c>
      <c r="W1096" s="56" t="n">
        <f aca="false">((I1096+J1096)/2)*O1096</f>
        <v>0</v>
      </c>
      <c r="X1096" s="56" t="n">
        <f aca="false">H1096*O1096</f>
        <v>1690</v>
      </c>
    </row>
    <row r="1097" customFormat="false" ht="22.35" hidden="false" customHeight="false" outlineLevel="0" collapsed="false">
      <c r="A1097" s="76" t="s">
        <v>2063</v>
      </c>
      <c r="B1097" s="49" t="s">
        <v>1313</v>
      </c>
      <c r="C1097" s="49" t="s">
        <v>3703</v>
      </c>
      <c r="D1097" s="49" t="s">
        <v>2319</v>
      </c>
      <c r="E1097" s="74" t="s">
        <v>2320</v>
      </c>
      <c r="F1097" s="49" t="s">
        <v>2097</v>
      </c>
      <c r="G1097" s="49" t="s">
        <v>2097</v>
      </c>
      <c r="H1097" s="51" t="n">
        <v>1000</v>
      </c>
      <c r="I1097" s="51" t="n">
        <v>0</v>
      </c>
      <c r="J1097" s="51" t="n">
        <v>0</v>
      </c>
      <c r="K1097" s="52" t="n">
        <v>0</v>
      </c>
      <c r="L1097" s="53" t="n">
        <v>55.4</v>
      </c>
      <c r="M1097" s="54" t="n">
        <v>83.3</v>
      </c>
      <c r="N1097" s="51" t="n">
        <v>0</v>
      </c>
      <c r="O1097" s="55" t="n">
        <v>1.258</v>
      </c>
      <c r="P1097" s="51" t="n">
        <v>1000</v>
      </c>
      <c r="Q1097" s="49" t="s">
        <v>2098</v>
      </c>
      <c r="R1097" s="49" t="s">
        <v>2321</v>
      </c>
      <c r="S1097" s="53" t="n">
        <v>0</v>
      </c>
      <c r="T1097" s="51" t="n">
        <v>2000</v>
      </c>
      <c r="U1097" s="56" t="n">
        <f aca="false">I1097*O1097</f>
        <v>0</v>
      </c>
      <c r="V1097" s="56" t="n">
        <f aca="false">J1097*O1097</f>
        <v>0</v>
      </c>
      <c r="W1097" s="56" t="n">
        <f aca="false">((I1097+J1097)/2)*O1097</f>
        <v>0</v>
      </c>
      <c r="X1097" s="56" t="n">
        <f aca="false">H1097*O1097</f>
        <v>1258</v>
      </c>
    </row>
    <row r="1098" customFormat="false" ht="22.35" hidden="false" customHeight="false" outlineLevel="0" collapsed="false">
      <c r="A1098" s="76" t="s">
        <v>2063</v>
      </c>
      <c r="B1098" s="7" t="s">
        <v>1314</v>
      </c>
      <c r="C1098" s="7" t="s">
        <v>3704</v>
      </c>
      <c r="D1098" s="7" t="s">
        <v>2319</v>
      </c>
      <c r="E1098" s="74" t="s">
        <v>2320</v>
      </c>
      <c r="F1098" s="7" t="s">
        <v>2097</v>
      </c>
      <c r="G1098" s="7" t="s">
        <v>2097</v>
      </c>
      <c r="H1098" s="9" t="n">
        <v>1000</v>
      </c>
      <c r="I1098" s="9" t="n">
        <v>0</v>
      </c>
      <c r="J1098" s="9" t="n">
        <v>0</v>
      </c>
      <c r="K1098" s="52" t="n">
        <v>0</v>
      </c>
      <c r="L1098" s="58" t="n">
        <v>49.3</v>
      </c>
      <c r="M1098" s="59" t="n">
        <v>100</v>
      </c>
      <c r="N1098" s="9" t="n">
        <v>0</v>
      </c>
      <c r="O1098" s="8" t="n">
        <v>0.6607</v>
      </c>
      <c r="P1098" s="9" t="n">
        <v>1000</v>
      </c>
      <c r="Q1098" s="7" t="s">
        <v>2098</v>
      </c>
      <c r="R1098" s="7" t="s">
        <v>2321</v>
      </c>
      <c r="S1098" s="58" t="n">
        <v>0</v>
      </c>
      <c r="T1098" s="9" t="n">
        <v>500</v>
      </c>
      <c r="U1098" s="56" t="n">
        <f aca="false">I1098*O1098</f>
        <v>0</v>
      </c>
      <c r="V1098" s="56" t="n">
        <f aca="false">J1098*O1098</f>
        <v>0</v>
      </c>
      <c r="W1098" s="56" t="n">
        <f aca="false">((I1098+J1098)/2)*O1098</f>
        <v>0</v>
      </c>
      <c r="X1098" s="56" t="n">
        <f aca="false">H1098*O1098</f>
        <v>660.7</v>
      </c>
    </row>
    <row r="1099" customFormat="false" ht="22.35" hidden="false" customHeight="false" outlineLevel="0" collapsed="false">
      <c r="A1099" s="76" t="s">
        <v>2063</v>
      </c>
      <c r="B1099" s="49" t="s">
        <v>1772</v>
      </c>
      <c r="C1099" s="49" t="s">
        <v>1773</v>
      </c>
      <c r="D1099" s="49" t="s">
        <v>2319</v>
      </c>
      <c r="E1099" s="74" t="s">
        <v>2320</v>
      </c>
      <c r="F1099" s="49" t="s">
        <v>2097</v>
      </c>
      <c r="G1099" s="49" t="s">
        <v>2097</v>
      </c>
      <c r="H1099" s="51" t="n">
        <v>2500</v>
      </c>
      <c r="I1099" s="51" t="n">
        <v>0</v>
      </c>
      <c r="J1099" s="51" t="n">
        <v>0</v>
      </c>
      <c r="K1099" s="52" t="n">
        <v>0</v>
      </c>
      <c r="L1099" s="53" t="n">
        <v>31.6</v>
      </c>
      <c r="M1099" s="54" t="n">
        <v>70</v>
      </c>
      <c r="N1099" s="51" t="n">
        <v>0</v>
      </c>
      <c r="O1099" s="55" t="n">
        <v>2.96</v>
      </c>
      <c r="P1099" s="51" t="n">
        <v>2500</v>
      </c>
      <c r="Q1099" s="49" t="s">
        <v>2098</v>
      </c>
      <c r="R1099" s="49" t="s">
        <v>2321</v>
      </c>
      <c r="S1099" s="53" t="n">
        <v>0</v>
      </c>
      <c r="T1099" s="51" t="n">
        <v>1000</v>
      </c>
      <c r="U1099" s="56" t="n">
        <f aca="false">I1099*O1099</f>
        <v>0</v>
      </c>
      <c r="V1099" s="56" t="n">
        <f aca="false">J1099*O1099</f>
        <v>0</v>
      </c>
      <c r="W1099" s="56" t="n">
        <f aca="false">((I1099+J1099)/2)*O1099</f>
        <v>0</v>
      </c>
      <c r="X1099" s="56" t="n">
        <f aca="false">H1099*O1099</f>
        <v>7400</v>
      </c>
    </row>
    <row r="1100" customFormat="false" ht="22.35" hidden="false" customHeight="false" outlineLevel="0" collapsed="false">
      <c r="A1100" s="76" t="s">
        <v>2063</v>
      </c>
      <c r="B1100" s="7" t="s">
        <v>1317</v>
      </c>
      <c r="C1100" s="7" t="s">
        <v>3705</v>
      </c>
      <c r="D1100" s="7" t="s">
        <v>2319</v>
      </c>
      <c r="E1100" s="74" t="s">
        <v>2320</v>
      </c>
      <c r="F1100" s="7" t="s">
        <v>2097</v>
      </c>
      <c r="G1100" s="7" t="s">
        <v>2097</v>
      </c>
      <c r="H1100" s="9" t="n">
        <v>500</v>
      </c>
      <c r="I1100" s="9" t="n">
        <v>0</v>
      </c>
      <c r="J1100" s="9" t="n">
        <v>0</v>
      </c>
      <c r="K1100" s="52" t="n">
        <v>0</v>
      </c>
      <c r="L1100" s="58" t="n">
        <v>34.1</v>
      </c>
      <c r="M1100" s="59" t="n">
        <v>25</v>
      </c>
      <c r="N1100" s="9" t="n">
        <v>0</v>
      </c>
      <c r="O1100" s="8" t="n">
        <v>4.0772</v>
      </c>
      <c r="P1100" s="9" t="n">
        <v>500</v>
      </c>
      <c r="Q1100" s="7" t="s">
        <v>2098</v>
      </c>
      <c r="R1100" s="7" t="s">
        <v>2321</v>
      </c>
      <c r="S1100" s="58" t="n">
        <v>0</v>
      </c>
      <c r="T1100" s="9" t="n">
        <v>100</v>
      </c>
      <c r="U1100" s="56" t="n">
        <f aca="false">I1100*O1100</f>
        <v>0</v>
      </c>
      <c r="V1100" s="56" t="n">
        <f aca="false">J1100*O1100</f>
        <v>0</v>
      </c>
      <c r="W1100" s="56" t="n">
        <f aca="false">((I1100+J1100)/2)*O1100</f>
        <v>0</v>
      </c>
      <c r="X1100" s="56" t="n">
        <f aca="false">H1100*O1100</f>
        <v>2038.6</v>
      </c>
    </row>
    <row r="1101" customFormat="false" ht="32.8" hidden="false" customHeight="false" outlineLevel="0" collapsed="false">
      <c r="A1101" s="76" t="s">
        <v>2063</v>
      </c>
      <c r="B1101" s="62" t="s">
        <v>3706</v>
      </c>
      <c r="C1101" s="62" t="s">
        <v>3707</v>
      </c>
      <c r="D1101" s="62" t="s">
        <v>2101</v>
      </c>
      <c r="E1101" s="78" t="s">
        <v>3474</v>
      </c>
      <c r="F1101" s="64" t="s">
        <v>2170</v>
      </c>
      <c r="G1101" s="62" t="s">
        <v>2097</v>
      </c>
      <c r="H1101" s="65" t="n">
        <v>278</v>
      </c>
      <c r="I1101" s="65" t="n">
        <v>143.24</v>
      </c>
      <c r="J1101" s="65" t="n">
        <v>429.72</v>
      </c>
      <c r="K1101" s="66" t="n">
        <v>429.72</v>
      </c>
      <c r="L1101" s="67" t="n">
        <v>41.6</v>
      </c>
      <c r="M1101" s="68" t="n">
        <v>80</v>
      </c>
      <c r="N1101" s="65" t="n">
        <v>5.846575</v>
      </c>
      <c r="O1101" s="69" t="n">
        <v>7.639</v>
      </c>
      <c r="P1101" s="65" t="n">
        <v>-151.72</v>
      </c>
      <c r="Q1101" s="62" t="s">
        <v>2103</v>
      </c>
      <c r="R1101" s="62" t="s">
        <v>3708</v>
      </c>
      <c r="S1101" s="67" t="n">
        <v>0.5</v>
      </c>
      <c r="T1101" s="65" t="n">
        <v>1</v>
      </c>
      <c r="U1101" s="56" t="n">
        <f aca="false">I1101*O1101</f>
        <v>1094.21036</v>
      </c>
      <c r="V1101" s="56" t="n">
        <f aca="false">J1101*O1101</f>
        <v>3282.63108</v>
      </c>
      <c r="W1101" s="56" t="n">
        <f aca="false">((I1101+J1101)/2)*O1101</f>
        <v>2188.42072</v>
      </c>
      <c r="X1101" s="56" t="n">
        <f aca="false">H1101*O1101</f>
        <v>2123.642</v>
      </c>
    </row>
    <row r="1102" customFormat="false" ht="22.35" hidden="false" customHeight="false" outlineLevel="0" collapsed="false">
      <c r="A1102" s="76" t="s">
        <v>2063</v>
      </c>
      <c r="B1102" s="62" t="s">
        <v>3709</v>
      </c>
      <c r="C1102" s="62" t="s">
        <v>3710</v>
      </c>
      <c r="D1102" s="62" t="s">
        <v>2101</v>
      </c>
      <c r="E1102" s="63" t="s">
        <v>2169</v>
      </c>
      <c r="F1102" s="64" t="s">
        <v>2170</v>
      </c>
      <c r="G1102" s="62" t="s">
        <v>2097</v>
      </c>
      <c r="H1102" s="65" t="n">
        <v>40</v>
      </c>
      <c r="I1102" s="65" t="n">
        <v>4.53</v>
      </c>
      <c r="J1102" s="65" t="n">
        <v>13.58</v>
      </c>
      <c r="K1102" s="66" t="n">
        <v>420</v>
      </c>
      <c r="L1102" s="67" t="n">
        <v>26.8</v>
      </c>
      <c r="M1102" s="68" t="n">
        <v>75</v>
      </c>
      <c r="N1102" s="65" t="n">
        <v>1.206922</v>
      </c>
      <c r="O1102" s="69" t="n">
        <v>7.73</v>
      </c>
      <c r="P1102" s="65" t="n">
        <v>26.42</v>
      </c>
      <c r="Q1102" s="62" t="s">
        <v>2098</v>
      </c>
      <c r="R1102" s="62" t="s">
        <v>2294</v>
      </c>
      <c r="S1102" s="67" t="n">
        <v>0.5</v>
      </c>
      <c r="T1102" s="65" t="n">
        <v>420</v>
      </c>
      <c r="U1102" s="56" t="n">
        <f aca="false">I1102*O1102</f>
        <v>35.0169</v>
      </c>
      <c r="V1102" s="56" t="n">
        <f aca="false">J1102*O1102</f>
        <v>104.9734</v>
      </c>
      <c r="W1102" s="56" t="n">
        <f aca="false">((I1102+J1102)/2)*O1102</f>
        <v>69.99515</v>
      </c>
      <c r="X1102" s="56" t="n">
        <f aca="false">H1102*O1102</f>
        <v>309.2</v>
      </c>
    </row>
    <row r="1103" customFormat="false" ht="15" hidden="false" customHeight="false" outlineLevel="0" collapsed="false">
      <c r="A1103" s="76" t="s">
        <v>2063</v>
      </c>
      <c r="B1103" s="49" t="s">
        <v>3711</v>
      </c>
      <c r="C1103" s="49" t="s">
        <v>3712</v>
      </c>
      <c r="D1103" s="49" t="s">
        <v>2101</v>
      </c>
      <c r="E1103" s="50" t="s">
        <v>2096</v>
      </c>
      <c r="F1103" s="49" t="s">
        <v>2097</v>
      </c>
      <c r="G1103" s="49" t="s">
        <v>2097</v>
      </c>
      <c r="H1103" s="51" t="n">
        <v>40</v>
      </c>
      <c r="I1103" s="51" t="n">
        <v>4.24</v>
      </c>
      <c r="J1103" s="51" t="n">
        <v>12.72</v>
      </c>
      <c r="K1103" s="52" t="n">
        <v>35</v>
      </c>
      <c r="L1103" s="53" t="n">
        <v>47.3</v>
      </c>
      <c r="M1103" s="54" t="n">
        <v>42.9</v>
      </c>
      <c r="N1103" s="51" t="n">
        <v>0.179335</v>
      </c>
      <c r="O1103" s="55" t="n">
        <v>22.9537</v>
      </c>
      <c r="P1103" s="51" t="n">
        <v>27.28</v>
      </c>
      <c r="Q1103" s="49" t="s">
        <v>2098</v>
      </c>
      <c r="R1103" s="49" t="s">
        <v>2099</v>
      </c>
      <c r="S1103" s="53" t="n">
        <v>0.5</v>
      </c>
      <c r="T1103" s="51" t="n">
        <v>35</v>
      </c>
      <c r="U1103" s="56" t="n">
        <f aca="false">I1103*O1103</f>
        <v>97.323688</v>
      </c>
      <c r="V1103" s="56" t="n">
        <f aca="false">J1103*O1103</f>
        <v>291.971064</v>
      </c>
      <c r="W1103" s="56" t="n">
        <f aca="false">((I1103+J1103)/2)*O1103</f>
        <v>194.647376</v>
      </c>
      <c r="X1103" s="56" t="n">
        <f aca="false">H1103*O1103</f>
        <v>918.148</v>
      </c>
    </row>
    <row r="1104" customFormat="false" ht="15" hidden="false" customHeight="false" outlineLevel="0" collapsed="false">
      <c r="A1104" s="76" t="s">
        <v>2063</v>
      </c>
      <c r="B1104" s="7" t="s">
        <v>3713</v>
      </c>
      <c r="C1104" s="7" t="s">
        <v>3714</v>
      </c>
      <c r="D1104" s="7" t="s">
        <v>2101</v>
      </c>
      <c r="E1104" s="50" t="s">
        <v>2096</v>
      </c>
      <c r="F1104" s="7" t="s">
        <v>2097</v>
      </c>
      <c r="G1104" s="7" t="s">
        <v>2097</v>
      </c>
      <c r="H1104" s="9" t="n">
        <v>40</v>
      </c>
      <c r="I1104" s="9" t="n">
        <v>1.26</v>
      </c>
      <c r="J1104" s="9" t="n">
        <v>3.78</v>
      </c>
      <c r="K1104" s="52" t="n">
        <v>3.78</v>
      </c>
      <c r="L1104" s="58" t="n">
        <v>28.4</v>
      </c>
      <c r="M1104" s="59" t="n">
        <v>42.9</v>
      </c>
      <c r="N1104" s="9" t="n">
        <v>0.088767</v>
      </c>
      <c r="O1104" s="8" t="n">
        <v>3.102</v>
      </c>
      <c r="P1104" s="9" t="n">
        <v>36.22</v>
      </c>
      <c r="Q1104" s="7" t="s">
        <v>2098</v>
      </c>
      <c r="R1104" s="7" t="s">
        <v>2099</v>
      </c>
      <c r="S1104" s="58" t="n">
        <v>0.5</v>
      </c>
      <c r="T1104" s="9" t="n">
        <v>1</v>
      </c>
      <c r="U1104" s="56" t="n">
        <f aca="false">I1104*O1104</f>
        <v>3.90852</v>
      </c>
      <c r="V1104" s="56" t="n">
        <f aca="false">J1104*O1104</f>
        <v>11.72556</v>
      </c>
      <c r="W1104" s="56" t="n">
        <f aca="false">((I1104+J1104)/2)*O1104</f>
        <v>7.81704</v>
      </c>
      <c r="X1104" s="56" t="n">
        <f aca="false">H1104*O1104</f>
        <v>124.08</v>
      </c>
    </row>
    <row r="1105" customFormat="false" ht="22.35" hidden="false" customHeight="false" outlineLevel="0" collapsed="false">
      <c r="A1105" s="76" t="s">
        <v>2063</v>
      </c>
      <c r="B1105" s="49" t="s">
        <v>3715</v>
      </c>
      <c r="C1105" s="49" t="s">
        <v>3716</v>
      </c>
      <c r="D1105" s="49" t="s">
        <v>2101</v>
      </c>
      <c r="E1105" s="57" t="s">
        <v>2102</v>
      </c>
      <c r="F1105" s="49" t="s">
        <v>2097</v>
      </c>
      <c r="G1105" s="49" t="s">
        <v>2097</v>
      </c>
      <c r="H1105" s="51" t="n">
        <v>40</v>
      </c>
      <c r="I1105" s="51" t="n">
        <v>15.65</v>
      </c>
      <c r="J1105" s="51" t="n">
        <v>46.94</v>
      </c>
      <c r="K1105" s="52" t="n">
        <v>110</v>
      </c>
      <c r="L1105" s="53" t="n">
        <v>34.3</v>
      </c>
      <c r="M1105" s="54" t="n">
        <v>61.9</v>
      </c>
      <c r="N1105" s="51" t="n">
        <v>0.912385</v>
      </c>
      <c r="O1105" s="55" t="n">
        <v>5.502</v>
      </c>
      <c r="P1105" s="51" t="n">
        <v>-6.94</v>
      </c>
      <c r="Q1105" s="49" t="s">
        <v>2103</v>
      </c>
      <c r="R1105" s="49" t="s">
        <v>2099</v>
      </c>
      <c r="S1105" s="53" t="n">
        <v>0.5</v>
      </c>
      <c r="T1105" s="51" t="n">
        <v>110</v>
      </c>
      <c r="U1105" s="56" t="n">
        <f aca="false">I1105*O1105</f>
        <v>86.1063</v>
      </c>
      <c r="V1105" s="56" t="n">
        <f aca="false">J1105*O1105</f>
        <v>258.26388</v>
      </c>
      <c r="W1105" s="56" t="n">
        <f aca="false">((I1105+J1105)/2)*O1105</f>
        <v>172.18509</v>
      </c>
      <c r="X1105" s="56" t="n">
        <f aca="false">H1105*O1105</f>
        <v>220.08</v>
      </c>
    </row>
    <row r="1106" customFormat="false" ht="22.35" hidden="false" customHeight="false" outlineLevel="0" collapsed="false">
      <c r="A1106" s="76" t="s">
        <v>2063</v>
      </c>
      <c r="B1106" s="4" t="s">
        <v>3717</v>
      </c>
      <c r="C1106" s="4" t="s">
        <v>1599</v>
      </c>
      <c r="D1106" s="4" t="s">
        <v>2101</v>
      </c>
      <c r="E1106" s="70" t="s">
        <v>2193</v>
      </c>
      <c r="F1106" s="4" t="s">
        <v>2097</v>
      </c>
      <c r="G1106" s="71" t="s">
        <v>2194</v>
      </c>
      <c r="H1106" s="6" t="n">
        <v>40</v>
      </c>
      <c r="I1106" s="6" t="n">
        <v>0</v>
      </c>
      <c r="J1106" s="6" t="n">
        <v>0</v>
      </c>
      <c r="K1106" s="52" t="n">
        <v>0</v>
      </c>
      <c r="L1106" s="72" t="n">
        <v>18.2</v>
      </c>
      <c r="M1106" s="73" t="n">
        <v>90</v>
      </c>
      <c r="N1106" s="6" t="n">
        <v>0.038473</v>
      </c>
      <c r="O1106" s="5" t="n">
        <v>5.045</v>
      </c>
      <c r="P1106" s="6" t="n">
        <v>40</v>
      </c>
      <c r="Q1106" s="4" t="s">
        <v>2098</v>
      </c>
      <c r="R1106" s="4" t="s">
        <v>2195</v>
      </c>
      <c r="S1106" s="72" t="n">
        <v>0</v>
      </c>
      <c r="T1106" s="6" t="n">
        <v>42</v>
      </c>
      <c r="U1106" s="56" t="n">
        <f aca="false">I1106*O1106</f>
        <v>0</v>
      </c>
      <c r="V1106" s="56" t="n">
        <f aca="false">J1106*O1106</f>
        <v>0</v>
      </c>
      <c r="W1106" s="56" t="n">
        <f aca="false">((I1106+J1106)/2)*O1106</f>
        <v>0</v>
      </c>
      <c r="X1106" s="56" t="n">
        <f aca="false">H1106*O1106</f>
        <v>201.8</v>
      </c>
    </row>
    <row r="1107" customFormat="false" ht="22.35" hidden="false" customHeight="false" outlineLevel="0" collapsed="false">
      <c r="A1107" s="76" t="s">
        <v>2063</v>
      </c>
      <c r="B1107" s="4" t="s">
        <v>3718</v>
      </c>
      <c r="C1107" s="4" t="s">
        <v>3719</v>
      </c>
      <c r="D1107" s="4" t="s">
        <v>2101</v>
      </c>
      <c r="E1107" s="70" t="s">
        <v>2193</v>
      </c>
      <c r="F1107" s="4" t="s">
        <v>2097</v>
      </c>
      <c r="G1107" s="71" t="s">
        <v>2194</v>
      </c>
      <c r="H1107" s="6" t="n">
        <v>40</v>
      </c>
      <c r="I1107" s="6" t="n">
        <v>0</v>
      </c>
      <c r="J1107" s="6" t="n">
        <v>0</v>
      </c>
      <c r="K1107" s="52" t="n">
        <v>0</v>
      </c>
      <c r="L1107" s="72" t="n">
        <v>22.8</v>
      </c>
      <c r="M1107" s="73" t="n">
        <v>83.3</v>
      </c>
      <c r="N1107" s="6" t="n">
        <v>0.232209</v>
      </c>
      <c r="O1107" s="5" t="n">
        <v>7.11</v>
      </c>
      <c r="P1107" s="6" t="n">
        <v>40</v>
      </c>
      <c r="Q1107" s="4" t="s">
        <v>2098</v>
      </c>
      <c r="R1107" s="4" t="s">
        <v>2195</v>
      </c>
      <c r="S1107" s="72" t="n">
        <v>0</v>
      </c>
      <c r="T1107" s="6" t="n">
        <v>40</v>
      </c>
      <c r="U1107" s="56" t="n">
        <f aca="false">I1107*O1107</f>
        <v>0</v>
      </c>
      <c r="V1107" s="56" t="n">
        <f aca="false">J1107*O1107</f>
        <v>0</v>
      </c>
      <c r="W1107" s="56" t="n">
        <f aca="false">((I1107+J1107)/2)*O1107</f>
        <v>0</v>
      </c>
      <c r="X1107" s="56" t="n">
        <f aca="false">H1107*O1107</f>
        <v>284.4</v>
      </c>
    </row>
    <row r="1108" customFormat="false" ht="15" hidden="false" customHeight="false" outlineLevel="0" collapsed="false">
      <c r="A1108" s="76" t="s">
        <v>2063</v>
      </c>
      <c r="B1108" s="7" t="s">
        <v>2322</v>
      </c>
      <c r="C1108" s="7" t="s">
        <v>2323</v>
      </c>
      <c r="D1108" s="7" t="s">
        <v>2101</v>
      </c>
      <c r="E1108" s="50" t="s">
        <v>2096</v>
      </c>
      <c r="F1108" s="7" t="s">
        <v>2097</v>
      </c>
      <c r="G1108" s="7" t="s">
        <v>2097</v>
      </c>
      <c r="H1108" s="9" t="n">
        <v>40</v>
      </c>
      <c r="I1108" s="9" t="n">
        <v>7.74</v>
      </c>
      <c r="J1108" s="9" t="n">
        <v>23.22</v>
      </c>
      <c r="K1108" s="52" t="n">
        <v>44</v>
      </c>
      <c r="L1108" s="58" t="n">
        <v>17.8</v>
      </c>
      <c r="M1108" s="59" t="n">
        <v>90.5</v>
      </c>
      <c r="N1108" s="9" t="n">
        <v>0.869845</v>
      </c>
      <c r="O1108" s="8" t="n">
        <v>13.11</v>
      </c>
      <c r="P1108" s="9" t="n">
        <v>16.78</v>
      </c>
      <c r="Q1108" s="7" t="s">
        <v>2098</v>
      </c>
      <c r="R1108" s="7" t="s">
        <v>2099</v>
      </c>
      <c r="S1108" s="58" t="n">
        <v>0.5</v>
      </c>
      <c r="T1108" s="9" t="n">
        <v>44</v>
      </c>
      <c r="U1108" s="56" t="n">
        <f aca="false">I1108*O1108</f>
        <v>101.4714</v>
      </c>
      <c r="V1108" s="56" t="n">
        <f aca="false">J1108*O1108</f>
        <v>304.4142</v>
      </c>
      <c r="W1108" s="56" t="n">
        <f aca="false">((I1108+J1108)/2)*O1108</f>
        <v>202.9428</v>
      </c>
      <c r="X1108" s="56" t="n">
        <f aca="false">H1108*O1108</f>
        <v>524.4</v>
      </c>
    </row>
    <row r="1109" customFormat="false" ht="15" hidden="false" customHeight="false" outlineLevel="0" collapsed="false">
      <c r="A1109" s="76" t="s">
        <v>2063</v>
      </c>
      <c r="B1109" s="49" t="s">
        <v>3720</v>
      </c>
      <c r="C1109" s="49" t="s">
        <v>3478</v>
      </c>
      <c r="D1109" s="49" t="s">
        <v>2101</v>
      </c>
      <c r="E1109" s="50" t="s">
        <v>2096</v>
      </c>
      <c r="F1109" s="49" t="s">
        <v>2097</v>
      </c>
      <c r="G1109" s="49" t="s">
        <v>2097</v>
      </c>
      <c r="H1109" s="51" t="n">
        <v>40</v>
      </c>
      <c r="I1109" s="51" t="n">
        <v>1.77</v>
      </c>
      <c r="J1109" s="51" t="n">
        <v>5.31</v>
      </c>
      <c r="K1109" s="52" t="n">
        <v>55</v>
      </c>
      <c r="L1109" s="53" t="n">
        <v>15.8</v>
      </c>
      <c r="M1109" s="54" t="n">
        <v>88.9</v>
      </c>
      <c r="N1109" s="51" t="n">
        <v>0.223836</v>
      </c>
      <c r="O1109" s="55" t="n">
        <v>31.2564</v>
      </c>
      <c r="P1109" s="51" t="n">
        <v>34.69</v>
      </c>
      <c r="Q1109" s="49" t="s">
        <v>2098</v>
      </c>
      <c r="R1109" s="49" t="s">
        <v>2099</v>
      </c>
      <c r="S1109" s="53" t="n">
        <v>0.5</v>
      </c>
      <c r="T1109" s="51" t="n">
        <v>55</v>
      </c>
      <c r="U1109" s="56" t="n">
        <f aca="false">I1109*O1109</f>
        <v>55.323828</v>
      </c>
      <c r="V1109" s="56" t="n">
        <f aca="false">J1109*O1109</f>
        <v>165.971484</v>
      </c>
      <c r="W1109" s="56" t="n">
        <f aca="false">((I1109+J1109)/2)*O1109</f>
        <v>110.647656</v>
      </c>
      <c r="X1109" s="56" t="n">
        <f aca="false">H1109*O1109</f>
        <v>1250.256</v>
      </c>
    </row>
    <row r="1110" customFormat="false" ht="22.35" hidden="false" customHeight="false" outlineLevel="0" collapsed="false">
      <c r="A1110" s="76" t="s">
        <v>2063</v>
      </c>
      <c r="B1110" s="7" t="s">
        <v>3721</v>
      </c>
      <c r="C1110" s="7" t="s">
        <v>2359</v>
      </c>
      <c r="D1110" s="7" t="s">
        <v>2095</v>
      </c>
      <c r="E1110" s="61" t="s">
        <v>2113</v>
      </c>
      <c r="F1110" s="7" t="s">
        <v>2097</v>
      </c>
      <c r="G1110" s="7" t="s">
        <v>2097</v>
      </c>
      <c r="H1110" s="9" t="n">
        <v>4406</v>
      </c>
      <c r="I1110" s="9" t="n">
        <v>5104.31</v>
      </c>
      <c r="J1110" s="9" t="n">
        <v>10208.62</v>
      </c>
      <c r="K1110" s="52" t="n">
        <v>10500</v>
      </c>
      <c r="L1110" s="58" t="n">
        <v>28</v>
      </c>
      <c r="M1110" s="59" t="n">
        <v>94.3</v>
      </c>
      <c r="N1110" s="9" t="n">
        <v>182.29684</v>
      </c>
      <c r="O1110" s="8" t="n">
        <v>0.414</v>
      </c>
      <c r="P1110" s="9" t="n">
        <v>-5802.62</v>
      </c>
      <c r="Q1110" s="7" t="s">
        <v>2103</v>
      </c>
      <c r="R1110" s="7" t="s">
        <v>2099</v>
      </c>
      <c r="S1110" s="58" t="n">
        <v>1</v>
      </c>
      <c r="T1110" s="9" t="n">
        <v>2100</v>
      </c>
      <c r="U1110" s="56" t="n">
        <f aca="false">I1110*O1110</f>
        <v>2113.18434</v>
      </c>
      <c r="V1110" s="56" t="n">
        <f aca="false">J1110*O1110</f>
        <v>4226.36868</v>
      </c>
      <c r="W1110" s="56" t="n">
        <f aca="false">((I1110+J1110)/2)*O1110</f>
        <v>3169.77651</v>
      </c>
      <c r="X1110" s="56" t="n">
        <f aca="false">H1110*O1110</f>
        <v>1824.084</v>
      </c>
    </row>
    <row r="1111" customFormat="false" ht="22.35" hidden="false" customHeight="false" outlineLevel="0" collapsed="false">
      <c r="A1111" s="76" t="s">
        <v>2063</v>
      </c>
      <c r="B1111" s="4" t="s">
        <v>3722</v>
      </c>
      <c r="C1111" s="4" t="s">
        <v>3723</v>
      </c>
      <c r="D1111" s="4" t="s">
        <v>2101</v>
      </c>
      <c r="E1111" s="70" t="s">
        <v>2193</v>
      </c>
      <c r="F1111" s="4" t="s">
        <v>2097</v>
      </c>
      <c r="G1111" s="71" t="s">
        <v>2194</v>
      </c>
      <c r="H1111" s="6" t="n">
        <v>120</v>
      </c>
      <c r="I1111" s="6" t="n">
        <v>0</v>
      </c>
      <c r="J1111" s="6" t="n">
        <v>0</v>
      </c>
      <c r="K1111" s="52" t="n">
        <v>0</v>
      </c>
      <c r="L1111" s="72" t="n">
        <v>31</v>
      </c>
      <c r="M1111" s="73" t="n">
        <v>71.4</v>
      </c>
      <c r="N1111" s="6" t="n">
        <v>0.961685</v>
      </c>
      <c r="O1111" s="5" t="n">
        <v>1.519</v>
      </c>
      <c r="P1111" s="6" t="n">
        <v>120</v>
      </c>
      <c r="Q1111" s="4" t="s">
        <v>2098</v>
      </c>
      <c r="R1111" s="4" t="s">
        <v>2195</v>
      </c>
      <c r="S1111" s="72" t="n">
        <v>0</v>
      </c>
      <c r="T1111" s="6" t="n">
        <v>1</v>
      </c>
      <c r="U1111" s="56" t="n">
        <f aca="false">I1111*O1111</f>
        <v>0</v>
      </c>
      <c r="V1111" s="56" t="n">
        <f aca="false">J1111*O1111</f>
        <v>0</v>
      </c>
      <c r="W1111" s="56" t="n">
        <f aca="false">((I1111+J1111)/2)*O1111</f>
        <v>0</v>
      </c>
      <c r="X1111" s="56" t="n">
        <f aca="false">H1111*O1111</f>
        <v>182.28</v>
      </c>
    </row>
    <row r="1112" customFormat="false" ht="22.35" hidden="false" customHeight="false" outlineLevel="0" collapsed="false">
      <c r="A1112" s="76" t="s">
        <v>2063</v>
      </c>
      <c r="B1112" s="7" t="s">
        <v>3724</v>
      </c>
      <c r="C1112" s="7" t="s">
        <v>2356</v>
      </c>
      <c r="D1112" s="7" t="s">
        <v>2101</v>
      </c>
      <c r="E1112" s="57" t="s">
        <v>2102</v>
      </c>
      <c r="F1112" s="7" t="s">
        <v>2097</v>
      </c>
      <c r="G1112" s="7" t="s">
        <v>2097</v>
      </c>
      <c r="H1112" s="9" t="n">
        <v>80</v>
      </c>
      <c r="I1112" s="9" t="n">
        <v>47.45</v>
      </c>
      <c r="J1112" s="9" t="n">
        <v>142.35</v>
      </c>
      <c r="K1112" s="52" t="n">
        <v>142.35</v>
      </c>
      <c r="L1112" s="58" t="n">
        <v>26.5</v>
      </c>
      <c r="M1112" s="59" t="n">
        <v>62.5</v>
      </c>
      <c r="N1112" s="9" t="n">
        <v>3.581218</v>
      </c>
      <c r="O1112" s="8" t="n">
        <v>5.754</v>
      </c>
      <c r="P1112" s="9" t="n">
        <v>-62.35</v>
      </c>
      <c r="Q1112" s="7" t="s">
        <v>2103</v>
      </c>
      <c r="R1112" s="7" t="s">
        <v>2099</v>
      </c>
      <c r="S1112" s="58" t="n">
        <v>0.5</v>
      </c>
      <c r="T1112" s="9" t="n">
        <v>1</v>
      </c>
      <c r="U1112" s="56" t="n">
        <f aca="false">I1112*O1112</f>
        <v>273.0273</v>
      </c>
      <c r="V1112" s="56" t="n">
        <f aca="false">J1112*O1112</f>
        <v>819.0819</v>
      </c>
      <c r="W1112" s="56" t="n">
        <f aca="false">((I1112+J1112)/2)*O1112</f>
        <v>546.0546</v>
      </c>
      <c r="X1112" s="56" t="n">
        <f aca="false">H1112*O1112</f>
        <v>460.32</v>
      </c>
    </row>
    <row r="1113" customFormat="false" ht="22.35" hidden="false" customHeight="false" outlineLevel="0" collapsed="false">
      <c r="A1113" s="76" t="s">
        <v>2063</v>
      </c>
      <c r="B1113" s="49" t="s">
        <v>3725</v>
      </c>
      <c r="C1113" s="49" t="s">
        <v>3726</v>
      </c>
      <c r="D1113" s="49" t="s">
        <v>2101</v>
      </c>
      <c r="E1113" s="57" t="s">
        <v>2102</v>
      </c>
      <c r="F1113" s="49" t="s">
        <v>2097</v>
      </c>
      <c r="G1113" s="49" t="s">
        <v>2097</v>
      </c>
      <c r="H1113" s="51" t="n">
        <v>80</v>
      </c>
      <c r="I1113" s="51" t="n">
        <v>56.02</v>
      </c>
      <c r="J1113" s="51" t="n">
        <v>168.05</v>
      </c>
      <c r="K1113" s="52" t="n">
        <v>168.05</v>
      </c>
      <c r="L1113" s="53" t="n">
        <v>25</v>
      </c>
      <c r="M1113" s="54" t="n">
        <v>50</v>
      </c>
      <c r="N1113" s="51" t="n">
        <v>4.481289</v>
      </c>
      <c r="O1113" s="55" t="n">
        <v>2.194</v>
      </c>
      <c r="P1113" s="51" t="n">
        <v>-88.05</v>
      </c>
      <c r="Q1113" s="49" t="s">
        <v>2103</v>
      </c>
      <c r="R1113" s="49" t="s">
        <v>2099</v>
      </c>
      <c r="S1113" s="53" t="n">
        <v>0.5</v>
      </c>
      <c r="T1113" s="51" t="n">
        <v>1</v>
      </c>
      <c r="U1113" s="56" t="n">
        <f aca="false">I1113*O1113</f>
        <v>122.90788</v>
      </c>
      <c r="V1113" s="56" t="n">
        <f aca="false">J1113*O1113</f>
        <v>368.7017</v>
      </c>
      <c r="W1113" s="56" t="n">
        <f aca="false">((I1113+J1113)/2)*O1113</f>
        <v>245.80479</v>
      </c>
      <c r="X1113" s="56" t="n">
        <f aca="false">H1113*O1113</f>
        <v>175.52</v>
      </c>
    </row>
    <row r="1114" customFormat="false" ht="22.35" hidden="false" customHeight="false" outlineLevel="0" collapsed="false">
      <c r="A1114" s="76" t="s">
        <v>2063</v>
      </c>
      <c r="B1114" s="7" t="s">
        <v>3727</v>
      </c>
      <c r="C1114" s="7" t="s">
        <v>3728</v>
      </c>
      <c r="D1114" s="7" t="s">
        <v>2095</v>
      </c>
      <c r="E1114" s="61" t="s">
        <v>2113</v>
      </c>
      <c r="F1114" s="7" t="s">
        <v>2097</v>
      </c>
      <c r="G1114" s="7" t="s">
        <v>2097</v>
      </c>
      <c r="H1114" s="9" t="n">
        <v>10564</v>
      </c>
      <c r="I1114" s="9" t="n">
        <v>14952.68</v>
      </c>
      <c r="J1114" s="9" t="n">
        <v>29905.36</v>
      </c>
      <c r="K1114" s="52" t="n">
        <v>29905.36</v>
      </c>
      <c r="L1114" s="58" t="n">
        <v>36.8</v>
      </c>
      <c r="M1114" s="59" t="n">
        <v>77.2</v>
      </c>
      <c r="N1114" s="9" t="n">
        <v>406.322722</v>
      </c>
      <c r="O1114" s="8" t="n">
        <v>0.9201</v>
      </c>
      <c r="P1114" s="9" t="n">
        <v>-19341.36</v>
      </c>
      <c r="Q1114" s="7" t="s">
        <v>2103</v>
      </c>
      <c r="R1114" s="7" t="s">
        <v>2099</v>
      </c>
      <c r="S1114" s="58" t="n">
        <v>1</v>
      </c>
      <c r="T1114" s="9" t="n">
        <v>0</v>
      </c>
      <c r="U1114" s="56" t="n">
        <f aca="false">I1114*O1114</f>
        <v>13757.960868</v>
      </c>
      <c r="V1114" s="56" t="n">
        <f aca="false">J1114*O1114</f>
        <v>27515.921736</v>
      </c>
      <c r="W1114" s="56" t="n">
        <f aca="false">((I1114+J1114)/2)*O1114</f>
        <v>20636.941302</v>
      </c>
      <c r="X1114" s="56" t="n">
        <f aca="false">H1114*O1114</f>
        <v>9719.9364</v>
      </c>
    </row>
    <row r="1115" customFormat="false" ht="22.35" hidden="false" customHeight="false" outlineLevel="0" collapsed="false">
      <c r="A1115" s="76" t="s">
        <v>2063</v>
      </c>
      <c r="B1115" s="49" t="s">
        <v>2324</v>
      </c>
      <c r="C1115" s="49" t="s">
        <v>2325</v>
      </c>
      <c r="D1115" s="49" t="s">
        <v>2109</v>
      </c>
      <c r="E1115" s="60" t="s">
        <v>2110</v>
      </c>
      <c r="F1115" s="49" t="s">
        <v>2097</v>
      </c>
      <c r="G1115" s="49" t="s">
        <v>2097</v>
      </c>
      <c r="H1115" s="51" t="n">
        <v>22040</v>
      </c>
      <c r="I1115" s="51" t="n">
        <v>46762.35</v>
      </c>
      <c r="J1115" s="51" t="n">
        <v>77937.25</v>
      </c>
      <c r="K1115" s="52" t="n">
        <v>80000</v>
      </c>
      <c r="L1115" s="53" t="n">
        <v>30.4</v>
      </c>
      <c r="M1115" s="54" t="n">
        <v>78.6</v>
      </c>
      <c r="N1115" s="51" t="n">
        <v>1025.490213</v>
      </c>
      <c r="O1115" s="55" t="n">
        <v>0.5</v>
      </c>
      <c r="P1115" s="51" t="n">
        <v>-55897.25</v>
      </c>
      <c r="Q1115" s="49" t="s">
        <v>2103</v>
      </c>
      <c r="R1115" s="49" t="s">
        <v>2099</v>
      </c>
      <c r="S1115" s="53" t="n">
        <v>1.5</v>
      </c>
      <c r="T1115" s="51" t="n">
        <v>20000</v>
      </c>
      <c r="U1115" s="56" t="n">
        <f aca="false">I1115*O1115</f>
        <v>23381.175</v>
      </c>
      <c r="V1115" s="56" t="n">
        <f aca="false">J1115*O1115</f>
        <v>38968.625</v>
      </c>
      <c r="W1115" s="56" t="n">
        <f aca="false">((I1115+J1115)/2)*O1115</f>
        <v>31174.9</v>
      </c>
      <c r="X1115" s="56" t="n">
        <f aca="false">H1115*O1115</f>
        <v>11020</v>
      </c>
    </row>
    <row r="1116" customFormat="false" ht="22.35" hidden="false" customHeight="false" outlineLevel="0" collapsed="false">
      <c r="A1116" s="76" t="s">
        <v>2063</v>
      </c>
      <c r="B1116" s="7" t="s">
        <v>3729</v>
      </c>
      <c r="C1116" s="7" t="s">
        <v>3730</v>
      </c>
      <c r="D1116" s="7" t="s">
        <v>2101</v>
      </c>
      <c r="E1116" s="57" t="s">
        <v>2102</v>
      </c>
      <c r="F1116" s="7" t="s">
        <v>2097</v>
      </c>
      <c r="G1116" s="7" t="s">
        <v>2097</v>
      </c>
      <c r="H1116" s="9" t="n">
        <v>374</v>
      </c>
      <c r="I1116" s="9" t="n">
        <v>161.58</v>
      </c>
      <c r="J1116" s="9" t="n">
        <v>484.75</v>
      </c>
      <c r="K1116" s="52" t="n">
        <v>484.75</v>
      </c>
      <c r="L1116" s="58" t="n">
        <v>30</v>
      </c>
      <c r="M1116" s="59" t="n">
        <v>59.1</v>
      </c>
      <c r="N1116" s="9" t="n">
        <v>10.772219</v>
      </c>
      <c r="O1116" s="8" t="n">
        <v>3.4467</v>
      </c>
      <c r="P1116" s="9" t="n">
        <v>-110.75</v>
      </c>
      <c r="Q1116" s="7" t="s">
        <v>2103</v>
      </c>
      <c r="R1116" s="7" t="s">
        <v>2099</v>
      </c>
      <c r="S1116" s="58" t="n">
        <v>0.5</v>
      </c>
      <c r="T1116" s="9" t="n">
        <v>1</v>
      </c>
      <c r="U1116" s="56" t="n">
        <f aca="false">I1116*O1116</f>
        <v>556.917786</v>
      </c>
      <c r="V1116" s="56" t="n">
        <f aca="false">J1116*O1116</f>
        <v>1670.787825</v>
      </c>
      <c r="W1116" s="56" t="n">
        <f aca="false">((I1116+J1116)/2)*O1116</f>
        <v>1113.8528055</v>
      </c>
      <c r="X1116" s="56" t="n">
        <f aca="false">H1116*O1116</f>
        <v>1289.0658</v>
      </c>
    </row>
    <row r="1117" customFormat="false" ht="22.35" hidden="false" customHeight="false" outlineLevel="0" collapsed="false">
      <c r="A1117" s="76" t="s">
        <v>2063</v>
      </c>
      <c r="B1117" s="49" t="s">
        <v>2326</v>
      </c>
      <c r="C1117" s="49" t="s">
        <v>2327</v>
      </c>
      <c r="D1117" s="49" t="s">
        <v>2095</v>
      </c>
      <c r="E1117" s="61" t="s">
        <v>2113</v>
      </c>
      <c r="F1117" s="49" t="s">
        <v>2097</v>
      </c>
      <c r="G1117" s="49" t="s">
        <v>2097</v>
      </c>
      <c r="H1117" s="51" t="n">
        <v>8074</v>
      </c>
      <c r="I1117" s="51" t="n">
        <v>12653.67</v>
      </c>
      <c r="J1117" s="51" t="n">
        <v>25307.34</v>
      </c>
      <c r="K1117" s="52" t="n">
        <v>33000</v>
      </c>
      <c r="L1117" s="53" t="n">
        <v>37.9</v>
      </c>
      <c r="M1117" s="54" t="n">
        <v>76.8</v>
      </c>
      <c r="N1117" s="51" t="n">
        <v>333.869938</v>
      </c>
      <c r="O1117" s="55" t="n">
        <v>0.7397</v>
      </c>
      <c r="P1117" s="51" t="n">
        <v>-17233.34</v>
      </c>
      <c r="Q1117" s="49" t="s">
        <v>2103</v>
      </c>
      <c r="R1117" s="49" t="s">
        <v>2099</v>
      </c>
      <c r="S1117" s="53" t="n">
        <v>1</v>
      </c>
      <c r="T1117" s="51" t="n">
        <v>11000</v>
      </c>
      <c r="U1117" s="56" t="n">
        <f aca="false">I1117*O1117</f>
        <v>9359.919699</v>
      </c>
      <c r="V1117" s="56" t="n">
        <f aca="false">J1117*O1117</f>
        <v>18719.839398</v>
      </c>
      <c r="W1117" s="56" t="n">
        <f aca="false">((I1117+J1117)/2)*O1117</f>
        <v>14039.8795485</v>
      </c>
      <c r="X1117" s="56" t="n">
        <f aca="false">H1117*O1117</f>
        <v>5972.3378</v>
      </c>
    </row>
    <row r="1118" customFormat="false" ht="32.8" hidden="false" customHeight="false" outlineLevel="0" collapsed="false">
      <c r="A1118" s="76" t="s">
        <v>2063</v>
      </c>
      <c r="B1118" s="62" t="s">
        <v>3731</v>
      </c>
      <c r="C1118" s="62" t="s">
        <v>2331</v>
      </c>
      <c r="D1118" s="62" t="s">
        <v>2101</v>
      </c>
      <c r="E1118" s="78" t="s">
        <v>3474</v>
      </c>
      <c r="F1118" s="64" t="s">
        <v>2170</v>
      </c>
      <c r="G1118" s="62" t="s">
        <v>2097</v>
      </c>
      <c r="H1118" s="65" t="n">
        <v>816</v>
      </c>
      <c r="I1118" s="65" t="n">
        <v>299.23</v>
      </c>
      <c r="J1118" s="65" t="n">
        <v>897.69</v>
      </c>
      <c r="K1118" s="66" t="n">
        <v>900</v>
      </c>
      <c r="L1118" s="67" t="n">
        <v>18.4</v>
      </c>
      <c r="M1118" s="68" t="n">
        <v>77.8</v>
      </c>
      <c r="N1118" s="65" t="n">
        <v>34.201547</v>
      </c>
      <c r="O1118" s="69" t="n">
        <v>2.795</v>
      </c>
      <c r="P1118" s="65" t="n">
        <v>-81.69</v>
      </c>
      <c r="Q1118" s="62" t="s">
        <v>2103</v>
      </c>
      <c r="R1118" s="62" t="s">
        <v>3732</v>
      </c>
      <c r="S1118" s="67" t="n">
        <v>0.5</v>
      </c>
      <c r="T1118" s="65" t="n">
        <v>300</v>
      </c>
      <c r="U1118" s="56" t="n">
        <f aca="false">I1118*O1118</f>
        <v>836.34785</v>
      </c>
      <c r="V1118" s="56" t="n">
        <f aca="false">J1118*O1118</f>
        <v>2509.04355</v>
      </c>
      <c r="W1118" s="56" t="n">
        <f aca="false">((I1118+J1118)/2)*O1118</f>
        <v>1672.6957</v>
      </c>
      <c r="X1118" s="56" t="n">
        <f aca="false">H1118*O1118</f>
        <v>2280.72</v>
      </c>
    </row>
    <row r="1119" customFormat="false" ht="22.35" hidden="false" customHeight="false" outlineLevel="0" collapsed="false">
      <c r="A1119" s="76" t="s">
        <v>2063</v>
      </c>
      <c r="B1119" s="4" t="s">
        <v>3733</v>
      </c>
      <c r="C1119" s="4" t="s">
        <v>3734</v>
      </c>
      <c r="D1119" s="4" t="s">
        <v>2101</v>
      </c>
      <c r="E1119" s="70" t="s">
        <v>2193</v>
      </c>
      <c r="F1119" s="4" t="s">
        <v>2097</v>
      </c>
      <c r="G1119" s="71" t="s">
        <v>2194</v>
      </c>
      <c r="H1119" s="6" t="n">
        <v>80</v>
      </c>
      <c r="I1119" s="6" t="n">
        <v>0</v>
      </c>
      <c r="J1119" s="6" t="n">
        <v>0</v>
      </c>
      <c r="K1119" s="52" t="n">
        <v>0</v>
      </c>
      <c r="L1119" s="72" t="n">
        <v>17.9</v>
      </c>
      <c r="M1119" s="73" t="n">
        <v>62.5</v>
      </c>
      <c r="N1119" s="6" t="n">
        <v>2.946592</v>
      </c>
      <c r="O1119" s="5" t="n">
        <v>1.47</v>
      </c>
      <c r="P1119" s="6" t="n">
        <v>80</v>
      </c>
      <c r="Q1119" s="4" t="s">
        <v>2098</v>
      </c>
      <c r="R1119" s="4" t="s">
        <v>2195</v>
      </c>
      <c r="S1119" s="72" t="n">
        <v>0</v>
      </c>
      <c r="T1119" s="6" t="n">
        <v>200</v>
      </c>
      <c r="U1119" s="56" t="n">
        <f aca="false">I1119*O1119</f>
        <v>0</v>
      </c>
      <c r="V1119" s="56" t="n">
        <f aca="false">J1119*O1119</f>
        <v>0</v>
      </c>
      <c r="W1119" s="56" t="n">
        <f aca="false">((I1119+J1119)/2)*O1119</f>
        <v>0</v>
      </c>
      <c r="X1119" s="56" t="n">
        <f aca="false">H1119*O1119</f>
        <v>117.6</v>
      </c>
    </row>
    <row r="1120" customFormat="false" ht="22.35" hidden="false" customHeight="false" outlineLevel="0" collapsed="false">
      <c r="A1120" s="76" t="s">
        <v>2063</v>
      </c>
      <c r="B1120" s="7" t="s">
        <v>2330</v>
      </c>
      <c r="C1120" s="7" t="s">
        <v>2331</v>
      </c>
      <c r="D1120" s="7" t="s">
        <v>2095</v>
      </c>
      <c r="E1120" s="61" t="s">
        <v>2113</v>
      </c>
      <c r="F1120" s="7" t="s">
        <v>2097</v>
      </c>
      <c r="G1120" s="7" t="s">
        <v>2097</v>
      </c>
      <c r="H1120" s="9" t="n">
        <v>2783</v>
      </c>
      <c r="I1120" s="9" t="n">
        <v>7165.72</v>
      </c>
      <c r="J1120" s="9" t="n">
        <v>14331.44</v>
      </c>
      <c r="K1120" s="52" t="n">
        <v>14350</v>
      </c>
      <c r="L1120" s="58" t="n">
        <v>40.7</v>
      </c>
      <c r="M1120" s="59" t="n">
        <v>84.7</v>
      </c>
      <c r="N1120" s="9" t="n">
        <v>176.06202</v>
      </c>
      <c r="O1120" s="8" t="n">
        <v>2.7943</v>
      </c>
      <c r="P1120" s="9" t="n">
        <v>-11548.44</v>
      </c>
      <c r="Q1120" s="7" t="s">
        <v>2103</v>
      </c>
      <c r="R1120" s="7" t="s">
        <v>2099</v>
      </c>
      <c r="S1120" s="58" t="n">
        <v>1</v>
      </c>
      <c r="T1120" s="9" t="n">
        <v>50</v>
      </c>
      <c r="U1120" s="56" t="n">
        <f aca="false">I1120*O1120</f>
        <v>20023.171396</v>
      </c>
      <c r="V1120" s="56" t="n">
        <f aca="false">J1120*O1120</f>
        <v>40046.342792</v>
      </c>
      <c r="W1120" s="56" t="n">
        <f aca="false">((I1120+J1120)/2)*O1120</f>
        <v>30034.757094</v>
      </c>
      <c r="X1120" s="56" t="n">
        <f aca="false">H1120*O1120</f>
        <v>7776.5369</v>
      </c>
    </row>
    <row r="1121" customFormat="false" ht="32.8" hidden="false" customHeight="false" outlineLevel="0" collapsed="false">
      <c r="A1121" s="76" t="s">
        <v>2063</v>
      </c>
      <c r="B1121" s="62" t="s">
        <v>3735</v>
      </c>
      <c r="C1121" s="62" t="s">
        <v>1732</v>
      </c>
      <c r="D1121" s="62" t="s">
        <v>2101</v>
      </c>
      <c r="E1121" s="78" t="s">
        <v>3474</v>
      </c>
      <c r="F1121" s="64" t="s">
        <v>2170</v>
      </c>
      <c r="G1121" s="62" t="s">
        <v>2097</v>
      </c>
      <c r="H1121" s="65" t="n">
        <v>1323</v>
      </c>
      <c r="I1121" s="65" t="n">
        <v>852.14</v>
      </c>
      <c r="J1121" s="65" t="n">
        <v>2556.42</v>
      </c>
      <c r="K1121" s="66" t="n">
        <v>2600</v>
      </c>
      <c r="L1121" s="67" t="n">
        <v>24.6</v>
      </c>
      <c r="M1121" s="68" t="n">
        <v>85.2</v>
      </c>
      <c r="N1121" s="65" t="n">
        <v>56.764658</v>
      </c>
      <c r="O1121" s="69" t="n">
        <v>0.51</v>
      </c>
      <c r="P1121" s="65" t="n">
        <v>-1233.42</v>
      </c>
      <c r="Q1121" s="62" t="s">
        <v>2103</v>
      </c>
      <c r="R1121" s="62" t="s">
        <v>3560</v>
      </c>
      <c r="S1121" s="67" t="n">
        <v>0.5</v>
      </c>
      <c r="T1121" s="65" t="n">
        <v>50</v>
      </c>
      <c r="U1121" s="56" t="n">
        <f aca="false">I1121*O1121</f>
        <v>434.5914</v>
      </c>
      <c r="V1121" s="56" t="n">
        <f aca="false">J1121*O1121</f>
        <v>1303.7742</v>
      </c>
      <c r="W1121" s="56" t="n">
        <f aca="false">((I1121+J1121)/2)*O1121</f>
        <v>869.1828</v>
      </c>
      <c r="X1121" s="56" t="n">
        <f aca="false">H1121*O1121</f>
        <v>674.73</v>
      </c>
    </row>
    <row r="1122" customFormat="false" ht="22.35" hidden="false" customHeight="false" outlineLevel="0" collapsed="false">
      <c r="A1122" s="76" t="s">
        <v>2063</v>
      </c>
      <c r="B1122" s="7" t="s">
        <v>3736</v>
      </c>
      <c r="C1122" s="7" t="s">
        <v>2364</v>
      </c>
      <c r="D1122" s="7" t="s">
        <v>2095</v>
      </c>
      <c r="E1122" s="61" t="s">
        <v>2113</v>
      </c>
      <c r="F1122" s="7" t="s">
        <v>2097</v>
      </c>
      <c r="G1122" s="7" t="s">
        <v>2097</v>
      </c>
      <c r="H1122" s="9" t="n">
        <v>5010</v>
      </c>
      <c r="I1122" s="9" t="n">
        <v>9679.35</v>
      </c>
      <c r="J1122" s="9" t="n">
        <v>19358.7</v>
      </c>
      <c r="K1122" s="52" t="n">
        <v>19358.7</v>
      </c>
      <c r="L1122" s="58" t="n">
        <v>42.9</v>
      </c>
      <c r="M1122" s="59" t="n">
        <v>85.7</v>
      </c>
      <c r="N1122" s="9" t="n">
        <v>225.625928</v>
      </c>
      <c r="O1122" s="8" t="n">
        <v>2.7</v>
      </c>
      <c r="P1122" s="9" t="n">
        <v>-14348.7</v>
      </c>
      <c r="Q1122" s="7" t="s">
        <v>2103</v>
      </c>
      <c r="R1122" s="7" t="s">
        <v>2099</v>
      </c>
      <c r="S1122" s="58" t="n">
        <v>1</v>
      </c>
      <c r="T1122" s="9" t="n">
        <v>0</v>
      </c>
      <c r="U1122" s="56" t="n">
        <f aca="false">I1122*O1122</f>
        <v>26134.245</v>
      </c>
      <c r="V1122" s="56" t="n">
        <f aca="false">J1122*O1122</f>
        <v>52268.49</v>
      </c>
      <c r="W1122" s="56" t="n">
        <f aca="false">((I1122+J1122)/2)*O1122</f>
        <v>39201.3675</v>
      </c>
      <c r="X1122" s="56" t="n">
        <f aca="false">H1122*O1122</f>
        <v>13527</v>
      </c>
    </row>
    <row r="1123" customFormat="false" ht="22.35" hidden="false" customHeight="false" outlineLevel="0" collapsed="false">
      <c r="A1123" s="76" t="s">
        <v>2063</v>
      </c>
      <c r="B1123" s="49" t="s">
        <v>3737</v>
      </c>
      <c r="C1123" s="49" t="s">
        <v>2021</v>
      </c>
      <c r="D1123" s="49" t="s">
        <v>2101</v>
      </c>
      <c r="E1123" s="57" t="s">
        <v>2102</v>
      </c>
      <c r="F1123" s="49" t="s">
        <v>2097</v>
      </c>
      <c r="G1123" s="49" t="s">
        <v>2097</v>
      </c>
      <c r="H1123" s="51" t="n">
        <v>607</v>
      </c>
      <c r="I1123" s="51" t="n">
        <v>381.57</v>
      </c>
      <c r="J1123" s="51" t="n">
        <v>1144.72</v>
      </c>
      <c r="K1123" s="52" t="n">
        <v>2000</v>
      </c>
      <c r="L1123" s="53" t="n">
        <v>32.2</v>
      </c>
      <c r="M1123" s="54" t="n">
        <v>56.2</v>
      </c>
      <c r="N1123" s="51" t="n">
        <v>23.700214</v>
      </c>
      <c r="O1123" s="55" t="n">
        <v>1.097</v>
      </c>
      <c r="P1123" s="51" t="n">
        <v>-537.72</v>
      </c>
      <c r="Q1123" s="49" t="s">
        <v>2103</v>
      </c>
      <c r="R1123" s="49" t="s">
        <v>2099</v>
      </c>
      <c r="S1123" s="53" t="n">
        <v>0.5</v>
      </c>
      <c r="T1123" s="51" t="n">
        <v>1000</v>
      </c>
      <c r="U1123" s="56" t="n">
        <f aca="false">I1123*O1123</f>
        <v>418.58229</v>
      </c>
      <c r="V1123" s="56" t="n">
        <f aca="false">J1123*O1123</f>
        <v>1255.75784</v>
      </c>
      <c r="W1123" s="56" t="n">
        <f aca="false">((I1123+J1123)/2)*O1123</f>
        <v>837.170065</v>
      </c>
      <c r="X1123" s="56" t="n">
        <f aca="false">H1123*O1123</f>
        <v>665.879</v>
      </c>
    </row>
    <row r="1124" customFormat="false" ht="22.35" hidden="false" customHeight="false" outlineLevel="0" collapsed="false">
      <c r="A1124" s="76" t="s">
        <v>2063</v>
      </c>
      <c r="B1124" s="7" t="s">
        <v>2332</v>
      </c>
      <c r="C1124" s="7" t="s">
        <v>2333</v>
      </c>
      <c r="D1124" s="7" t="s">
        <v>2095</v>
      </c>
      <c r="E1124" s="61" t="s">
        <v>2113</v>
      </c>
      <c r="F1124" s="7" t="s">
        <v>2097</v>
      </c>
      <c r="G1124" s="7" t="s">
        <v>2097</v>
      </c>
      <c r="H1124" s="9" t="n">
        <v>9065</v>
      </c>
      <c r="I1124" s="9" t="n">
        <v>13511.74</v>
      </c>
      <c r="J1124" s="9" t="n">
        <v>27023.48</v>
      </c>
      <c r="K1124" s="52" t="n">
        <v>30250</v>
      </c>
      <c r="L1124" s="58" t="n">
        <v>30.9</v>
      </c>
      <c r="M1124" s="59" t="n">
        <v>77.2</v>
      </c>
      <c r="N1124" s="9" t="n">
        <v>437.273082</v>
      </c>
      <c r="O1124" s="8" t="n">
        <v>1.15</v>
      </c>
      <c r="P1124" s="9" t="n">
        <v>-17958.48</v>
      </c>
      <c r="Q1124" s="7" t="s">
        <v>2103</v>
      </c>
      <c r="R1124" s="7" t="s">
        <v>2099</v>
      </c>
      <c r="S1124" s="58" t="n">
        <v>1</v>
      </c>
      <c r="T1124" s="9" t="n">
        <v>6050</v>
      </c>
      <c r="U1124" s="56" t="n">
        <f aca="false">I1124*O1124</f>
        <v>15538.501</v>
      </c>
      <c r="V1124" s="56" t="n">
        <f aca="false">J1124*O1124</f>
        <v>31077.002</v>
      </c>
      <c r="W1124" s="56" t="n">
        <f aca="false">((I1124+J1124)/2)*O1124</f>
        <v>23307.7515</v>
      </c>
      <c r="X1124" s="56" t="n">
        <f aca="false">H1124*O1124</f>
        <v>10424.75</v>
      </c>
    </row>
    <row r="1125" customFormat="false" ht="22.35" hidden="false" customHeight="false" outlineLevel="0" collapsed="false">
      <c r="A1125" s="76" t="s">
        <v>2063</v>
      </c>
      <c r="B1125" s="49" t="s">
        <v>3738</v>
      </c>
      <c r="C1125" s="49" t="s">
        <v>1732</v>
      </c>
      <c r="D1125" s="49" t="s">
        <v>2101</v>
      </c>
      <c r="E1125" s="57" t="s">
        <v>2102</v>
      </c>
      <c r="F1125" s="49" t="s">
        <v>2097</v>
      </c>
      <c r="G1125" s="49" t="s">
        <v>2097</v>
      </c>
      <c r="H1125" s="51" t="n">
        <v>96</v>
      </c>
      <c r="I1125" s="51" t="n">
        <v>69.87</v>
      </c>
      <c r="J1125" s="51" t="n">
        <v>209.61</v>
      </c>
      <c r="K1125" s="52" t="n">
        <v>209.61</v>
      </c>
      <c r="L1125" s="53" t="n">
        <v>22.1</v>
      </c>
      <c r="M1125" s="54" t="n">
        <v>30</v>
      </c>
      <c r="N1125" s="51" t="n">
        <v>6.323047</v>
      </c>
      <c r="O1125" s="55" t="n">
        <v>0.4413</v>
      </c>
      <c r="P1125" s="51" t="n">
        <v>-113.61</v>
      </c>
      <c r="Q1125" s="49" t="s">
        <v>2103</v>
      </c>
      <c r="R1125" s="49" t="s">
        <v>2099</v>
      </c>
      <c r="S1125" s="53" t="n">
        <v>0.5</v>
      </c>
      <c r="T1125" s="51" t="n">
        <v>1</v>
      </c>
      <c r="U1125" s="56" t="n">
        <f aca="false">I1125*O1125</f>
        <v>30.833631</v>
      </c>
      <c r="V1125" s="56" t="n">
        <f aca="false">J1125*O1125</f>
        <v>92.500893</v>
      </c>
      <c r="W1125" s="56" t="n">
        <f aca="false">((I1125+J1125)/2)*O1125</f>
        <v>61.667262</v>
      </c>
      <c r="X1125" s="56" t="n">
        <f aca="false">H1125*O1125</f>
        <v>42.3648</v>
      </c>
    </row>
    <row r="1126" customFormat="false" ht="22.35" hidden="false" customHeight="false" outlineLevel="0" collapsed="false">
      <c r="A1126" s="76" t="s">
        <v>2063</v>
      </c>
      <c r="B1126" s="4" t="s">
        <v>3739</v>
      </c>
      <c r="C1126" s="4" t="s">
        <v>2356</v>
      </c>
      <c r="D1126" s="4" t="s">
        <v>2101</v>
      </c>
      <c r="E1126" s="70" t="s">
        <v>2193</v>
      </c>
      <c r="F1126" s="4" t="s">
        <v>2097</v>
      </c>
      <c r="G1126" s="71" t="s">
        <v>2194</v>
      </c>
      <c r="H1126" s="6" t="n">
        <v>40</v>
      </c>
      <c r="I1126" s="6" t="n">
        <v>0</v>
      </c>
      <c r="J1126" s="6" t="n">
        <v>0</v>
      </c>
      <c r="K1126" s="52" t="n">
        <v>0</v>
      </c>
      <c r="L1126" s="72" t="n">
        <v>21.8</v>
      </c>
      <c r="M1126" s="73" t="n">
        <v>100</v>
      </c>
      <c r="N1126" s="6" t="n">
        <v>0.500723</v>
      </c>
      <c r="O1126" s="5" t="n">
        <v>7.2982</v>
      </c>
      <c r="P1126" s="6" t="n">
        <v>40</v>
      </c>
      <c r="Q1126" s="4" t="s">
        <v>2098</v>
      </c>
      <c r="R1126" s="4" t="s">
        <v>2195</v>
      </c>
      <c r="S1126" s="72" t="n">
        <v>0</v>
      </c>
      <c r="T1126" s="6" t="n">
        <v>44</v>
      </c>
      <c r="U1126" s="56" t="n">
        <f aca="false">I1126*O1126</f>
        <v>0</v>
      </c>
      <c r="V1126" s="56" t="n">
        <f aca="false">J1126*O1126</f>
        <v>0</v>
      </c>
      <c r="W1126" s="56" t="n">
        <f aca="false">((I1126+J1126)/2)*O1126</f>
        <v>0</v>
      </c>
      <c r="X1126" s="56" t="n">
        <f aca="false">H1126*O1126</f>
        <v>291.928</v>
      </c>
    </row>
    <row r="1127" customFormat="false" ht="22.35" hidden="false" customHeight="false" outlineLevel="0" collapsed="false">
      <c r="A1127" s="76" t="s">
        <v>2063</v>
      </c>
      <c r="B1127" s="49" t="s">
        <v>2334</v>
      </c>
      <c r="C1127" s="49" t="s">
        <v>2327</v>
      </c>
      <c r="D1127" s="49" t="s">
        <v>2095</v>
      </c>
      <c r="E1127" s="61" t="s">
        <v>2113</v>
      </c>
      <c r="F1127" s="49" t="s">
        <v>2097</v>
      </c>
      <c r="G1127" s="49" t="s">
        <v>2097</v>
      </c>
      <c r="H1127" s="51" t="n">
        <v>388</v>
      </c>
      <c r="I1127" s="51" t="n">
        <v>461.61</v>
      </c>
      <c r="J1127" s="51" t="n">
        <v>923.22</v>
      </c>
      <c r="K1127" s="52" t="n">
        <v>2100</v>
      </c>
      <c r="L1127" s="53" t="n">
        <v>44.7</v>
      </c>
      <c r="M1127" s="54" t="n">
        <v>53.3</v>
      </c>
      <c r="N1127" s="51" t="n">
        <v>10.326904</v>
      </c>
      <c r="O1127" s="55" t="n">
        <v>0.952</v>
      </c>
      <c r="P1127" s="51" t="n">
        <v>-535.22</v>
      </c>
      <c r="Q1127" s="49" t="s">
        <v>2103</v>
      </c>
      <c r="R1127" s="49" t="s">
        <v>2099</v>
      </c>
      <c r="S1127" s="53" t="n">
        <v>1</v>
      </c>
      <c r="T1127" s="51" t="n">
        <v>2100</v>
      </c>
      <c r="U1127" s="56" t="n">
        <f aca="false">I1127*O1127</f>
        <v>439.45272</v>
      </c>
      <c r="V1127" s="56" t="n">
        <f aca="false">J1127*O1127</f>
        <v>878.90544</v>
      </c>
      <c r="W1127" s="56" t="n">
        <f aca="false">((I1127+J1127)/2)*O1127</f>
        <v>659.17908</v>
      </c>
      <c r="X1127" s="56" t="n">
        <f aca="false">H1127*O1127</f>
        <v>369.376</v>
      </c>
    </row>
    <row r="1128" customFormat="false" ht="22.35" hidden="false" customHeight="false" outlineLevel="0" collapsed="false">
      <c r="A1128" s="76" t="s">
        <v>2063</v>
      </c>
      <c r="B1128" s="7" t="s">
        <v>3740</v>
      </c>
      <c r="C1128" s="7" t="s">
        <v>3741</v>
      </c>
      <c r="D1128" s="7" t="s">
        <v>2101</v>
      </c>
      <c r="E1128" s="57" t="s">
        <v>2102</v>
      </c>
      <c r="F1128" s="7" t="s">
        <v>2097</v>
      </c>
      <c r="G1128" s="7" t="s">
        <v>2097</v>
      </c>
      <c r="H1128" s="9" t="n">
        <v>3982</v>
      </c>
      <c r="I1128" s="9" t="n">
        <v>1554.34</v>
      </c>
      <c r="J1128" s="9" t="n">
        <v>4663.03</v>
      </c>
      <c r="K1128" s="52" t="n">
        <v>7408</v>
      </c>
      <c r="L1128" s="58" t="n">
        <v>25.8</v>
      </c>
      <c r="M1128" s="59" t="n">
        <v>52.9</v>
      </c>
      <c r="N1128" s="9" t="n">
        <v>120.491783</v>
      </c>
      <c r="O1128" s="8" t="n">
        <v>0.4243</v>
      </c>
      <c r="P1128" s="9" t="n">
        <v>-681.03</v>
      </c>
      <c r="Q1128" s="7" t="s">
        <v>2103</v>
      </c>
      <c r="R1128" s="7" t="s">
        <v>2099</v>
      </c>
      <c r="S1128" s="58" t="n">
        <v>0.5</v>
      </c>
      <c r="T1128" s="9" t="n">
        <v>3704</v>
      </c>
      <c r="U1128" s="56" t="n">
        <f aca="false">I1128*O1128</f>
        <v>659.506462</v>
      </c>
      <c r="V1128" s="56" t="n">
        <f aca="false">J1128*O1128</f>
        <v>1978.523629</v>
      </c>
      <c r="W1128" s="56" t="n">
        <f aca="false">((I1128+J1128)/2)*O1128</f>
        <v>1319.0150455</v>
      </c>
      <c r="X1128" s="56" t="n">
        <f aca="false">H1128*O1128</f>
        <v>1689.5626</v>
      </c>
    </row>
    <row r="1129" customFormat="false" ht="22.35" hidden="false" customHeight="false" outlineLevel="0" collapsed="false">
      <c r="A1129" s="76" t="s">
        <v>2063</v>
      </c>
      <c r="B1129" s="49" t="s">
        <v>2335</v>
      </c>
      <c r="C1129" s="49" t="s">
        <v>2336</v>
      </c>
      <c r="D1129" s="49" t="s">
        <v>2109</v>
      </c>
      <c r="E1129" s="60" t="s">
        <v>2110</v>
      </c>
      <c r="F1129" s="49" t="s">
        <v>2097</v>
      </c>
      <c r="G1129" s="49" t="s">
        <v>2097</v>
      </c>
      <c r="H1129" s="51" t="n">
        <v>24012</v>
      </c>
      <c r="I1129" s="51" t="n">
        <v>47435.63</v>
      </c>
      <c r="J1129" s="51" t="n">
        <v>79059.38</v>
      </c>
      <c r="K1129" s="52" t="n">
        <v>79800</v>
      </c>
      <c r="L1129" s="53" t="n">
        <v>31.1</v>
      </c>
      <c r="M1129" s="54" t="n">
        <v>65.5</v>
      </c>
      <c r="N1129" s="51" t="n">
        <v>1016.840899</v>
      </c>
      <c r="O1129" s="55" t="n">
        <v>0.3424</v>
      </c>
      <c r="P1129" s="51" t="n">
        <v>-55047.38</v>
      </c>
      <c r="Q1129" s="49" t="s">
        <v>2103</v>
      </c>
      <c r="R1129" s="49" t="s">
        <v>2099</v>
      </c>
      <c r="S1129" s="53" t="n">
        <v>1.5</v>
      </c>
      <c r="T1129" s="51" t="n">
        <v>2100</v>
      </c>
      <c r="U1129" s="56" t="n">
        <f aca="false">I1129*O1129</f>
        <v>16241.959712</v>
      </c>
      <c r="V1129" s="56" t="n">
        <f aca="false">J1129*O1129</f>
        <v>27069.931712</v>
      </c>
      <c r="W1129" s="56" t="n">
        <f aca="false">((I1129+J1129)/2)*O1129</f>
        <v>21655.945712</v>
      </c>
      <c r="X1129" s="56" t="n">
        <f aca="false">H1129*O1129</f>
        <v>8221.7088</v>
      </c>
    </row>
    <row r="1130" customFormat="false" ht="22.35" hidden="false" customHeight="false" outlineLevel="0" collapsed="false">
      <c r="A1130" s="76" t="s">
        <v>2063</v>
      </c>
      <c r="B1130" s="7" t="s">
        <v>2337</v>
      </c>
      <c r="C1130" s="7" t="s">
        <v>2325</v>
      </c>
      <c r="D1130" s="7" t="s">
        <v>2095</v>
      </c>
      <c r="E1130" s="61" t="s">
        <v>2113</v>
      </c>
      <c r="F1130" s="7" t="s">
        <v>2097</v>
      </c>
      <c r="G1130" s="7" t="s">
        <v>2097</v>
      </c>
      <c r="H1130" s="9" t="n">
        <v>1244</v>
      </c>
      <c r="I1130" s="9" t="n">
        <v>1601.78</v>
      </c>
      <c r="J1130" s="9" t="n">
        <v>3203.56</v>
      </c>
      <c r="K1130" s="52" t="n">
        <v>3500</v>
      </c>
      <c r="L1130" s="58" t="n">
        <v>32.5</v>
      </c>
      <c r="M1130" s="59" t="n">
        <v>56.8</v>
      </c>
      <c r="N1130" s="9" t="n">
        <v>49.285438</v>
      </c>
      <c r="O1130" s="8" t="n">
        <v>0.451</v>
      </c>
      <c r="P1130" s="9" t="n">
        <v>-1959.56</v>
      </c>
      <c r="Q1130" s="7" t="s">
        <v>2103</v>
      </c>
      <c r="R1130" s="7" t="s">
        <v>2099</v>
      </c>
      <c r="S1130" s="58" t="n">
        <v>1</v>
      </c>
      <c r="T1130" s="9" t="n">
        <v>500</v>
      </c>
      <c r="U1130" s="56" t="n">
        <f aca="false">I1130*O1130</f>
        <v>722.40278</v>
      </c>
      <c r="V1130" s="56" t="n">
        <f aca="false">J1130*O1130</f>
        <v>1444.80556</v>
      </c>
      <c r="W1130" s="56" t="n">
        <f aca="false">((I1130+J1130)/2)*O1130</f>
        <v>1083.60417</v>
      </c>
      <c r="X1130" s="56" t="n">
        <f aca="false">H1130*O1130</f>
        <v>561.044</v>
      </c>
    </row>
    <row r="1131" customFormat="false" ht="22.35" hidden="false" customHeight="false" outlineLevel="0" collapsed="false">
      <c r="A1131" s="76" t="s">
        <v>2063</v>
      </c>
      <c r="B1131" s="49" t="s">
        <v>2338</v>
      </c>
      <c r="C1131" s="49" t="s">
        <v>2339</v>
      </c>
      <c r="D1131" s="49" t="s">
        <v>2095</v>
      </c>
      <c r="E1131" s="61" t="s">
        <v>2113</v>
      </c>
      <c r="F1131" s="49" t="s">
        <v>2097</v>
      </c>
      <c r="G1131" s="49" t="s">
        <v>2097</v>
      </c>
      <c r="H1131" s="51" t="n">
        <v>5836</v>
      </c>
      <c r="I1131" s="51" t="n">
        <v>5698.63</v>
      </c>
      <c r="J1131" s="51" t="n">
        <v>11397.26</v>
      </c>
      <c r="K1131" s="52" t="n">
        <v>11400</v>
      </c>
      <c r="L1131" s="53" t="n">
        <v>25.4</v>
      </c>
      <c r="M1131" s="54" t="n">
        <v>80</v>
      </c>
      <c r="N1131" s="51" t="n">
        <v>224.355622</v>
      </c>
      <c r="O1131" s="55" t="n">
        <v>0.8003</v>
      </c>
      <c r="P1131" s="51" t="n">
        <v>-5561.26</v>
      </c>
      <c r="Q1131" s="49" t="s">
        <v>2103</v>
      </c>
      <c r="R1131" s="49" t="s">
        <v>2099</v>
      </c>
      <c r="S1131" s="53" t="n">
        <v>1</v>
      </c>
      <c r="T1131" s="51" t="n">
        <v>100</v>
      </c>
      <c r="U1131" s="56" t="n">
        <f aca="false">I1131*O1131</f>
        <v>4560.613589</v>
      </c>
      <c r="V1131" s="56" t="n">
        <f aca="false">J1131*O1131</f>
        <v>9121.227178</v>
      </c>
      <c r="W1131" s="56" t="n">
        <f aca="false">((I1131+J1131)/2)*O1131</f>
        <v>6840.9203835</v>
      </c>
      <c r="X1131" s="56" t="n">
        <f aca="false">H1131*O1131</f>
        <v>4670.5508</v>
      </c>
    </row>
    <row r="1132" customFormat="false" ht="22.35" hidden="false" customHeight="false" outlineLevel="0" collapsed="false">
      <c r="A1132" s="76" t="s">
        <v>2063</v>
      </c>
      <c r="B1132" s="4" t="s">
        <v>3742</v>
      </c>
      <c r="C1132" s="4" t="s">
        <v>2336</v>
      </c>
      <c r="D1132" s="4" t="s">
        <v>2101</v>
      </c>
      <c r="E1132" s="70" t="s">
        <v>2193</v>
      </c>
      <c r="F1132" s="4" t="s">
        <v>2097</v>
      </c>
      <c r="G1132" s="71" t="s">
        <v>2194</v>
      </c>
      <c r="H1132" s="6" t="n">
        <v>88</v>
      </c>
      <c r="I1132" s="6" t="n">
        <v>0</v>
      </c>
      <c r="J1132" s="6" t="n">
        <v>0</v>
      </c>
      <c r="K1132" s="52" t="n">
        <v>0</v>
      </c>
      <c r="L1132" s="72" t="n">
        <v>12.1</v>
      </c>
      <c r="M1132" s="73" t="n">
        <v>75</v>
      </c>
      <c r="N1132" s="6" t="n">
        <v>3.043068</v>
      </c>
      <c r="O1132" s="5" t="n">
        <v>2.2408</v>
      </c>
      <c r="P1132" s="6" t="n">
        <v>88</v>
      </c>
      <c r="Q1132" s="4" t="s">
        <v>2098</v>
      </c>
      <c r="R1132" s="4" t="s">
        <v>2195</v>
      </c>
      <c r="S1132" s="72" t="n">
        <v>0</v>
      </c>
      <c r="T1132" s="6" t="n">
        <v>495</v>
      </c>
      <c r="U1132" s="56" t="n">
        <f aca="false">I1132*O1132</f>
        <v>0</v>
      </c>
      <c r="V1132" s="56" t="n">
        <f aca="false">J1132*O1132</f>
        <v>0</v>
      </c>
      <c r="W1132" s="56" t="n">
        <f aca="false">((I1132+J1132)/2)*O1132</f>
        <v>0</v>
      </c>
      <c r="X1132" s="56" t="n">
        <f aca="false">H1132*O1132</f>
        <v>197.1904</v>
      </c>
    </row>
    <row r="1133" customFormat="false" ht="22.35" hidden="false" customHeight="false" outlineLevel="0" collapsed="false">
      <c r="A1133" s="76" t="s">
        <v>2063</v>
      </c>
      <c r="B1133" s="49" t="s">
        <v>2340</v>
      </c>
      <c r="C1133" s="49" t="s">
        <v>2325</v>
      </c>
      <c r="D1133" s="49" t="s">
        <v>2109</v>
      </c>
      <c r="E1133" s="60" t="s">
        <v>2110</v>
      </c>
      <c r="F1133" s="49" t="s">
        <v>2097</v>
      </c>
      <c r="G1133" s="49" t="s">
        <v>2097</v>
      </c>
      <c r="H1133" s="51" t="n">
        <v>10112</v>
      </c>
      <c r="I1133" s="51" t="n">
        <v>19848.72</v>
      </c>
      <c r="J1133" s="51" t="n">
        <v>33081.2</v>
      </c>
      <c r="K1133" s="52" t="n">
        <v>35000</v>
      </c>
      <c r="L1133" s="53" t="n">
        <v>26.8</v>
      </c>
      <c r="M1133" s="54" t="n">
        <v>81</v>
      </c>
      <c r="N1133" s="51" t="n">
        <v>493.749203</v>
      </c>
      <c r="O1133" s="55" t="n">
        <v>0.54</v>
      </c>
      <c r="P1133" s="51" t="n">
        <v>-22969.2</v>
      </c>
      <c r="Q1133" s="49" t="s">
        <v>2103</v>
      </c>
      <c r="R1133" s="49" t="s">
        <v>2099</v>
      </c>
      <c r="S1133" s="53" t="n">
        <v>1.5</v>
      </c>
      <c r="T1133" s="51" t="n">
        <v>2500</v>
      </c>
      <c r="U1133" s="56" t="n">
        <f aca="false">I1133*O1133</f>
        <v>10718.3088</v>
      </c>
      <c r="V1133" s="56" t="n">
        <f aca="false">J1133*O1133</f>
        <v>17863.848</v>
      </c>
      <c r="W1133" s="56" t="n">
        <f aca="false">((I1133+J1133)/2)*O1133</f>
        <v>14291.0784</v>
      </c>
      <c r="X1133" s="56" t="n">
        <f aca="false">H1133*O1133</f>
        <v>5460.48</v>
      </c>
    </row>
    <row r="1134" customFormat="false" ht="22.35" hidden="false" customHeight="false" outlineLevel="0" collapsed="false">
      <c r="A1134" s="76" t="s">
        <v>2063</v>
      </c>
      <c r="B1134" s="7" t="s">
        <v>2341</v>
      </c>
      <c r="C1134" s="7" t="s">
        <v>1795</v>
      </c>
      <c r="D1134" s="7" t="s">
        <v>2095</v>
      </c>
      <c r="E1134" s="61" t="s">
        <v>2113</v>
      </c>
      <c r="F1134" s="7" t="s">
        <v>2097</v>
      </c>
      <c r="G1134" s="7" t="s">
        <v>2097</v>
      </c>
      <c r="H1134" s="9" t="n">
        <v>2973</v>
      </c>
      <c r="I1134" s="9" t="n">
        <v>6413.62</v>
      </c>
      <c r="J1134" s="9" t="n">
        <v>12827.24</v>
      </c>
      <c r="K1134" s="52" t="n">
        <v>15120</v>
      </c>
      <c r="L1134" s="58" t="n">
        <v>43.3</v>
      </c>
      <c r="M1134" s="59" t="n">
        <v>70.1</v>
      </c>
      <c r="N1134" s="9" t="n">
        <v>148.120471</v>
      </c>
      <c r="O1134" s="8" t="n">
        <v>5.6</v>
      </c>
      <c r="P1134" s="9" t="n">
        <v>-9854.24</v>
      </c>
      <c r="Q1134" s="7" t="s">
        <v>2103</v>
      </c>
      <c r="R1134" s="7" t="s">
        <v>2099</v>
      </c>
      <c r="S1134" s="58" t="n">
        <v>1</v>
      </c>
      <c r="T1134" s="9" t="n">
        <v>5040</v>
      </c>
      <c r="U1134" s="56" t="n">
        <f aca="false">I1134*O1134</f>
        <v>35916.272</v>
      </c>
      <c r="V1134" s="56" t="n">
        <f aca="false">J1134*O1134</f>
        <v>71832.544</v>
      </c>
      <c r="W1134" s="56" t="n">
        <f aca="false">((I1134+J1134)/2)*O1134</f>
        <v>53874.408</v>
      </c>
      <c r="X1134" s="56" t="n">
        <f aca="false">H1134*O1134</f>
        <v>16648.8</v>
      </c>
    </row>
    <row r="1135" customFormat="false" ht="22.35" hidden="false" customHeight="false" outlineLevel="0" collapsed="false">
      <c r="A1135" s="76" t="s">
        <v>2063</v>
      </c>
      <c r="B1135" s="49" t="s">
        <v>2344</v>
      </c>
      <c r="C1135" s="49" t="s">
        <v>2345</v>
      </c>
      <c r="D1135" s="49" t="s">
        <v>2109</v>
      </c>
      <c r="E1135" s="60" t="s">
        <v>2110</v>
      </c>
      <c r="F1135" s="49" t="s">
        <v>2097</v>
      </c>
      <c r="G1135" s="49" t="s">
        <v>2097</v>
      </c>
      <c r="H1135" s="51" t="n">
        <v>1539</v>
      </c>
      <c r="I1135" s="51" t="n">
        <v>6501.49</v>
      </c>
      <c r="J1135" s="51" t="n">
        <v>10835.82</v>
      </c>
      <c r="K1135" s="52" t="n">
        <v>11000</v>
      </c>
      <c r="L1135" s="53" t="n">
        <v>24</v>
      </c>
      <c r="M1135" s="54" t="n">
        <v>89.7</v>
      </c>
      <c r="N1135" s="51" t="n">
        <v>180.596875</v>
      </c>
      <c r="O1135" s="55" t="n">
        <v>1.359</v>
      </c>
      <c r="P1135" s="51" t="n">
        <v>-9296.82</v>
      </c>
      <c r="Q1135" s="49" t="s">
        <v>2103</v>
      </c>
      <c r="R1135" s="49" t="s">
        <v>2099</v>
      </c>
      <c r="S1135" s="53" t="n">
        <v>1.5</v>
      </c>
      <c r="T1135" s="51" t="n">
        <v>1000</v>
      </c>
      <c r="U1135" s="56" t="n">
        <f aca="false">I1135*O1135</f>
        <v>8835.52491</v>
      </c>
      <c r="V1135" s="56" t="n">
        <f aca="false">J1135*O1135</f>
        <v>14725.87938</v>
      </c>
      <c r="W1135" s="56" t="n">
        <f aca="false">((I1135+J1135)/2)*O1135</f>
        <v>11780.702145</v>
      </c>
      <c r="X1135" s="56" t="n">
        <f aca="false">H1135*O1135</f>
        <v>2091.501</v>
      </c>
    </row>
    <row r="1136" customFormat="false" ht="15" hidden="false" customHeight="false" outlineLevel="0" collapsed="false">
      <c r="A1136" s="76" t="s">
        <v>2063</v>
      </c>
      <c r="B1136" s="7" t="s">
        <v>2346</v>
      </c>
      <c r="C1136" s="7" t="s">
        <v>2336</v>
      </c>
      <c r="D1136" s="7" t="s">
        <v>2095</v>
      </c>
      <c r="E1136" s="50" t="s">
        <v>2096</v>
      </c>
      <c r="F1136" s="7" t="s">
        <v>2097</v>
      </c>
      <c r="G1136" s="7" t="s">
        <v>2097</v>
      </c>
      <c r="H1136" s="9" t="n">
        <v>885</v>
      </c>
      <c r="I1136" s="9" t="n">
        <v>285.07</v>
      </c>
      <c r="J1136" s="9" t="n">
        <v>570.14</v>
      </c>
      <c r="K1136" s="52" t="n">
        <v>570.14</v>
      </c>
      <c r="L1136" s="58" t="n">
        <v>29.6</v>
      </c>
      <c r="M1136" s="59" t="n">
        <v>81.2</v>
      </c>
      <c r="N1136" s="9" t="n">
        <v>9.63089</v>
      </c>
      <c r="O1136" s="8" t="n">
        <v>0.4533</v>
      </c>
      <c r="P1136" s="9" t="n">
        <v>314.86</v>
      </c>
      <c r="Q1136" s="7" t="s">
        <v>2098</v>
      </c>
      <c r="R1136" s="7" t="s">
        <v>2099</v>
      </c>
      <c r="S1136" s="58" t="n">
        <v>1</v>
      </c>
      <c r="T1136" s="9" t="n">
        <v>1</v>
      </c>
      <c r="U1136" s="56" t="n">
        <f aca="false">I1136*O1136</f>
        <v>129.222231</v>
      </c>
      <c r="V1136" s="56" t="n">
        <f aca="false">J1136*O1136</f>
        <v>258.444462</v>
      </c>
      <c r="W1136" s="56" t="n">
        <f aca="false">((I1136+J1136)/2)*O1136</f>
        <v>193.8333465</v>
      </c>
      <c r="X1136" s="56" t="n">
        <f aca="false">H1136*O1136</f>
        <v>401.1705</v>
      </c>
    </row>
    <row r="1137" customFormat="false" ht="22.35" hidden="false" customHeight="false" outlineLevel="0" collapsed="false">
      <c r="A1137" s="76" t="s">
        <v>2063</v>
      </c>
      <c r="B1137" s="49" t="s">
        <v>2347</v>
      </c>
      <c r="C1137" s="49" t="s">
        <v>1795</v>
      </c>
      <c r="D1137" s="49" t="s">
        <v>2101</v>
      </c>
      <c r="E1137" s="57" t="s">
        <v>2102</v>
      </c>
      <c r="F1137" s="49" t="s">
        <v>2097</v>
      </c>
      <c r="G1137" s="49" t="s">
        <v>2097</v>
      </c>
      <c r="H1137" s="51" t="n">
        <v>1102</v>
      </c>
      <c r="I1137" s="51" t="n">
        <v>658.55</v>
      </c>
      <c r="J1137" s="51" t="n">
        <v>1975.65</v>
      </c>
      <c r="K1137" s="52" t="n">
        <v>1980</v>
      </c>
      <c r="L1137" s="53" t="n">
        <v>25.4</v>
      </c>
      <c r="M1137" s="54" t="n">
        <v>75</v>
      </c>
      <c r="N1137" s="51" t="n">
        <v>51.854521</v>
      </c>
      <c r="O1137" s="55" t="n">
        <v>2.685</v>
      </c>
      <c r="P1137" s="51" t="n">
        <v>-873.65</v>
      </c>
      <c r="Q1137" s="49" t="s">
        <v>2103</v>
      </c>
      <c r="R1137" s="49" t="s">
        <v>2099</v>
      </c>
      <c r="S1137" s="53" t="n">
        <v>0.5</v>
      </c>
      <c r="T1137" s="51" t="n">
        <v>220</v>
      </c>
      <c r="U1137" s="56" t="n">
        <f aca="false">I1137*O1137</f>
        <v>1768.20675</v>
      </c>
      <c r="V1137" s="56" t="n">
        <f aca="false">J1137*O1137</f>
        <v>5304.62025</v>
      </c>
      <c r="W1137" s="56" t="n">
        <f aca="false">((I1137+J1137)/2)*O1137</f>
        <v>3536.4135</v>
      </c>
      <c r="X1137" s="56" t="n">
        <f aca="false">H1137*O1137</f>
        <v>2958.87</v>
      </c>
    </row>
    <row r="1138" customFormat="false" ht="22.35" hidden="false" customHeight="false" outlineLevel="0" collapsed="false">
      <c r="A1138" s="76" t="s">
        <v>2063</v>
      </c>
      <c r="B1138" s="7" t="s">
        <v>3743</v>
      </c>
      <c r="C1138" s="7" t="s">
        <v>2359</v>
      </c>
      <c r="D1138" s="7" t="s">
        <v>2095</v>
      </c>
      <c r="E1138" s="61" t="s">
        <v>2113</v>
      </c>
      <c r="F1138" s="7" t="s">
        <v>2097</v>
      </c>
      <c r="G1138" s="7" t="s">
        <v>2097</v>
      </c>
      <c r="H1138" s="9" t="n">
        <v>3817</v>
      </c>
      <c r="I1138" s="9" t="n">
        <v>4744.49</v>
      </c>
      <c r="J1138" s="9" t="n">
        <v>9488.98</v>
      </c>
      <c r="K1138" s="52" t="n">
        <v>9600</v>
      </c>
      <c r="L1138" s="58" t="n">
        <v>26.5</v>
      </c>
      <c r="M1138" s="59" t="n">
        <v>91.3</v>
      </c>
      <c r="N1138" s="9" t="n">
        <v>179.037452</v>
      </c>
      <c r="O1138" s="8" t="n">
        <v>0.79</v>
      </c>
      <c r="P1138" s="9" t="n">
        <v>-5671.98</v>
      </c>
      <c r="Q1138" s="7" t="s">
        <v>2103</v>
      </c>
      <c r="R1138" s="7" t="s">
        <v>2099</v>
      </c>
      <c r="S1138" s="58" t="n">
        <v>1</v>
      </c>
      <c r="T1138" s="9" t="n">
        <v>1200</v>
      </c>
      <c r="U1138" s="56" t="n">
        <f aca="false">I1138*O1138</f>
        <v>3748.1471</v>
      </c>
      <c r="V1138" s="56" t="n">
        <f aca="false">J1138*O1138</f>
        <v>7496.2942</v>
      </c>
      <c r="W1138" s="56" t="n">
        <f aca="false">((I1138+J1138)/2)*O1138</f>
        <v>5622.22065</v>
      </c>
      <c r="X1138" s="56" t="n">
        <f aca="false">H1138*O1138</f>
        <v>3015.43</v>
      </c>
    </row>
    <row r="1139" customFormat="false" ht="22.35" hidden="false" customHeight="false" outlineLevel="0" collapsed="false">
      <c r="A1139" s="76" t="s">
        <v>2063</v>
      </c>
      <c r="B1139" s="4" t="s">
        <v>3744</v>
      </c>
      <c r="C1139" s="4" t="s">
        <v>3745</v>
      </c>
      <c r="D1139" s="4" t="s">
        <v>2101</v>
      </c>
      <c r="E1139" s="70" t="s">
        <v>2193</v>
      </c>
      <c r="F1139" s="4" t="s">
        <v>2097</v>
      </c>
      <c r="G1139" s="71" t="s">
        <v>2194</v>
      </c>
      <c r="H1139" s="6" t="n">
        <v>117</v>
      </c>
      <c r="I1139" s="6" t="n">
        <v>0</v>
      </c>
      <c r="J1139" s="6" t="n">
        <v>0</v>
      </c>
      <c r="K1139" s="52" t="n">
        <v>0</v>
      </c>
      <c r="L1139" s="72" t="n">
        <v>11.9</v>
      </c>
      <c r="M1139" s="73" t="n">
        <v>73.9</v>
      </c>
      <c r="N1139" s="6" t="n">
        <v>3.811368</v>
      </c>
      <c r="O1139" s="5" t="n">
        <v>3.684</v>
      </c>
      <c r="P1139" s="6" t="n">
        <v>117</v>
      </c>
      <c r="Q1139" s="4" t="s">
        <v>2098</v>
      </c>
      <c r="R1139" s="4" t="s">
        <v>2195</v>
      </c>
      <c r="S1139" s="72" t="n">
        <v>0</v>
      </c>
      <c r="T1139" s="6" t="n">
        <v>20</v>
      </c>
      <c r="U1139" s="56" t="n">
        <f aca="false">I1139*O1139</f>
        <v>0</v>
      </c>
      <c r="V1139" s="56" t="n">
        <f aca="false">J1139*O1139</f>
        <v>0</v>
      </c>
      <c r="W1139" s="56" t="n">
        <f aca="false">((I1139+J1139)/2)*O1139</f>
        <v>0</v>
      </c>
      <c r="X1139" s="56" t="n">
        <f aca="false">H1139*O1139</f>
        <v>431.028</v>
      </c>
    </row>
    <row r="1140" customFormat="false" ht="22.35" hidden="false" customHeight="false" outlineLevel="0" collapsed="false">
      <c r="A1140" s="76" t="s">
        <v>2063</v>
      </c>
      <c r="B1140" s="7" t="s">
        <v>3746</v>
      </c>
      <c r="C1140" s="7" t="s">
        <v>1732</v>
      </c>
      <c r="D1140" s="7" t="s">
        <v>2095</v>
      </c>
      <c r="E1140" s="61" t="s">
        <v>2113</v>
      </c>
      <c r="F1140" s="7" t="s">
        <v>2097</v>
      </c>
      <c r="G1140" s="7" t="s">
        <v>2097</v>
      </c>
      <c r="H1140" s="9" t="n">
        <v>1096</v>
      </c>
      <c r="I1140" s="9" t="n">
        <v>2573.79</v>
      </c>
      <c r="J1140" s="9" t="n">
        <v>5147.58</v>
      </c>
      <c r="K1140" s="52" t="n">
        <v>5147.58</v>
      </c>
      <c r="L1140" s="58" t="n">
        <v>27.6</v>
      </c>
      <c r="M1140" s="59" t="n">
        <v>53.6</v>
      </c>
      <c r="N1140" s="9" t="n">
        <v>93.253106</v>
      </c>
      <c r="O1140" s="8" t="n">
        <v>0.269</v>
      </c>
      <c r="P1140" s="9" t="n">
        <v>-4051.58</v>
      </c>
      <c r="Q1140" s="7" t="s">
        <v>2103</v>
      </c>
      <c r="R1140" s="7" t="s">
        <v>2099</v>
      </c>
      <c r="S1140" s="58" t="n">
        <v>1</v>
      </c>
      <c r="T1140" s="9" t="n">
        <v>1</v>
      </c>
      <c r="U1140" s="56" t="n">
        <f aca="false">I1140*O1140</f>
        <v>692.34951</v>
      </c>
      <c r="V1140" s="56" t="n">
        <f aca="false">J1140*O1140</f>
        <v>1384.69902</v>
      </c>
      <c r="W1140" s="56" t="n">
        <f aca="false">((I1140+J1140)/2)*O1140</f>
        <v>1038.524265</v>
      </c>
      <c r="X1140" s="56" t="n">
        <f aca="false">H1140*O1140</f>
        <v>294.824</v>
      </c>
    </row>
    <row r="1141" customFormat="false" ht="22.35" hidden="false" customHeight="false" outlineLevel="0" collapsed="false">
      <c r="A1141" s="76" t="s">
        <v>2063</v>
      </c>
      <c r="B1141" s="49" t="s">
        <v>3747</v>
      </c>
      <c r="C1141" s="49" t="s">
        <v>3748</v>
      </c>
      <c r="D1141" s="49" t="s">
        <v>2101</v>
      </c>
      <c r="E1141" s="57" t="s">
        <v>2102</v>
      </c>
      <c r="F1141" s="49" t="s">
        <v>2097</v>
      </c>
      <c r="G1141" s="49" t="s">
        <v>2097</v>
      </c>
      <c r="H1141" s="51" t="n">
        <v>2421</v>
      </c>
      <c r="I1141" s="51" t="n">
        <v>1158.01</v>
      </c>
      <c r="J1141" s="51" t="n">
        <v>3474.03</v>
      </c>
      <c r="K1141" s="52" t="n">
        <v>5000</v>
      </c>
      <c r="L1141" s="53" t="n">
        <v>26</v>
      </c>
      <c r="M1141" s="54" t="n">
        <v>89.7</v>
      </c>
      <c r="N1141" s="51" t="n">
        <v>89.077738</v>
      </c>
      <c r="O1141" s="55" t="n">
        <v>0.247</v>
      </c>
      <c r="P1141" s="51" t="n">
        <v>-1053.03</v>
      </c>
      <c r="Q1141" s="49" t="s">
        <v>2103</v>
      </c>
      <c r="R1141" s="49" t="s">
        <v>2099</v>
      </c>
      <c r="S1141" s="53" t="n">
        <v>0.5</v>
      </c>
      <c r="T1141" s="51" t="n">
        <v>2500</v>
      </c>
      <c r="U1141" s="56" t="n">
        <f aca="false">I1141*O1141</f>
        <v>286.02847</v>
      </c>
      <c r="V1141" s="56" t="n">
        <f aca="false">J1141*O1141</f>
        <v>858.08541</v>
      </c>
      <c r="W1141" s="56" t="n">
        <f aca="false">((I1141+J1141)/2)*O1141</f>
        <v>572.05694</v>
      </c>
      <c r="X1141" s="56" t="n">
        <f aca="false">H1141*O1141</f>
        <v>597.987</v>
      </c>
    </row>
    <row r="1142" customFormat="false" ht="15" hidden="false" customHeight="false" outlineLevel="0" collapsed="false">
      <c r="A1142" s="76" t="s">
        <v>2063</v>
      </c>
      <c r="B1142" s="7" t="s">
        <v>2355</v>
      </c>
      <c r="C1142" s="7" t="s">
        <v>2356</v>
      </c>
      <c r="D1142" s="7" t="s">
        <v>2101</v>
      </c>
      <c r="E1142" s="50" t="s">
        <v>2096</v>
      </c>
      <c r="F1142" s="7" t="s">
        <v>2097</v>
      </c>
      <c r="G1142" s="7" t="s">
        <v>2097</v>
      </c>
      <c r="H1142" s="9" t="n">
        <v>88</v>
      </c>
      <c r="I1142" s="9" t="n">
        <v>20.2</v>
      </c>
      <c r="J1142" s="9" t="n">
        <v>60.61</v>
      </c>
      <c r="K1142" s="52" t="n">
        <v>60.61</v>
      </c>
      <c r="L1142" s="58" t="n">
        <v>19.8</v>
      </c>
      <c r="M1142" s="59" t="n">
        <v>81.8</v>
      </c>
      <c r="N1142" s="9" t="n">
        <v>2.040753</v>
      </c>
      <c r="O1142" s="8" t="n">
        <v>15.9026</v>
      </c>
      <c r="P1142" s="9" t="n">
        <v>27.39</v>
      </c>
      <c r="Q1142" s="7" t="s">
        <v>2098</v>
      </c>
      <c r="R1142" s="7" t="s">
        <v>2099</v>
      </c>
      <c r="S1142" s="58" t="n">
        <v>0.5</v>
      </c>
      <c r="T1142" s="9" t="n">
        <v>1</v>
      </c>
      <c r="U1142" s="56" t="n">
        <f aca="false">I1142*O1142</f>
        <v>321.23252</v>
      </c>
      <c r="V1142" s="56" t="n">
        <f aca="false">J1142*O1142</f>
        <v>963.856586</v>
      </c>
      <c r="W1142" s="56" t="n">
        <f aca="false">((I1142+J1142)/2)*O1142</f>
        <v>642.544553</v>
      </c>
      <c r="X1142" s="56" t="n">
        <f aca="false">H1142*O1142</f>
        <v>1399.4288</v>
      </c>
    </row>
    <row r="1143" customFormat="false" ht="22.35" hidden="false" customHeight="false" outlineLevel="0" collapsed="false">
      <c r="A1143" s="76" t="s">
        <v>2063</v>
      </c>
      <c r="B1143" s="49" t="s">
        <v>3749</v>
      </c>
      <c r="C1143" s="49" t="s">
        <v>2345</v>
      </c>
      <c r="D1143" s="49" t="s">
        <v>2101</v>
      </c>
      <c r="E1143" s="57" t="s">
        <v>2102</v>
      </c>
      <c r="F1143" s="49" t="s">
        <v>2097</v>
      </c>
      <c r="G1143" s="49" t="s">
        <v>2097</v>
      </c>
      <c r="H1143" s="51" t="n">
        <v>1168</v>
      </c>
      <c r="I1143" s="51" t="n">
        <v>569.51</v>
      </c>
      <c r="J1143" s="51" t="n">
        <v>1708.53</v>
      </c>
      <c r="K1143" s="52" t="n">
        <v>2100</v>
      </c>
      <c r="L1143" s="53" t="n">
        <v>24.9</v>
      </c>
      <c r="M1143" s="54" t="n">
        <v>66.7</v>
      </c>
      <c r="N1143" s="51" t="n">
        <v>45.743907</v>
      </c>
      <c r="O1143" s="55" t="n">
        <v>1.29</v>
      </c>
      <c r="P1143" s="51" t="n">
        <v>-540.53</v>
      </c>
      <c r="Q1143" s="49" t="s">
        <v>2103</v>
      </c>
      <c r="R1143" s="49" t="s">
        <v>2099</v>
      </c>
      <c r="S1143" s="53" t="n">
        <v>0.5</v>
      </c>
      <c r="T1143" s="51" t="n">
        <v>700</v>
      </c>
      <c r="U1143" s="56" t="n">
        <f aca="false">I1143*O1143</f>
        <v>734.6679</v>
      </c>
      <c r="V1143" s="56" t="n">
        <f aca="false">J1143*O1143</f>
        <v>2204.0037</v>
      </c>
      <c r="W1143" s="56" t="n">
        <f aca="false">((I1143+J1143)/2)*O1143</f>
        <v>1469.3358</v>
      </c>
      <c r="X1143" s="56" t="n">
        <f aca="false">H1143*O1143</f>
        <v>1506.72</v>
      </c>
    </row>
    <row r="1144" customFormat="false" ht="15" hidden="false" customHeight="false" outlineLevel="0" collapsed="false">
      <c r="A1144" s="76" t="s">
        <v>2063</v>
      </c>
      <c r="B1144" s="7" t="s">
        <v>3750</v>
      </c>
      <c r="C1144" s="7" t="s">
        <v>1795</v>
      </c>
      <c r="D1144" s="7" t="s">
        <v>2101</v>
      </c>
      <c r="E1144" s="50" t="s">
        <v>2096</v>
      </c>
      <c r="F1144" s="7" t="s">
        <v>2097</v>
      </c>
      <c r="G1144" s="7" t="s">
        <v>2097</v>
      </c>
      <c r="H1144" s="9" t="n">
        <v>80</v>
      </c>
      <c r="I1144" s="9" t="n">
        <v>8.22</v>
      </c>
      <c r="J1144" s="9" t="n">
        <v>24.66</v>
      </c>
      <c r="K1144" s="52" t="n">
        <v>60</v>
      </c>
      <c r="L1144" s="58" t="n">
        <v>13.5</v>
      </c>
      <c r="M1144" s="59" t="n">
        <v>53.8</v>
      </c>
      <c r="N1144" s="9" t="n">
        <v>1.21789</v>
      </c>
      <c r="O1144" s="8" t="n">
        <v>7.42</v>
      </c>
      <c r="P1144" s="9" t="n">
        <v>55.34</v>
      </c>
      <c r="Q1144" s="7" t="s">
        <v>2098</v>
      </c>
      <c r="R1144" s="7" t="s">
        <v>2099</v>
      </c>
      <c r="S1144" s="58" t="n">
        <v>0.5</v>
      </c>
      <c r="T1144" s="9" t="n">
        <v>60</v>
      </c>
      <c r="U1144" s="56" t="n">
        <f aca="false">I1144*O1144</f>
        <v>60.9924</v>
      </c>
      <c r="V1144" s="56" t="n">
        <f aca="false">J1144*O1144</f>
        <v>182.9772</v>
      </c>
      <c r="W1144" s="56" t="n">
        <f aca="false">((I1144+J1144)/2)*O1144</f>
        <v>121.9848</v>
      </c>
      <c r="X1144" s="56" t="n">
        <f aca="false">H1144*O1144</f>
        <v>593.6</v>
      </c>
    </row>
    <row r="1145" customFormat="false" ht="22.35" hidden="false" customHeight="false" outlineLevel="0" collapsed="false">
      <c r="A1145" s="76" t="s">
        <v>2063</v>
      </c>
      <c r="B1145" s="49" t="s">
        <v>3751</v>
      </c>
      <c r="C1145" s="49" t="s">
        <v>1795</v>
      </c>
      <c r="D1145" s="49" t="s">
        <v>2101</v>
      </c>
      <c r="E1145" s="57" t="s">
        <v>2102</v>
      </c>
      <c r="F1145" s="49" t="s">
        <v>2097</v>
      </c>
      <c r="G1145" s="49" t="s">
        <v>2097</v>
      </c>
      <c r="H1145" s="51" t="n">
        <v>80</v>
      </c>
      <c r="I1145" s="51" t="n">
        <v>55.3</v>
      </c>
      <c r="J1145" s="51" t="n">
        <v>165.89</v>
      </c>
      <c r="K1145" s="52" t="n">
        <v>165.89</v>
      </c>
      <c r="L1145" s="53" t="n">
        <v>19</v>
      </c>
      <c r="M1145" s="54" t="n">
        <v>0</v>
      </c>
      <c r="N1145" s="51" t="n">
        <v>5.820777</v>
      </c>
      <c r="O1145" s="55" t="n">
        <v>6.7</v>
      </c>
      <c r="P1145" s="51" t="n">
        <v>-85.89</v>
      </c>
      <c r="Q1145" s="49" t="s">
        <v>2103</v>
      </c>
      <c r="R1145" s="49" t="s">
        <v>2099</v>
      </c>
      <c r="S1145" s="53" t="n">
        <v>0.5</v>
      </c>
      <c r="T1145" s="51" t="n">
        <v>1</v>
      </c>
      <c r="U1145" s="56" t="n">
        <f aca="false">I1145*O1145</f>
        <v>370.51</v>
      </c>
      <c r="V1145" s="56" t="n">
        <f aca="false">J1145*O1145</f>
        <v>1111.463</v>
      </c>
      <c r="W1145" s="56" t="n">
        <f aca="false">((I1145+J1145)/2)*O1145</f>
        <v>740.9865</v>
      </c>
      <c r="X1145" s="56" t="n">
        <f aca="false">H1145*O1145</f>
        <v>536</v>
      </c>
    </row>
    <row r="1146" customFormat="false" ht="22.35" hidden="false" customHeight="false" outlineLevel="0" collapsed="false">
      <c r="A1146" s="76" t="s">
        <v>2063</v>
      </c>
      <c r="B1146" s="4" t="s">
        <v>3752</v>
      </c>
      <c r="C1146" s="4" t="s">
        <v>2356</v>
      </c>
      <c r="D1146" s="4" t="s">
        <v>2101</v>
      </c>
      <c r="E1146" s="70" t="s">
        <v>2193</v>
      </c>
      <c r="F1146" s="4" t="s">
        <v>2097</v>
      </c>
      <c r="G1146" s="71" t="s">
        <v>2194</v>
      </c>
      <c r="H1146" s="6" t="n">
        <v>40</v>
      </c>
      <c r="I1146" s="6" t="n">
        <v>0</v>
      </c>
      <c r="J1146" s="6" t="n">
        <v>0</v>
      </c>
      <c r="K1146" s="52" t="n">
        <v>0</v>
      </c>
      <c r="L1146" s="72" t="n">
        <v>12</v>
      </c>
      <c r="M1146" s="73" t="n">
        <v>100</v>
      </c>
      <c r="N1146" s="6" t="n">
        <v>0.079562</v>
      </c>
      <c r="O1146" s="5" t="n">
        <v>10.844</v>
      </c>
      <c r="P1146" s="6" t="n">
        <v>40</v>
      </c>
      <c r="Q1146" s="4" t="s">
        <v>2098</v>
      </c>
      <c r="R1146" s="4" t="s">
        <v>2195</v>
      </c>
      <c r="S1146" s="72" t="n">
        <v>0</v>
      </c>
      <c r="T1146" s="6" t="n">
        <v>30</v>
      </c>
      <c r="U1146" s="56" t="n">
        <f aca="false">I1146*O1146</f>
        <v>0</v>
      </c>
      <c r="V1146" s="56" t="n">
        <f aca="false">J1146*O1146</f>
        <v>0</v>
      </c>
      <c r="W1146" s="56" t="n">
        <f aca="false">((I1146+J1146)/2)*O1146</f>
        <v>0</v>
      </c>
      <c r="X1146" s="56" t="n">
        <f aca="false">H1146*O1146</f>
        <v>433.76</v>
      </c>
    </row>
    <row r="1147" customFormat="false" ht="22.35" hidden="false" customHeight="false" outlineLevel="0" collapsed="false">
      <c r="A1147" s="76" t="s">
        <v>2063</v>
      </c>
      <c r="B1147" s="49" t="s">
        <v>2357</v>
      </c>
      <c r="C1147" s="49" t="s">
        <v>2021</v>
      </c>
      <c r="D1147" s="49" t="s">
        <v>2095</v>
      </c>
      <c r="E1147" s="61" t="s">
        <v>2113</v>
      </c>
      <c r="F1147" s="49" t="s">
        <v>2097</v>
      </c>
      <c r="G1147" s="49" t="s">
        <v>2097</v>
      </c>
      <c r="H1147" s="51" t="n">
        <v>5755</v>
      </c>
      <c r="I1147" s="51" t="n">
        <v>8057.26</v>
      </c>
      <c r="J1147" s="51" t="n">
        <v>16114.52</v>
      </c>
      <c r="K1147" s="52" t="n">
        <v>17500</v>
      </c>
      <c r="L1147" s="53" t="n">
        <v>26.6</v>
      </c>
      <c r="M1147" s="54" t="n">
        <v>78.1</v>
      </c>
      <c r="N1147" s="51" t="n">
        <v>302.904596</v>
      </c>
      <c r="O1147" s="55" t="n">
        <v>0.629</v>
      </c>
      <c r="P1147" s="51" t="n">
        <v>-10359.52</v>
      </c>
      <c r="Q1147" s="49" t="s">
        <v>2103</v>
      </c>
      <c r="R1147" s="49" t="s">
        <v>2099</v>
      </c>
      <c r="S1147" s="53" t="n">
        <v>1</v>
      </c>
      <c r="T1147" s="51" t="n">
        <v>2500</v>
      </c>
      <c r="U1147" s="56" t="n">
        <f aca="false">I1147*O1147</f>
        <v>5068.01654</v>
      </c>
      <c r="V1147" s="56" t="n">
        <f aca="false">J1147*O1147</f>
        <v>10136.03308</v>
      </c>
      <c r="W1147" s="56" t="n">
        <f aca="false">((I1147+J1147)/2)*O1147</f>
        <v>7602.02481</v>
      </c>
      <c r="X1147" s="56" t="n">
        <f aca="false">H1147*O1147</f>
        <v>3619.895</v>
      </c>
    </row>
    <row r="1148" customFormat="false" ht="22.35" hidden="false" customHeight="false" outlineLevel="0" collapsed="false">
      <c r="A1148" s="76" t="s">
        <v>2063</v>
      </c>
      <c r="B1148" s="7" t="s">
        <v>2358</v>
      </c>
      <c r="C1148" s="7" t="s">
        <v>2359</v>
      </c>
      <c r="D1148" s="7" t="s">
        <v>2095</v>
      </c>
      <c r="E1148" s="61" t="s">
        <v>2113</v>
      </c>
      <c r="F1148" s="7" t="s">
        <v>2097</v>
      </c>
      <c r="G1148" s="7" t="s">
        <v>2097</v>
      </c>
      <c r="H1148" s="9" t="n">
        <v>7608</v>
      </c>
      <c r="I1148" s="9" t="n">
        <v>9515.04</v>
      </c>
      <c r="J1148" s="9" t="n">
        <v>19030.08</v>
      </c>
      <c r="K1148" s="52" t="n">
        <v>21000</v>
      </c>
      <c r="L1148" s="58" t="n">
        <v>28.6</v>
      </c>
      <c r="M1148" s="59" t="n">
        <v>82.3</v>
      </c>
      <c r="N1148" s="9" t="n">
        <v>332.693547</v>
      </c>
      <c r="O1148" s="8" t="n">
        <v>0.4906</v>
      </c>
      <c r="P1148" s="9" t="n">
        <v>-11422.08</v>
      </c>
      <c r="Q1148" s="7" t="s">
        <v>2103</v>
      </c>
      <c r="R1148" s="7" t="s">
        <v>2099</v>
      </c>
      <c r="S1148" s="58" t="n">
        <v>1</v>
      </c>
      <c r="T1148" s="9" t="n">
        <v>2100</v>
      </c>
      <c r="U1148" s="56" t="n">
        <f aca="false">I1148*O1148</f>
        <v>4668.078624</v>
      </c>
      <c r="V1148" s="56" t="n">
        <f aca="false">J1148*O1148</f>
        <v>9336.157248</v>
      </c>
      <c r="W1148" s="56" t="n">
        <f aca="false">((I1148+J1148)/2)*O1148</f>
        <v>7002.117936</v>
      </c>
      <c r="X1148" s="56" t="n">
        <f aca="false">H1148*O1148</f>
        <v>3732.4848</v>
      </c>
    </row>
    <row r="1149" customFormat="false" ht="22.35" hidden="false" customHeight="false" outlineLevel="0" collapsed="false">
      <c r="A1149" s="76" t="s">
        <v>2063</v>
      </c>
      <c r="B1149" s="49" t="s">
        <v>3753</v>
      </c>
      <c r="C1149" s="49" t="s">
        <v>2345</v>
      </c>
      <c r="D1149" s="49" t="s">
        <v>2095</v>
      </c>
      <c r="E1149" s="61" t="s">
        <v>2113</v>
      </c>
      <c r="F1149" s="49" t="s">
        <v>2097</v>
      </c>
      <c r="G1149" s="49" t="s">
        <v>2097</v>
      </c>
      <c r="H1149" s="51" t="n">
        <v>2978</v>
      </c>
      <c r="I1149" s="51" t="n">
        <v>2765.69</v>
      </c>
      <c r="J1149" s="51" t="n">
        <v>5531.38</v>
      </c>
      <c r="K1149" s="52" t="n">
        <v>5550</v>
      </c>
      <c r="L1149" s="53" t="n">
        <v>18.1</v>
      </c>
      <c r="M1149" s="54" t="n">
        <v>84.5</v>
      </c>
      <c r="N1149" s="51" t="n">
        <v>152.800395</v>
      </c>
      <c r="O1149" s="55" t="n">
        <v>1.95</v>
      </c>
      <c r="P1149" s="51" t="n">
        <v>-2553.38</v>
      </c>
      <c r="Q1149" s="49" t="s">
        <v>2103</v>
      </c>
      <c r="R1149" s="49" t="s">
        <v>2099</v>
      </c>
      <c r="S1149" s="53" t="n">
        <v>1</v>
      </c>
      <c r="T1149" s="51" t="n">
        <v>50</v>
      </c>
      <c r="U1149" s="56" t="n">
        <f aca="false">I1149*O1149</f>
        <v>5393.0955</v>
      </c>
      <c r="V1149" s="56" t="n">
        <f aca="false">J1149*O1149</f>
        <v>10786.191</v>
      </c>
      <c r="W1149" s="56" t="n">
        <f aca="false">((I1149+J1149)/2)*O1149</f>
        <v>8089.64325</v>
      </c>
      <c r="X1149" s="56" t="n">
        <f aca="false">H1149*O1149</f>
        <v>5807.1</v>
      </c>
    </row>
    <row r="1150" customFormat="false" ht="22.35" hidden="false" customHeight="false" outlineLevel="0" collapsed="false">
      <c r="A1150" s="76" t="s">
        <v>2063</v>
      </c>
      <c r="B1150" s="7" t="s">
        <v>3754</v>
      </c>
      <c r="C1150" s="7" t="s">
        <v>2366</v>
      </c>
      <c r="D1150" s="7" t="s">
        <v>2101</v>
      </c>
      <c r="E1150" s="57" t="s">
        <v>2102</v>
      </c>
      <c r="F1150" s="7" t="s">
        <v>2097</v>
      </c>
      <c r="G1150" s="7" t="s">
        <v>2097</v>
      </c>
      <c r="H1150" s="9" t="n">
        <v>1529</v>
      </c>
      <c r="I1150" s="9" t="n">
        <v>922.38</v>
      </c>
      <c r="J1150" s="9" t="n">
        <v>2767.15</v>
      </c>
      <c r="K1150" s="52" t="n">
        <v>4800</v>
      </c>
      <c r="L1150" s="58" t="n">
        <v>23.6</v>
      </c>
      <c r="M1150" s="59" t="n">
        <v>18.8</v>
      </c>
      <c r="N1150" s="9" t="n">
        <v>78.168178</v>
      </c>
      <c r="O1150" s="8" t="n">
        <v>0.1415</v>
      </c>
      <c r="P1150" s="9" t="n">
        <v>-1238.15</v>
      </c>
      <c r="Q1150" s="7" t="s">
        <v>2103</v>
      </c>
      <c r="R1150" s="7" t="s">
        <v>2099</v>
      </c>
      <c r="S1150" s="58" t="n">
        <v>0.5</v>
      </c>
      <c r="T1150" s="9" t="n">
        <v>2400</v>
      </c>
      <c r="U1150" s="56" t="n">
        <f aca="false">I1150*O1150</f>
        <v>130.51677</v>
      </c>
      <c r="V1150" s="56" t="n">
        <f aca="false">J1150*O1150</f>
        <v>391.551725</v>
      </c>
      <c r="W1150" s="56" t="n">
        <f aca="false">((I1150+J1150)/2)*O1150</f>
        <v>261.0342475</v>
      </c>
      <c r="X1150" s="56" t="n">
        <f aca="false">H1150*O1150</f>
        <v>216.3535</v>
      </c>
    </row>
    <row r="1151" customFormat="false" ht="22.35" hidden="false" customHeight="false" outlineLevel="0" collapsed="false">
      <c r="A1151" s="76" t="s">
        <v>2063</v>
      </c>
      <c r="B1151" s="49" t="s">
        <v>2362</v>
      </c>
      <c r="C1151" s="49" t="s">
        <v>1769</v>
      </c>
      <c r="D1151" s="49" t="s">
        <v>2095</v>
      </c>
      <c r="E1151" s="61" t="s">
        <v>2113</v>
      </c>
      <c r="F1151" s="49" t="s">
        <v>2097</v>
      </c>
      <c r="G1151" s="49" t="s">
        <v>2097</v>
      </c>
      <c r="H1151" s="51" t="n">
        <v>2433</v>
      </c>
      <c r="I1151" s="51" t="n">
        <v>2521.81</v>
      </c>
      <c r="J1151" s="51" t="n">
        <v>5043.62</v>
      </c>
      <c r="K1151" s="52" t="n">
        <v>6450</v>
      </c>
      <c r="L1151" s="53" t="n">
        <v>33.4</v>
      </c>
      <c r="M1151" s="54" t="n">
        <v>89.4</v>
      </c>
      <c r="N1151" s="51" t="n">
        <v>75.503351</v>
      </c>
      <c r="O1151" s="55" t="n">
        <v>0.68</v>
      </c>
      <c r="P1151" s="51" t="n">
        <v>-2610.62</v>
      </c>
      <c r="Q1151" s="49" t="s">
        <v>2103</v>
      </c>
      <c r="R1151" s="49" t="s">
        <v>2099</v>
      </c>
      <c r="S1151" s="53" t="n">
        <v>1</v>
      </c>
      <c r="T1151" s="51" t="n">
        <v>2150</v>
      </c>
      <c r="U1151" s="56" t="n">
        <f aca="false">I1151*O1151</f>
        <v>1714.8308</v>
      </c>
      <c r="V1151" s="56" t="n">
        <f aca="false">J1151*O1151</f>
        <v>3429.6616</v>
      </c>
      <c r="W1151" s="56" t="n">
        <f aca="false">((I1151+J1151)/2)*O1151</f>
        <v>2572.2462</v>
      </c>
      <c r="X1151" s="56" t="n">
        <f aca="false">H1151*O1151</f>
        <v>1654.44</v>
      </c>
    </row>
    <row r="1152" customFormat="false" ht="22.35" hidden="false" customHeight="false" outlineLevel="0" collapsed="false">
      <c r="A1152" s="76" t="s">
        <v>2063</v>
      </c>
      <c r="B1152" s="7" t="s">
        <v>3755</v>
      </c>
      <c r="C1152" s="7" t="s">
        <v>1833</v>
      </c>
      <c r="D1152" s="7" t="s">
        <v>2101</v>
      </c>
      <c r="E1152" s="57" t="s">
        <v>2102</v>
      </c>
      <c r="F1152" s="7" t="s">
        <v>2097</v>
      </c>
      <c r="G1152" s="7" t="s">
        <v>2097</v>
      </c>
      <c r="H1152" s="9" t="n">
        <v>2115</v>
      </c>
      <c r="I1152" s="9" t="n">
        <v>719</v>
      </c>
      <c r="J1152" s="9" t="n">
        <v>2157.01</v>
      </c>
      <c r="K1152" s="52" t="n">
        <v>3000</v>
      </c>
      <c r="L1152" s="58" t="n">
        <v>19.5</v>
      </c>
      <c r="M1152" s="59" t="n">
        <v>70.8</v>
      </c>
      <c r="N1152" s="9" t="n">
        <v>73.743988</v>
      </c>
      <c r="O1152" s="8" t="n">
        <v>1.015</v>
      </c>
      <c r="P1152" s="9" t="n">
        <v>-42.01</v>
      </c>
      <c r="Q1152" s="7" t="s">
        <v>2103</v>
      </c>
      <c r="R1152" s="7" t="s">
        <v>2099</v>
      </c>
      <c r="S1152" s="58" t="n">
        <v>0.5</v>
      </c>
      <c r="T1152" s="9" t="n">
        <v>1000</v>
      </c>
      <c r="U1152" s="56" t="n">
        <f aca="false">I1152*O1152</f>
        <v>729.785</v>
      </c>
      <c r="V1152" s="56" t="n">
        <f aca="false">J1152*O1152</f>
        <v>2189.36515</v>
      </c>
      <c r="W1152" s="56" t="n">
        <f aca="false">((I1152+J1152)/2)*O1152</f>
        <v>1459.575075</v>
      </c>
      <c r="X1152" s="56" t="n">
        <f aca="false">H1152*O1152</f>
        <v>2146.725</v>
      </c>
    </row>
    <row r="1153" customFormat="false" ht="22.35" hidden="false" customHeight="false" outlineLevel="0" collapsed="false">
      <c r="A1153" s="76" t="s">
        <v>2063</v>
      </c>
      <c r="B1153" s="49" t="s">
        <v>3756</v>
      </c>
      <c r="C1153" s="49" t="s">
        <v>3757</v>
      </c>
      <c r="D1153" s="49" t="s">
        <v>2101</v>
      </c>
      <c r="E1153" s="57" t="s">
        <v>2102</v>
      </c>
      <c r="F1153" s="49" t="s">
        <v>2097</v>
      </c>
      <c r="G1153" s="49" t="s">
        <v>2097</v>
      </c>
      <c r="H1153" s="51" t="n">
        <v>844</v>
      </c>
      <c r="I1153" s="51" t="n">
        <v>741.98</v>
      </c>
      <c r="J1153" s="51" t="n">
        <v>2225.94</v>
      </c>
      <c r="K1153" s="52" t="n">
        <v>2225.94</v>
      </c>
      <c r="L1153" s="53" t="n">
        <v>51.6</v>
      </c>
      <c r="M1153" s="54" t="n">
        <v>50</v>
      </c>
      <c r="N1153" s="51" t="n">
        <v>28.758945</v>
      </c>
      <c r="O1153" s="55" t="n">
        <v>0.6004</v>
      </c>
      <c r="P1153" s="51" t="n">
        <v>-1381.94</v>
      </c>
      <c r="Q1153" s="49" t="s">
        <v>2103</v>
      </c>
      <c r="R1153" s="49" t="s">
        <v>2099</v>
      </c>
      <c r="S1153" s="53" t="n">
        <v>0.5</v>
      </c>
      <c r="T1153" s="51" t="n">
        <v>1</v>
      </c>
      <c r="U1153" s="56" t="n">
        <f aca="false">I1153*O1153</f>
        <v>445.484792</v>
      </c>
      <c r="V1153" s="56" t="n">
        <f aca="false">J1153*O1153</f>
        <v>1336.454376</v>
      </c>
      <c r="W1153" s="56" t="n">
        <f aca="false">((I1153+J1153)/2)*O1153</f>
        <v>890.969584</v>
      </c>
      <c r="X1153" s="56" t="n">
        <f aca="false">H1153*O1153</f>
        <v>506.7376</v>
      </c>
    </row>
    <row r="1154" customFormat="false" ht="22.35" hidden="false" customHeight="false" outlineLevel="0" collapsed="false">
      <c r="A1154" s="76" t="s">
        <v>2063</v>
      </c>
      <c r="B1154" s="7" t="s">
        <v>3758</v>
      </c>
      <c r="C1154" s="7" t="s">
        <v>1769</v>
      </c>
      <c r="D1154" s="7" t="s">
        <v>2095</v>
      </c>
      <c r="E1154" s="61" t="s">
        <v>2113</v>
      </c>
      <c r="F1154" s="7" t="s">
        <v>2097</v>
      </c>
      <c r="G1154" s="7" t="s">
        <v>2097</v>
      </c>
      <c r="H1154" s="9" t="n">
        <v>2249</v>
      </c>
      <c r="I1154" s="9" t="n">
        <v>4620.09</v>
      </c>
      <c r="J1154" s="9" t="n">
        <v>9240.18</v>
      </c>
      <c r="K1154" s="52" t="n">
        <v>10500</v>
      </c>
      <c r="L1154" s="58" t="n">
        <v>29</v>
      </c>
      <c r="M1154" s="59" t="n">
        <v>94.1</v>
      </c>
      <c r="N1154" s="9" t="n">
        <v>159.313342</v>
      </c>
      <c r="O1154" s="8" t="n">
        <v>0.673</v>
      </c>
      <c r="P1154" s="9" t="n">
        <v>-6991.18</v>
      </c>
      <c r="Q1154" s="7" t="s">
        <v>2103</v>
      </c>
      <c r="R1154" s="7" t="s">
        <v>2099</v>
      </c>
      <c r="S1154" s="58" t="n">
        <v>1</v>
      </c>
      <c r="T1154" s="9" t="n">
        <v>1500</v>
      </c>
      <c r="U1154" s="56" t="n">
        <f aca="false">I1154*O1154</f>
        <v>3109.32057</v>
      </c>
      <c r="V1154" s="56" t="n">
        <f aca="false">J1154*O1154</f>
        <v>6218.64114</v>
      </c>
      <c r="W1154" s="56" t="n">
        <f aca="false">((I1154+J1154)/2)*O1154</f>
        <v>4663.980855</v>
      </c>
      <c r="X1154" s="56" t="n">
        <f aca="false">H1154*O1154</f>
        <v>1513.577</v>
      </c>
    </row>
    <row r="1155" customFormat="false" ht="22.35" hidden="false" customHeight="false" outlineLevel="0" collapsed="false">
      <c r="A1155" s="76" t="s">
        <v>2063</v>
      </c>
      <c r="B1155" s="4" t="s">
        <v>3759</v>
      </c>
      <c r="C1155" s="4" t="s">
        <v>1683</v>
      </c>
      <c r="D1155" s="4" t="s">
        <v>2101</v>
      </c>
      <c r="E1155" s="70" t="s">
        <v>2193</v>
      </c>
      <c r="F1155" s="4" t="s">
        <v>2097</v>
      </c>
      <c r="G1155" s="71" t="s">
        <v>2194</v>
      </c>
      <c r="H1155" s="6" t="n">
        <v>84</v>
      </c>
      <c r="I1155" s="6" t="n">
        <v>0</v>
      </c>
      <c r="J1155" s="6" t="n">
        <v>0</v>
      </c>
      <c r="K1155" s="52" t="n">
        <v>0</v>
      </c>
      <c r="L1155" s="72" t="n">
        <v>18</v>
      </c>
      <c r="M1155" s="73" t="n">
        <v>62.5</v>
      </c>
      <c r="N1155" s="6" t="n">
        <v>3.346329</v>
      </c>
      <c r="O1155" s="5" t="n">
        <v>5.03</v>
      </c>
      <c r="P1155" s="6" t="n">
        <v>84</v>
      </c>
      <c r="Q1155" s="4" t="s">
        <v>2098</v>
      </c>
      <c r="R1155" s="4" t="s">
        <v>2195</v>
      </c>
      <c r="S1155" s="72" t="n">
        <v>0</v>
      </c>
      <c r="T1155" s="6" t="n">
        <v>440</v>
      </c>
      <c r="U1155" s="56" t="n">
        <f aca="false">I1155*O1155</f>
        <v>0</v>
      </c>
      <c r="V1155" s="56" t="n">
        <f aca="false">J1155*O1155</f>
        <v>0</v>
      </c>
      <c r="W1155" s="56" t="n">
        <f aca="false">((I1155+J1155)/2)*O1155</f>
        <v>0</v>
      </c>
      <c r="X1155" s="56" t="n">
        <f aca="false">H1155*O1155</f>
        <v>422.52</v>
      </c>
    </row>
    <row r="1156" customFormat="false" ht="22.35" hidden="false" customHeight="false" outlineLevel="0" collapsed="false">
      <c r="A1156" s="76" t="s">
        <v>2063</v>
      </c>
      <c r="B1156" s="7" t="s">
        <v>2363</v>
      </c>
      <c r="C1156" s="7" t="s">
        <v>2364</v>
      </c>
      <c r="D1156" s="7" t="s">
        <v>2095</v>
      </c>
      <c r="E1156" s="61" t="s">
        <v>2113</v>
      </c>
      <c r="F1156" s="7" t="s">
        <v>2097</v>
      </c>
      <c r="G1156" s="7" t="s">
        <v>2097</v>
      </c>
      <c r="H1156" s="9" t="n">
        <v>2470</v>
      </c>
      <c r="I1156" s="9" t="n">
        <v>13142.58</v>
      </c>
      <c r="J1156" s="9" t="n">
        <v>26285.16</v>
      </c>
      <c r="K1156" s="52" t="n">
        <v>26285.16</v>
      </c>
      <c r="L1156" s="58" t="n">
        <v>132.6</v>
      </c>
      <c r="M1156" s="59" t="n">
        <v>68.5</v>
      </c>
      <c r="N1156" s="9" t="n">
        <v>99.114479</v>
      </c>
      <c r="O1156" s="8" t="n">
        <v>2.78</v>
      </c>
      <c r="P1156" s="9" t="n">
        <v>-23815.16</v>
      </c>
      <c r="Q1156" s="7" t="s">
        <v>2103</v>
      </c>
      <c r="R1156" s="7" t="s">
        <v>2099</v>
      </c>
      <c r="S1156" s="58" t="n">
        <v>1</v>
      </c>
      <c r="T1156" s="9" t="n">
        <v>1</v>
      </c>
      <c r="U1156" s="56" t="n">
        <f aca="false">I1156*O1156</f>
        <v>36536.3724</v>
      </c>
      <c r="V1156" s="56" t="n">
        <f aca="false">J1156*O1156</f>
        <v>73072.7448</v>
      </c>
      <c r="W1156" s="56" t="n">
        <f aca="false">((I1156+J1156)/2)*O1156</f>
        <v>54804.5586</v>
      </c>
      <c r="X1156" s="56" t="n">
        <f aca="false">H1156*O1156</f>
        <v>6866.6</v>
      </c>
    </row>
    <row r="1157" customFormat="false" ht="22.35" hidden="false" customHeight="false" outlineLevel="0" collapsed="false">
      <c r="A1157" s="76" t="s">
        <v>2063</v>
      </c>
      <c r="B1157" s="49" t="s">
        <v>2365</v>
      </c>
      <c r="C1157" s="49" t="s">
        <v>2366</v>
      </c>
      <c r="D1157" s="49" t="s">
        <v>2109</v>
      </c>
      <c r="E1157" s="60" t="s">
        <v>2110</v>
      </c>
      <c r="F1157" s="49" t="s">
        <v>2097</v>
      </c>
      <c r="G1157" s="49" t="s">
        <v>2097</v>
      </c>
      <c r="H1157" s="51" t="n">
        <v>29602</v>
      </c>
      <c r="I1157" s="51" t="n">
        <v>90040.24</v>
      </c>
      <c r="J1157" s="51" t="n">
        <v>150067.07</v>
      </c>
      <c r="K1157" s="52" t="n">
        <v>178750</v>
      </c>
      <c r="L1157" s="53" t="n">
        <v>44.8</v>
      </c>
      <c r="M1157" s="54" t="n">
        <v>59.4</v>
      </c>
      <c r="N1157" s="51" t="n">
        <v>1339.884525</v>
      </c>
      <c r="O1157" s="55" t="n">
        <v>0.1212</v>
      </c>
      <c r="P1157" s="51" t="n">
        <v>-120465.07</v>
      </c>
      <c r="Q1157" s="49" t="s">
        <v>2103</v>
      </c>
      <c r="R1157" s="49" t="s">
        <v>2099</v>
      </c>
      <c r="S1157" s="53" t="n">
        <v>1.5</v>
      </c>
      <c r="T1157" s="51" t="n">
        <v>35750</v>
      </c>
      <c r="U1157" s="56" t="n">
        <f aca="false">I1157*O1157</f>
        <v>10912.877088</v>
      </c>
      <c r="V1157" s="56" t="n">
        <f aca="false">J1157*O1157</f>
        <v>18188.128884</v>
      </c>
      <c r="W1157" s="56" t="n">
        <f aca="false">((I1157+J1157)/2)*O1157</f>
        <v>14550.502986</v>
      </c>
      <c r="X1157" s="56" t="n">
        <f aca="false">H1157*O1157</f>
        <v>3587.7624</v>
      </c>
    </row>
    <row r="1158" customFormat="false" ht="22.35" hidden="false" customHeight="false" outlineLevel="0" collapsed="false">
      <c r="A1158" s="76" t="s">
        <v>2063</v>
      </c>
      <c r="B1158" s="4" t="s">
        <v>3760</v>
      </c>
      <c r="C1158" s="4" t="s">
        <v>1775</v>
      </c>
      <c r="D1158" s="4" t="s">
        <v>2101</v>
      </c>
      <c r="E1158" s="70" t="s">
        <v>2193</v>
      </c>
      <c r="F1158" s="4" t="s">
        <v>2097</v>
      </c>
      <c r="G1158" s="71" t="s">
        <v>2194</v>
      </c>
      <c r="H1158" s="6" t="n">
        <v>40</v>
      </c>
      <c r="I1158" s="6" t="n">
        <v>0</v>
      </c>
      <c r="J1158" s="6" t="n">
        <v>0</v>
      </c>
      <c r="K1158" s="52" t="n">
        <v>0</v>
      </c>
      <c r="L1158" s="72" t="n">
        <v>44</v>
      </c>
      <c r="M1158" s="73" t="n">
        <v>0</v>
      </c>
      <c r="N1158" s="6" t="n">
        <v>0.570425</v>
      </c>
      <c r="O1158" s="5" t="n">
        <v>1.494</v>
      </c>
      <c r="P1158" s="6" t="n">
        <v>40</v>
      </c>
      <c r="Q1158" s="4" t="s">
        <v>2098</v>
      </c>
      <c r="R1158" s="4" t="s">
        <v>2195</v>
      </c>
      <c r="S1158" s="72" t="n">
        <v>0</v>
      </c>
      <c r="T1158" s="6" t="n">
        <v>1</v>
      </c>
      <c r="U1158" s="56" t="n">
        <f aca="false">I1158*O1158</f>
        <v>0</v>
      </c>
      <c r="V1158" s="56" t="n">
        <f aca="false">J1158*O1158</f>
        <v>0</v>
      </c>
      <c r="W1158" s="56" t="n">
        <f aca="false">((I1158+J1158)/2)*O1158</f>
        <v>0</v>
      </c>
      <c r="X1158" s="56" t="n">
        <f aca="false">H1158*O1158</f>
        <v>59.76</v>
      </c>
    </row>
    <row r="1159" customFormat="false" ht="22.35" hidden="false" customHeight="false" outlineLevel="0" collapsed="false">
      <c r="A1159" s="76" t="s">
        <v>2063</v>
      </c>
      <c r="B1159" s="49" t="s">
        <v>3761</v>
      </c>
      <c r="C1159" s="49" t="s">
        <v>3762</v>
      </c>
      <c r="D1159" s="49" t="s">
        <v>2101</v>
      </c>
      <c r="E1159" s="57" t="s">
        <v>2102</v>
      </c>
      <c r="F1159" s="49" t="s">
        <v>2097</v>
      </c>
      <c r="G1159" s="49" t="s">
        <v>2097</v>
      </c>
      <c r="H1159" s="51" t="n">
        <v>671</v>
      </c>
      <c r="I1159" s="51" t="n">
        <v>264.77</v>
      </c>
      <c r="J1159" s="51" t="n">
        <v>794.31</v>
      </c>
      <c r="K1159" s="52" t="n">
        <v>794.31</v>
      </c>
      <c r="L1159" s="53" t="n">
        <v>23</v>
      </c>
      <c r="M1159" s="54" t="n">
        <v>50</v>
      </c>
      <c r="N1159" s="51" t="n">
        <v>23.02337</v>
      </c>
      <c r="O1159" s="55" t="n">
        <v>0.1761</v>
      </c>
      <c r="P1159" s="51" t="n">
        <v>-123.31</v>
      </c>
      <c r="Q1159" s="49" t="s">
        <v>2103</v>
      </c>
      <c r="R1159" s="49" t="s">
        <v>2099</v>
      </c>
      <c r="S1159" s="53" t="n">
        <v>0.5</v>
      </c>
      <c r="T1159" s="51" t="n">
        <v>1</v>
      </c>
      <c r="U1159" s="56" t="n">
        <f aca="false">I1159*O1159</f>
        <v>46.625997</v>
      </c>
      <c r="V1159" s="56" t="n">
        <f aca="false">J1159*O1159</f>
        <v>139.877991</v>
      </c>
      <c r="W1159" s="56" t="n">
        <f aca="false">((I1159+J1159)/2)*O1159</f>
        <v>93.251994</v>
      </c>
      <c r="X1159" s="56" t="n">
        <f aca="false">H1159*O1159</f>
        <v>118.1631</v>
      </c>
    </row>
    <row r="1160" customFormat="false" ht="22.35" hidden="false" customHeight="false" outlineLevel="0" collapsed="false">
      <c r="A1160" s="76" t="s">
        <v>2063</v>
      </c>
      <c r="B1160" s="7" t="s">
        <v>3763</v>
      </c>
      <c r="C1160" s="7" t="s">
        <v>3764</v>
      </c>
      <c r="D1160" s="7" t="s">
        <v>2101</v>
      </c>
      <c r="E1160" s="57" t="s">
        <v>2102</v>
      </c>
      <c r="F1160" s="7" t="s">
        <v>2097</v>
      </c>
      <c r="G1160" s="7" t="s">
        <v>2097</v>
      </c>
      <c r="H1160" s="9" t="n">
        <v>88</v>
      </c>
      <c r="I1160" s="9" t="n">
        <v>36.5</v>
      </c>
      <c r="J1160" s="9" t="n">
        <v>109.5</v>
      </c>
      <c r="K1160" s="52" t="n">
        <v>150</v>
      </c>
      <c r="L1160" s="58" t="n">
        <v>20.6</v>
      </c>
      <c r="M1160" s="59" t="n">
        <v>88.9</v>
      </c>
      <c r="N1160" s="9" t="n">
        <v>3.54363</v>
      </c>
      <c r="O1160" s="8" t="n">
        <v>0.97</v>
      </c>
      <c r="P1160" s="9" t="n">
        <v>-21.5</v>
      </c>
      <c r="Q1160" s="7" t="s">
        <v>2103</v>
      </c>
      <c r="R1160" s="7" t="s">
        <v>2099</v>
      </c>
      <c r="S1160" s="58" t="n">
        <v>0.5</v>
      </c>
      <c r="T1160" s="9" t="n">
        <v>50</v>
      </c>
      <c r="U1160" s="56" t="n">
        <f aca="false">I1160*O1160</f>
        <v>35.405</v>
      </c>
      <c r="V1160" s="56" t="n">
        <f aca="false">J1160*O1160</f>
        <v>106.215</v>
      </c>
      <c r="W1160" s="56" t="n">
        <f aca="false">((I1160+J1160)/2)*O1160</f>
        <v>70.81</v>
      </c>
      <c r="X1160" s="56" t="n">
        <f aca="false">H1160*O1160</f>
        <v>85.36</v>
      </c>
    </row>
    <row r="1161" customFormat="false" ht="15" hidden="false" customHeight="false" outlineLevel="0" collapsed="false">
      <c r="A1161" s="76" t="s">
        <v>2063</v>
      </c>
      <c r="B1161" s="49" t="s">
        <v>3765</v>
      </c>
      <c r="C1161" s="49" t="s">
        <v>3766</v>
      </c>
      <c r="D1161" s="49" t="s">
        <v>2101</v>
      </c>
      <c r="E1161" s="50" t="s">
        <v>2096</v>
      </c>
      <c r="F1161" s="49" t="s">
        <v>2097</v>
      </c>
      <c r="G1161" s="49" t="s">
        <v>2097</v>
      </c>
      <c r="H1161" s="51" t="n">
        <v>265</v>
      </c>
      <c r="I1161" s="51" t="n">
        <v>52.14</v>
      </c>
      <c r="J1161" s="51" t="n">
        <v>156.41</v>
      </c>
      <c r="K1161" s="52" t="n">
        <v>200</v>
      </c>
      <c r="L1161" s="53" t="n">
        <v>15.7</v>
      </c>
      <c r="M1161" s="54" t="n">
        <v>66.7</v>
      </c>
      <c r="N1161" s="51" t="n">
        <v>6.641562</v>
      </c>
      <c r="O1161" s="55" t="n">
        <v>2.31</v>
      </c>
      <c r="P1161" s="51" t="n">
        <v>108.59</v>
      </c>
      <c r="Q1161" s="49" t="s">
        <v>2098</v>
      </c>
      <c r="R1161" s="49" t="s">
        <v>2099</v>
      </c>
      <c r="S1161" s="53" t="n">
        <v>0.5</v>
      </c>
      <c r="T1161" s="51" t="n">
        <v>50</v>
      </c>
      <c r="U1161" s="56" t="n">
        <f aca="false">I1161*O1161</f>
        <v>120.4434</v>
      </c>
      <c r="V1161" s="56" t="n">
        <f aca="false">J1161*O1161</f>
        <v>361.3071</v>
      </c>
      <c r="W1161" s="56" t="n">
        <f aca="false">((I1161+J1161)/2)*O1161</f>
        <v>240.87525</v>
      </c>
      <c r="X1161" s="56" t="n">
        <f aca="false">H1161*O1161</f>
        <v>612.15</v>
      </c>
    </row>
    <row r="1162" customFormat="false" ht="22.35" hidden="false" customHeight="false" outlineLevel="0" collapsed="false">
      <c r="A1162" s="76" t="s">
        <v>2063</v>
      </c>
      <c r="B1162" s="7" t="s">
        <v>3767</v>
      </c>
      <c r="C1162" s="7" t="s">
        <v>2343</v>
      </c>
      <c r="D1162" s="7" t="s">
        <v>2101</v>
      </c>
      <c r="E1162" s="57" t="s">
        <v>2102</v>
      </c>
      <c r="F1162" s="7" t="s">
        <v>2097</v>
      </c>
      <c r="G1162" s="7" t="s">
        <v>2097</v>
      </c>
      <c r="H1162" s="9" t="n">
        <v>256</v>
      </c>
      <c r="I1162" s="9" t="n">
        <v>265.05</v>
      </c>
      <c r="J1162" s="9" t="n">
        <v>795.15</v>
      </c>
      <c r="K1162" s="52" t="n">
        <v>795.15</v>
      </c>
      <c r="L1162" s="58" t="n">
        <v>80</v>
      </c>
      <c r="M1162" s="59" t="n">
        <v>33.3</v>
      </c>
      <c r="N1162" s="9" t="n">
        <v>6.62626</v>
      </c>
      <c r="O1162" s="8" t="n">
        <v>1.43</v>
      </c>
      <c r="P1162" s="9" t="n">
        <v>-539.15</v>
      </c>
      <c r="Q1162" s="7" t="s">
        <v>2103</v>
      </c>
      <c r="R1162" s="7" t="s">
        <v>2099</v>
      </c>
      <c r="S1162" s="58" t="n">
        <v>0.5</v>
      </c>
      <c r="T1162" s="9" t="n">
        <v>1</v>
      </c>
      <c r="U1162" s="56" t="n">
        <f aca="false">I1162*O1162</f>
        <v>379.0215</v>
      </c>
      <c r="V1162" s="56" t="n">
        <f aca="false">J1162*O1162</f>
        <v>1137.0645</v>
      </c>
      <c r="W1162" s="56" t="n">
        <f aca="false">((I1162+J1162)/2)*O1162</f>
        <v>758.043</v>
      </c>
      <c r="X1162" s="56" t="n">
        <f aca="false">H1162*O1162</f>
        <v>366.08</v>
      </c>
    </row>
    <row r="1163" customFormat="false" ht="22.35" hidden="false" customHeight="false" outlineLevel="0" collapsed="false">
      <c r="A1163" s="76" t="s">
        <v>2063</v>
      </c>
      <c r="B1163" s="49" t="s">
        <v>3768</v>
      </c>
      <c r="C1163" s="49" t="s">
        <v>1692</v>
      </c>
      <c r="D1163" s="49" t="s">
        <v>2101</v>
      </c>
      <c r="E1163" s="57" t="s">
        <v>2102</v>
      </c>
      <c r="F1163" s="49" t="s">
        <v>2097</v>
      </c>
      <c r="G1163" s="49" t="s">
        <v>2097</v>
      </c>
      <c r="H1163" s="51" t="n">
        <v>1444</v>
      </c>
      <c r="I1163" s="51" t="n">
        <v>1108.85</v>
      </c>
      <c r="J1163" s="51" t="n">
        <v>3326.56</v>
      </c>
      <c r="K1163" s="52" t="n">
        <v>3326.56</v>
      </c>
      <c r="L1163" s="53" t="n">
        <v>45</v>
      </c>
      <c r="M1163" s="54" t="n">
        <v>60.9</v>
      </c>
      <c r="N1163" s="51" t="n">
        <v>49.282384</v>
      </c>
      <c r="O1163" s="55" t="n">
        <v>0.955</v>
      </c>
      <c r="P1163" s="51" t="n">
        <v>-1882.56</v>
      </c>
      <c r="Q1163" s="49" t="s">
        <v>2103</v>
      </c>
      <c r="R1163" s="49" t="s">
        <v>2099</v>
      </c>
      <c r="S1163" s="53" t="n">
        <v>0.5</v>
      </c>
      <c r="T1163" s="51" t="n">
        <v>1</v>
      </c>
      <c r="U1163" s="56" t="n">
        <f aca="false">I1163*O1163</f>
        <v>1058.95175</v>
      </c>
      <c r="V1163" s="56" t="n">
        <f aca="false">J1163*O1163</f>
        <v>3176.8648</v>
      </c>
      <c r="W1163" s="56" t="n">
        <f aca="false">((I1163+J1163)/2)*O1163</f>
        <v>2117.908275</v>
      </c>
      <c r="X1163" s="56" t="n">
        <f aca="false">H1163*O1163</f>
        <v>1379.02</v>
      </c>
    </row>
    <row r="1164" customFormat="false" ht="15" hidden="false" customHeight="false" outlineLevel="0" collapsed="false">
      <c r="A1164" s="76" t="s">
        <v>2063</v>
      </c>
      <c r="B1164" s="7" t="s">
        <v>3769</v>
      </c>
      <c r="C1164" s="7" t="s">
        <v>1761</v>
      </c>
      <c r="D1164" s="7" t="s">
        <v>2101</v>
      </c>
      <c r="E1164" s="50" t="s">
        <v>2096</v>
      </c>
      <c r="F1164" s="7" t="s">
        <v>2097</v>
      </c>
      <c r="G1164" s="7" t="s">
        <v>2097</v>
      </c>
      <c r="H1164" s="9" t="n">
        <v>510</v>
      </c>
      <c r="I1164" s="9" t="n">
        <v>136.71</v>
      </c>
      <c r="J1164" s="9" t="n">
        <v>410.14</v>
      </c>
      <c r="K1164" s="52" t="n">
        <v>1100</v>
      </c>
      <c r="L1164" s="58" t="n">
        <v>15.6</v>
      </c>
      <c r="M1164" s="59" t="n">
        <v>81.8</v>
      </c>
      <c r="N1164" s="9" t="n">
        <v>17.52726</v>
      </c>
      <c r="O1164" s="8" t="n">
        <v>2.05</v>
      </c>
      <c r="P1164" s="9" t="n">
        <v>99.86</v>
      </c>
      <c r="Q1164" s="7" t="s">
        <v>2098</v>
      </c>
      <c r="R1164" s="7" t="s">
        <v>2099</v>
      </c>
      <c r="S1164" s="58" t="n">
        <v>0.5</v>
      </c>
      <c r="T1164" s="9" t="n">
        <v>1100</v>
      </c>
      <c r="U1164" s="56" t="n">
        <f aca="false">I1164*O1164</f>
        <v>280.2555</v>
      </c>
      <c r="V1164" s="56" t="n">
        <f aca="false">J1164*O1164</f>
        <v>840.787</v>
      </c>
      <c r="W1164" s="56" t="n">
        <f aca="false">((I1164+J1164)/2)*O1164</f>
        <v>560.52125</v>
      </c>
      <c r="X1164" s="56" t="n">
        <f aca="false">H1164*O1164</f>
        <v>1045.5</v>
      </c>
    </row>
    <row r="1165" customFormat="false" ht="22.35" hidden="false" customHeight="false" outlineLevel="0" collapsed="false">
      <c r="A1165" s="76" t="s">
        <v>2063</v>
      </c>
      <c r="B1165" s="49" t="s">
        <v>3770</v>
      </c>
      <c r="C1165" s="49" t="s">
        <v>2366</v>
      </c>
      <c r="D1165" s="49" t="s">
        <v>2101</v>
      </c>
      <c r="E1165" s="57" t="s">
        <v>2102</v>
      </c>
      <c r="F1165" s="49" t="s">
        <v>2097</v>
      </c>
      <c r="G1165" s="49" t="s">
        <v>2097</v>
      </c>
      <c r="H1165" s="51" t="n">
        <v>757</v>
      </c>
      <c r="I1165" s="51" t="n">
        <v>332.62</v>
      </c>
      <c r="J1165" s="51" t="n">
        <v>997.86</v>
      </c>
      <c r="K1165" s="52" t="n">
        <v>2000</v>
      </c>
      <c r="L1165" s="53" t="n">
        <v>27</v>
      </c>
      <c r="M1165" s="54" t="n">
        <v>52.9</v>
      </c>
      <c r="N1165" s="51" t="n">
        <v>24.638521</v>
      </c>
      <c r="O1165" s="55" t="n">
        <v>0.1103</v>
      </c>
      <c r="P1165" s="51" t="n">
        <v>-240.86</v>
      </c>
      <c r="Q1165" s="49" t="s">
        <v>2103</v>
      </c>
      <c r="R1165" s="49" t="s">
        <v>2099</v>
      </c>
      <c r="S1165" s="53" t="n">
        <v>0.5</v>
      </c>
      <c r="T1165" s="51" t="n">
        <v>2000</v>
      </c>
      <c r="U1165" s="56" t="n">
        <f aca="false">I1165*O1165</f>
        <v>36.687986</v>
      </c>
      <c r="V1165" s="56" t="n">
        <f aca="false">J1165*O1165</f>
        <v>110.063958</v>
      </c>
      <c r="W1165" s="56" t="n">
        <f aca="false">((I1165+J1165)/2)*O1165</f>
        <v>73.375972</v>
      </c>
      <c r="X1165" s="56" t="n">
        <f aca="false">H1165*O1165</f>
        <v>83.4971</v>
      </c>
    </row>
    <row r="1166" customFormat="false" ht="22.35" hidden="false" customHeight="false" outlineLevel="0" collapsed="false">
      <c r="A1166" s="76" t="s">
        <v>2063</v>
      </c>
      <c r="B1166" s="7" t="s">
        <v>3771</v>
      </c>
      <c r="C1166" s="7" t="s">
        <v>2356</v>
      </c>
      <c r="D1166" s="7" t="s">
        <v>2101</v>
      </c>
      <c r="E1166" s="57" t="s">
        <v>2102</v>
      </c>
      <c r="F1166" s="7" t="s">
        <v>2097</v>
      </c>
      <c r="G1166" s="7" t="s">
        <v>2097</v>
      </c>
      <c r="H1166" s="9" t="n">
        <v>137</v>
      </c>
      <c r="I1166" s="9" t="n">
        <v>75.72</v>
      </c>
      <c r="J1166" s="9" t="n">
        <v>227.17</v>
      </c>
      <c r="K1166" s="52" t="n">
        <v>300</v>
      </c>
      <c r="L1166" s="58" t="n">
        <v>19.4</v>
      </c>
      <c r="M1166" s="59" t="n">
        <v>51.9</v>
      </c>
      <c r="N1166" s="9" t="n">
        <v>7.806602</v>
      </c>
      <c r="O1166" s="8" t="n">
        <v>11.15</v>
      </c>
      <c r="P1166" s="9" t="n">
        <v>-90.17</v>
      </c>
      <c r="Q1166" s="7" t="s">
        <v>2103</v>
      </c>
      <c r="R1166" s="7" t="s">
        <v>2099</v>
      </c>
      <c r="S1166" s="58" t="n">
        <v>0.5</v>
      </c>
      <c r="T1166" s="9" t="n">
        <v>100</v>
      </c>
      <c r="U1166" s="56" t="n">
        <f aca="false">I1166*O1166</f>
        <v>844.278</v>
      </c>
      <c r="V1166" s="56" t="n">
        <f aca="false">J1166*O1166</f>
        <v>2532.9455</v>
      </c>
      <c r="W1166" s="56" t="n">
        <f aca="false">((I1166+J1166)/2)*O1166</f>
        <v>1688.61175</v>
      </c>
      <c r="X1166" s="56" t="n">
        <f aca="false">H1166*O1166</f>
        <v>1527.55</v>
      </c>
    </row>
    <row r="1167" customFormat="false" ht="22.35" hidden="false" customHeight="false" outlineLevel="0" collapsed="false">
      <c r="A1167" s="76" t="s">
        <v>2063</v>
      </c>
      <c r="B1167" s="49" t="s">
        <v>3772</v>
      </c>
      <c r="C1167" s="49" t="s">
        <v>3773</v>
      </c>
      <c r="D1167" s="49" t="s">
        <v>2101</v>
      </c>
      <c r="E1167" s="57" t="s">
        <v>2102</v>
      </c>
      <c r="F1167" s="49" t="s">
        <v>2097</v>
      </c>
      <c r="G1167" s="49" t="s">
        <v>2097</v>
      </c>
      <c r="H1167" s="51" t="n">
        <v>1451</v>
      </c>
      <c r="I1167" s="51" t="n">
        <v>1059.63</v>
      </c>
      <c r="J1167" s="51" t="n">
        <v>3178.89</v>
      </c>
      <c r="K1167" s="52" t="n">
        <v>3178.89</v>
      </c>
      <c r="L1167" s="53" t="n">
        <v>47.7</v>
      </c>
      <c r="M1167" s="54" t="n">
        <v>44.4</v>
      </c>
      <c r="N1167" s="51" t="n">
        <v>44.429008</v>
      </c>
      <c r="O1167" s="55" t="n">
        <v>0.942</v>
      </c>
      <c r="P1167" s="51" t="n">
        <v>-1727.89</v>
      </c>
      <c r="Q1167" s="49" t="s">
        <v>2103</v>
      </c>
      <c r="R1167" s="49" t="s">
        <v>2099</v>
      </c>
      <c r="S1167" s="53" t="n">
        <v>0.5</v>
      </c>
      <c r="T1167" s="51" t="n">
        <v>1</v>
      </c>
      <c r="U1167" s="56" t="n">
        <f aca="false">I1167*O1167</f>
        <v>998.17146</v>
      </c>
      <c r="V1167" s="56" t="n">
        <f aca="false">J1167*O1167</f>
        <v>2994.51438</v>
      </c>
      <c r="W1167" s="56" t="n">
        <f aca="false">((I1167+J1167)/2)*O1167</f>
        <v>1996.34292</v>
      </c>
      <c r="X1167" s="56" t="n">
        <f aca="false">H1167*O1167</f>
        <v>1366.842</v>
      </c>
    </row>
    <row r="1168" customFormat="false" ht="22.35" hidden="false" customHeight="false" outlineLevel="0" collapsed="false">
      <c r="A1168" s="76" t="s">
        <v>2063</v>
      </c>
      <c r="B1168" s="62" t="s">
        <v>3774</v>
      </c>
      <c r="C1168" s="62" t="s">
        <v>3775</v>
      </c>
      <c r="D1168" s="62" t="s">
        <v>2101</v>
      </c>
      <c r="E1168" s="63" t="s">
        <v>2169</v>
      </c>
      <c r="F1168" s="64" t="s">
        <v>2170</v>
      </c>
      <c r="G1168" s="62" t="s">
        <v>2097</v>
      </c>
      <c r="H1168" s="65" t="n">
        <v>40</v>
      </c>
      <c r="I1168" s="65" t="n">
        <v>9.28</v>
      </c>
      <c r="J1168" s="65" t="n">
        <v>27.84</v>
      </c>
      <c r="K1168" s="66" t="n">
        <v>27.84</v>
      </c>
      <c r="L1168" s="67" t="n">
        <v>32.3</v>
      </c>
      <c r="M1168" s="68" t="n">
        <v>60</v>
      </c>
      <c r="N1168" s="65" t="n">
        <v>0.695795</v>
      </c>
      <c r="O1168" s="69" t="n">
        <v>31.11</v>
      </c>
      <c r="P1168" s="65" t="n">
        <v>12.16</v>
      </c>
      <c r="Q1168" s="62" t="s">
        <v>2098</v>
      </c>
      <c r="R1168" s="62" t="s">
        <v>3591</v>
      </c>
      <c r="S1168" s="67" t="n">
        <v>0.5</v>
      </c>
      <c r="T1168" s="65" t="n">
        <v>1</v>
      </c>
      <c r="U1168" s="56" t="n">
        <f aca="false">I1168*O1168</f>
        <v>288.7008</v>
      </c>
      <c r="V1168" s="56" t="n">
        <f aca="false">J1168*O1168</f>
        <v>866.1024</v>
      </c>
      <c r="W1168" s="56" t="n">
        <f aca="false">((I1168+J1168)/2)*O1168</f>
        <v>577.4016</v>
      </c>
      <c r="X1168" s="56" t="n">
        <f aca="false">H1168*O1168</f>
        <v>1244.4</v>
      </c>
    </row>
    <row r="1169" customFormat="false" ht="15" hidden="false" customHeight="false" outlineLevel="0" collapsed="false">
      <c r="A1169" s="76" t="s">
        <v>2063</v>
      </c>
      <c r="B1169" s="49" t="s">
        <v>3776</v>
      </c>
      <c r="C1169" s="49" t="s">
        <v>3777</v>
      </c>
      <c r="D1169" s="49" t="s">
        <v>2101</v>
      </c>
      <c r="E1169" s="50" t="s">
        <v>2096</v>
      </c>
      <c r="F1169" s="49" t="s">
        <v>2097</v>
      </c>
      <c r="G1169" s="49" t="s">
        <v>2097</v>
      </c>
      <c r="H1169" s="51" t="n">
        <v>452</v>
      </c>
      <c r="I1169" s="51" t="n">
        <v>147</v>
      </c>
      <c r="J1169" s="51" t="n">
        <v>441</v>
      </c>
      <c r="K1169" s="52" t="n">
        <v>600</v>
      </c>
      <c r="L1169" s="53" t="n">
        <v>20.1</v>
      </c>
      <c r="M1169" s="54" t="n">
        <v>64.7</v>
      </c>
      <c r="N1169" s="51" t="n">
        <v>14.626884</v>
      </c>
      <c r="O1169" s="55" t="n">
        <v>0.578</v>
      </c>
      <c r="P1169" s="51" t="n">
        <v>11</v>
      </c>
      <c r="Q1169" s="49" t="s">
        <v>2098</v>
      </c>
      <c r="R1169" s="49" t="s">
        <v>2099</v>
      </c>
      <c r="S1169" s="53" t="n">
        <v>0.5</v>
      </c>
      <c r="T1169" s="51" t="n">
        <v>300</v>
      </c>
      <c r="U1169" s="56" t="n">
        <f aca="false">I1169*O1169</f>
        <v>84.966</v>
      </c>
      <c r="V1169" s="56" t="n">
        <f aca="false">J1169*O1169</f>
        <v>254.898</v>
      </c>
      <c r="W1169" s="56" t="n">
        <f aca="false">((I1169+J1169)/2)*O1169</f>
        <v>169.932</v>
      </c>
      <c r="X1169" s="56" t="n">
        <f aca="false">H1169*O1169</f>
        <v>261.256</v>
      </c>
    </row>
    <row r="1170" customFormat="false" ht="22.35" hidden="false" customHeight="false" outlineLevel="0" collapsed="false">
      <c r="A1170" s="76" t="s">
        <v>2063</v>
      </c>
      <c r="B1170" s="7" t="s">
        <v>2374</v>
      </c>
      <c r="C1170" s="7" t="s">
        <v>2343</v>
      </c>
      <c r="D1170" s="7" t="s">
        <v>2095</v>
      </c>
      <c r="E1170" s="61" t="s">
        <v>2113</v>
      </c>
      <c r="F1170" s="7" t="s">
        <v>2097</v>
      </c>
      <c r="G1170" s="7" t="s">
        <v>2097</v>
      </c>
      <c r="H1170" s="9" t="n">
        <v>1210</v>
      </c>
      <c r="I1170" s="9" t="n">
        <v>2447.26</v>
      </c>
      <c r="J1170" s="9" t="n">
        <v>4894.52</v>
      </c>
      <c r="K1170" s="52" t="n">
        <v>5000</v>
      </c>
      <c r="L1170" s="58" t="n">
        <v>21</v>
      </c>
      <c r="M1170" s="59" t="n">
        <v>68.8</v>
      </c>
      <c r="N1170" s="9" t="n">
        <v>116.535987</v>
      </c>
      <c r="O1170" s="8" t="n">
        <v>1.07</v>
      </c>
      <c r="P1170" s="9" t="n">
        <v>-3684.52</v>
      </c>
      <c r="Q1170" s="7" t="s">
        <v>2103</v>
      </c>
      <c r="R1170" s="7" t="s">
        <v>2099</v>
      </c>
      <c r="S1170" s="58" t="n">
        <v>1</v>
      </c>
      <c r="T1170" s="9" t="n">
        <v>1000</v>
      </c>
      <c r="U1170" s="56" t="n">
        <f aca="false">I1170*O1170</f>
        <v>2618.5682</v>
      </c>
      <c r="V1170" s="56" t="n">
        <f aca="false">J1170*O1170</f>
        <v>5237.1364</v>
      </c>
      <c r="W1170" s="56" t="n">
        <f aca="false">((I1170+J1170)/2)*O1170</f>
        <v>3927.8523</v>
      </c>
      <c r="X1170" s="56" t="n">
        <f aca="false">H1170*O1170</f>
        <v>1294.7</v>
      </c>
    </row>
    <row r="1171" customFormat="false" ht="22.35" hidden="false" customHeight="false" outlineLevel="0" collapsed="false">
      <c r="A1171" s="76" t="s">
        <v>2063</v>
      </c>
      <c r="B1171" s="49" t="s">
        <v>3778</v>
      </c>
      <c r="C1171" s="49" t="s">
        <v>2021</v>
      </c>
      <c r="D1171" s="49" t="s">
        <v>2101</v>
      </c>
      <c r="E1171" s="57" t="s">
        <v>2102</v>
      </c>
      <c r="F1171" s="49" t="s">
        <v>2097</v>
      </c>
      <c r="G1171" s="49" t="s">
        <v>2097</v>
      </c>
      <c r="H1171" s="51" t="n">
        <v>147</v>
      </c>
      <c r="I1171" s="51" t="n">
        <v>282.18</v>
      </c>
      <c r="J1171" s="51" t="n">
        <v>846.53</v>
      </c>
      <c r="K1171" s="52" t="n">
        <v>846.53</v>
      </c>
      <c r="L1171" s="53" t="n">
        <v>24.4</v>
      </c>
      <c r="M1171" s="54" t="n">
        <v>78.3</v>
      </c>
      <c r="N1171" s="51" t="n">
        <v>23.129272</v>
      </c>
      <c r="O1171" s="55" t="n">
        <v>0.5113</v>
      </c>
      <c r="P1171" s="51" t="n">
        <v>-699.53</v>
      </c>
      <c r="Q1171" s="49" t="s">
        <v>2103</v>
      </c>
      <c r="R1171" s="49" t="s">
        <v>2099</v>
      </c>
      <c r="S1171" s="53" t="n">
        <v>0.5</v>
      </c>
      <c r="T1171" s="51" t="n">
        <v>1</v>
      </c>
      <c r="U1171" s="56" t="n">
        <f aca="false">I1171*O1171</f>
        <v>144.278634</v>
      </c>
      <c r="V1171" s="56" t="n">
        <f aca="false">J1171*O1171</f>
        <v>432.830789</v>
      </c>
      <c r="W1171" s="56" t="n">
        <f aca="false">((I1171+J1171)/2)*O1171</f>
        <v>288.5547115</v>
      </c>
      <c r="X1171" s="56" t="n">
        <f aca="false">H1171*O1171</f>
        <v>75.1611</v>
      </c>
    </row>
    <row r="1172" customFormat="false" ht="22.35" hidden="false" customHeight="false" outlineLevel="0" collapsed="false">
      <c r="A1172" s="76" t="s">
        <v>2063</v>
      </c>
      <c r="B1172" s="7" t="s">
        <v>2377</v>
      </c>
      <c r="C1172" s="7" t="s">
        <v>2339</v>
      </c>
      <c r="D1172" s="7" t="s">
        <v>2109</v>
      </c>
      <c r="E1172" s="60" t="s">
        <v>2110</v>
      </c>
      <c r="F1172" s="7" t="s">
        <v>2097</v>
      </c>
      <c r="G1172" s="7" t="s">
        <v>2097</v>
      </c>
      <c r="H1172" s="9" t="n">
        <v>8064</v>
      </c>
      <c r="I1172" s="9" t="n">
        <v>20637.48</v>
      </c>
      <c r="J1172" s="9" t="n">
        <v>34395.8</v>
      </c>
      <c r="K1172" s="52" t="n">
        <v>37500</v>
      </c>
      <c r="L1172" s="58" t="n">
        <v>27.1</v>
      </c>
      <c r="M1172" s="59" t="n">
        <v>82.8</v>
      </c>
      <c r="N1172" s="9" t="n">
        <v>507.687111</v>
      </c>
      <c r="O1172" s="8" t="n">
        <v>0.308</v>
      </c>
      <c r="P1172" s="9" t="n">
        <v>-26331.8</v>
      </c>
      <c r="Q1172" s="7" t="s">
        <v>2103</v>
      </c>
      <c r="R1172" s="7" t="s">
        <v>2099</v>
      </c>
      <c r="S1172" s="58" t="n">
        <v>1.5</v>
      </c>
      <c r="T1172" s="9" t="n">
        <v>12500</v>
      </c>
      <c r="U1172" s="56" t="n">
        <f aca="false">I1172*O1172</f>
        <v>6356.34384</v>
      </c>
      <c r="V1172" s="56" t="n">
        <f aca="false">J1172*O1172</f>
        <v>10593.9064</v>
      </c>
      <c r="W1172" s="56" t="n">
        <f aca="false">((I1172+J1172)/2)*O1172</f>
        <v>8475.12512</v>
      </c>
      <c r="X1172" s="56" t="n">
        <f aca="false">H1172*O1172</f>
        <v>2483.712</v>
      </c>
    </row>
    <row r="1173" customFormat="false" ht="22.35" hidden="false" customHeight="false" outlineLevel="0" collapsed="false">
      <c r="A1173" s="76" t="s">
        <v>2063</v>
      </c>
      <c r="B1173" s="49" t="s">
        <v>2378</v>
      </c>
      <c r="C1173" s="49" t="s">
        <v>1802</v>
      </c>
      <c r="D1173" s="49" t="s">
        <v>2109</v>
      </c>
      <c r="E1173" s="60" t="s">
        <v>2110</v>
      </c>
      <c r="F1173" s="49" t="s">
        <v>2097</v>
      </c>
      <c r="G1173" s="49" t="s">
        <v>2097</v>
      </c>
      <c r="H1173" s="51" t="n">
        <v>20000</v>
      </c>
      <c r="I1173" s="51" t="n">
        <v>90580.63</v>
      </c>
      <c r="J1173" s="51" t="n">
        <v>150967.72</v>
      </c>
      <c r="K1173" s="52" t="n">
        <v>160000</v>
      </c>
      <c r="L1173" s="53" t="n">
        <v>37.1</v>
      </c>
      <c r="M1173" s="54" t="n">
        <v>80.2</v>
      </c>
      <c r="N1173" s="51" t="n">
        <v>1627.684272</v>
      </c>
      <c r="O1173" s="55" t="n">
        <v>0.341</v>
      </c>
      <c r="P1173" s="51" t="n">
        <v>-130967.72</v>
      </c>
      <c r="Q1173" s="49" t="s">
        <v>2103</v>
      </c>
      <c r="R1173" s="49" t="s">
        <v>2099</v>
      </c>
      <c r="S1173" s="53" t="n">
        <v>1.5</v>
      </c>
      <c r="T1173" s="51" t="n">
        <v>20000</v>
      </c>
      <c r="U1173" s="56" t="n">
        <f aca="false">I1173*O1173</f>
        <v>30887.99483</v>
      </c>
      <c r="V1173" s="56" t="n">
        <f aca="false">J1173*O1173</f>
        <v>51479.99252</v>
      </c>
      <c r="W1173" s="56" t="n">
        <f aca="false">((I1173+J1173)/2)*O1173</f>
        <v>41183.993675</v>
      </c>
      <c r="X1173" s="56" t="n">
        <f aca="false">H1173*O1173</f>
        <v>6820</v>
      </c>
    </row>
    <row r="1174" customFormat="false" ht="22.35" hidden="false" customHeight="false" outlineLevel="0" collapsed="false">
      <c r="A1174" s="76" t="s">
        <v>2063</v>
      </c>
      <c r="B1174" s="7" t="s">
        <v>2379</v>
      </c>
      <c r="C1174" s="7" t="s">
        <v>2336</v>
      </c>
      <c r="D1174" s="7" t="s">
        <v>2109</v>
      </c>
      <c r="E1174" s="60" t="s">
        <v>2110</v>
      </c>
      <c r="F1174" s="7" t="s">
        <v>2097</v>
      </c>
      <c r="G1174" s="7" t="s">
        <v>2097</v>
      </c>
      <c r="H1174" s="9" t="n">
        <v>10937</v>
      </c>
      <c r="I1174" s="9" t="n">
        <v>28475.92</v>
      </c>
      <c r="J1174" s="9" t="n">
        <v>47459.87</v>
      </c>
      <c r="K1174" s="52" t="n">
        <v>50400</v>
      </c>
      <c r="L1174" s="58" t="n">
        <v>37.5</v>
      </c>
      <c r="M1174" s="59" t="n">
        <v>79.3</v>
      </c>
      <c r="N1174" s="9" t="n">
        <v>506.238628</v>
      </c>
      <c r="O1174" s="8" t="n">
        <v>0.361</v>
      </c>
      <c r="P1174" s="9" t="n">
        <v>-36522.87</v>
      </c>
      <c r="Q1174" s="7" t="s">
        <v>2103</v>
      </c>
      <c r="R1174" s="7" t="s">
        <v>2099</v>
      </c>
      <c r="S1174" s="58" t="n">
        <v>1.5</v>
      </c>
      <c r="T1174" s="9" t="n">
        <v>8400</v>
      </c>
      <c r="U1174" s="56" t="n">
        <f aca="false">I1174*O1174</f>
        <v>10279.80712</v>
      </c>
      <c r="V1174" s="56" t="n">
        <f aca="false">J1174*O1174</f>
        <v>17133.01307</v>
      </c>
      <c r="W1174" s="56" t="n">
        <f aca="false">((I1174+J1174)/2)*O1174</f>
        <v>13706.410095</v>
      </c>
      <c r="X1174" s="56" t="n">
        <f aca="false">H1174*O1174</f>
        <v>3948.257</v>
      </c>
    </row>
    <row r="1175" customFormat="false" ht="22.35" hidden="false" customHeight="false" outlineLevel="0" collapsed="false">
      <c r="A1175" s="76" t="s">
        <v>2063</v>
      </c>
      <c r="B1175" s="49" t="s">
        <v>2380</v>
      </c>
      <c r="C1175" s="49" t="s">
        <v>1732</v>
      </c>
      <c r="D1175" s="49" t="s">
        <v>2095</v>
      </c>
      <c r="E1175" s="61" t="s">
        <v>2113</v>
      </c>
      <c r="F1175" s="49" t="s">
        <v>2097</v>
      </c>
      <c r="G1175" s="49" t="s">
        <v>2097</v>
      </c>
      <c r="H1175" s="51" t="n">
        <v>2665</v>
      </c>
      <c r="I1175" s="51" t="n">
        <v>7586.15</v>
      </c>
      <c r="J1175" s="51" t="n">
        <v>15172.3</v>
      </c>
      <c r="K1175" s="52" t="n">
        <v>15172.3</v>
      </c>
      <c r="L1175" s="53" t="n">
        <v>41.6</v>
      </c>
      <c r="M1175" s="54" t="n">
        <v>52.4</v>
      </c>
      <c r="N1175" s="51" t="n">
        <v>182.359333</v>
      </c>
      <c r="O1175" s="55" t="n">
        <v>0.49</v>
      </c>
      <c r="P1175" s="51" t="n">
        <v>-12507.3</v>
      </c>
      <c r="Q1175" s="49" t="s">
        <v>2103</v>
      </c>
      <c r="R1175" s="49" t="s">
        <v>2099</v>
      </c>
      <c r="S1175" s="53" t="n">
        <v>1</v>
      </c>
      <c r="T1175" s="51" t="n">
        <v>1</v>
      </c>
      <c r="U1175" s="56" t="n">
        <f aca="false">I1175*O1175</f>
        <v>3717.2135</v>
      </c>
      <c r="V1175" s="56" t="n">
        <f aca="false">J1175*O1175</f>
        <v>7434.427</v>
      </c>
      <c r="W1175" s="56" t="n">
        <f aca="false">((I1175+J1175)/2)*O1175</f>
        <v>5575.82025</v>
      </c>
      <c r="X1175" s="56" t="n">
        <f aca="false">H1175*O1175</f>
        <v>1305.85</v>
      </c>
    </row>
    <row r="1176" customFormat="false" ht="22.35" hidden="false" customHeight="false" outlineLevel="0" collapsed="false">
      <c r="A1176" s="76" t="s">
        <v>2063</v>
      </c>
      <c r="B1176" s="7" t="s">
        <v>2381</v>
      </c>
      <c r="C1176" s="7" t="s">
        <v>2325</v>
      </c>
      <c r="D1176" s="7" t="s">
        <v>2101</v>
      </c>
      <c r="E1176" s="57" t="s">
        <v>2102</v>
      </c>
      <c r="F1176" s="7" t="s">
        <v>2097</v>
      </c>
      <c r="G1176" s="7" t="s">
        <v>2097</v>
      </c>
      <c r="H1176" s="9" t="n">
        <v>80</v>
      </c>
      <c r="I1176" s="9" t="n">
        <v>82.8</v>
      </c>
      <c r="J1176" s="9" t="n">
        <v>248.41</v>
      </c>
      <c r="K1176" s="52" t="n">
        <v>250</v>
      </c>
      <c r="L1176" s="58" t="n">
        <v>17.2</v>
      </c>
      <c r="M1176" s="59" t="n">
        <v>79.2</v>
      </c>
      <c r="N1176" s="9" t="n">
        <v>9.628247</v>
      </c>
      <c r="O1176" s="8" t="n">
        <v>0.35</v>
      </c>
      <c r="P1176" s="9" t="n">
        <v>-168.41</v>
      </c>
      <c r="Q1176" s="7" t="s">
        <v>2103</v>
      </c>
      <c r="R1176" s="7" t="s">
        <v>2099</v>
      </c>
      <c r="S1176" s="58" t="n">
        <v>0.5</v>
      </c>
      <c r="T1176" s="9" t="n">
        <v>50</v>
      </c>
      <c r="U1176" s="56" t="n">
        <f aca="false">I1176*O1176</f>
        <v>28.98</v>
      </c>
      <c r="V1176" s="56" t="n">
        <f aca="false">J1176*O1176</f>
        <v>86.9435</v>
      </c>
      <c r="W1176" s="56" t="n">
        <f aca="false">((I1176+J1176)/2)*O1176</f>
        <v>57.96175</v>
      </c>
      <c r="X1176" s="56" t="n">
        <f aca="false">H1176*O1176</f>
        <v>28</v>
      </c>
    </row>
    <row r="1177" customFormat="false" ht="22.35" hidden="false" customHeight="false" outlineLevel="0" collapsed="false">
      <c r="A1177" s="76" t="s">
        <v>2063</v>
      </c>
      <c r="B1177" s="49" t="s">
        <v>3779</v>
      </c>
      <c r="C1177" s="49" t="s">
        <v>1769</v>
      </c>
      <c r="D1177" s="49" t="s">
        <v>2101</v>
      </c>
      <c r="E1177" s="57" t="s">
        <v>2102</v>
      </c>
      <c r="F1177" s="49" t="s">
        <v>2097</v>
      </c>
      <c r="G1177" s="49" t="s">
        <v>2097</v>
      </c>
      <c r="H1177" s="51" t="n">
        <v>2462</v>
      </c>
      <c r="I1177" s="51" t="n">
        <v>1109.32</v>
      </c>
      <c r="J1177" s="51" t="n">
        <v>3327.97</v>
      </c>
      <c r="K1177" s="52" t="n">
        <v>5000</v>
      </c>
      <c r="L1177" s="53" t="n">
        <v>23.7</v>
      </c>
      <c r="M1177" s="54" t="n">
        <v>78.8</v>
      </c>
      <c r="N1177" s="51" t="n">
        <v>93.613923</v>
      </c>
      <c r="O1177" s="55" t="n">
        <v>0.53</v>
      </c>
      <c r="P1177" s="51" t="n">
        <v>-865.97</v>
      </c>
      <c r="Q1177" s="49" t="s">
        <v>2103</v>
      </c>
      <c r="R1177" s="49" t="s">
        <v>2099</v>
      </c>
      <c r="S1177" s="53" t="n">
        <v>0.5</v>
      </c>
      <c r="T1177" s="51" t="n">
        <v>2500</v>
      </c>
      <c r="U1177" s="56" t="n">
        <f aca="false">I1177*O1177</f>
        <v>587.9396</v>
      </c>
      <c r="V1177" s="56" t="n">
        <f aca="false">J1177*O1177</f>
        <v>1763.8241</v>
      </c>
      <c r="W1177" s="56" t="n">
        <f aca="false">((I1177+J1177)/2)*O1177</f>
        <v>1175.88185</v>
      </c>
      <c r="X1177" s="56" t="n">
        <f aca="false">H1177*O1177</f>
        <v>1304.86</v>
      </c>
    </row>
    <row r="1178" customFormat="false" ht="22.35" hidden="false" customHeight="false" outlineLevel="0" collapsed="false">
      <c r="A1178" s="76" t="s">
        <v>2063</v>
      </c>
      <c r="B1178" s="7" t="s">
        <v>3780</v>
      </c>
      <c r="C1178" s="7" t="s">
        <v>3781</v>
      </c>
      <c r="D1178" s="7" t="s">
        <v>2101</v>
      </c>
      <c r="E1178" s="57" t="s">
        <v>2102</v>
      </c>
      <c r="F1178" s="7" t="s">
        <v>2097</v>
      </c>
      <c r="G1178" s="7" t="s">
        <v>2097</v>
      </c>
      <c r="H1178" s="9" t="n">
        <v>973</v>
      </c>
      <c r="I1178" s="9" t="n">
        <v>355.55</v>
      </c>
      <c r="J1178" s="9" t="n">
        <v>1066.64</v>
      </c>
      <c r="K1178" s="52" t="n">
        <v>1100</v>
      </c>
      <c r="L1178" s="58" t="n">
        <v>20.8</v>
      </c>
      <c r="M1178" s="59" t="n">
        <v>100</v>
      </c>
      <c r="N1178" s="9" t="n">
        <v>34.187068</v>
      </c>
      <c r="O1178" s="8" t="n">
        <v>0.3198</v>
      </c>
      <c r="P1178" s="9" t="n">
        <v>-93.64</v>
      </c>
      <c r="Q1178" s="7" t="s">
        <v>2103</v>
      </c>
      <c r="R1178" s="7" t="s">
        <v>2099</v>
      </c>
      <c r="S1178" s="58" t="n">
        <v>0.5</v>
      </c>
      <c r="T1178" s="9" t="n">
        <v>50</v>
      </c>
      <c r="U1178" s="56" t="n">
        <f aca="false">I1178*O1178</f>
        <v>113.70489</v>
      </c>
      <c r="V1178" s="56" t="n">
        <f aca="false">J1178*O1178</f>
        <v>341.111472</v>
      </c>
      <c r="W1178" s="56" t="n">
        <f aca="false">((I1178+J1178)/2)*O1178</f>
        <v>227.408181</v>
      </c>
      <c r="X1178" s="56" t="n">
        <f aca="false">H1178*O1178</f>
        <v>311.1654</v>
      </c>
    </row>
    <row r="1179" customFormat="false" ht="22.35" hidden="false" customHeight="false" outlineLevel="0" collapsed="false">
      <c r="A1179" s="76" t="s">
        <v>2063</v>
      </c>
      <c r="B1179" s="49" t="s">
        <v>2382</v>
      </c>
      <c r="C1179" s="49" t="s">
        <v>1769</v>
      </c>
      <c r="D1179" s="49" t="s">
        <v>2095</v>
      </c>
      <c r="E1179" s="61" t="s">
        <v>2113</v>
      </c>
      <c r="F1179" s="49" t="s">
        <v>2097</v>
      </c>
      <c r="G1179" s="49" t="s">
        <v>2097</v>
      </c>
      <c r="H1179" s="51" t="n">
        <v>6697</v>
      </c>
      <c r="I1179" s="51" t="n">
        <v>7897.28</v>
      </c>
      <c r="J1179" s="51" t="n">
        <v>15794.56</v>
      </c>
      <c r="K1179" s="52" t="n">
        <v>25200</v>
      </c>
      <c r="L1179" s="53" t="n">
        <v>33.2</v>
      </c>
      <c r="M1179" s="54" t="n">
        <v>78.1</v>
      </c>
      <c r="N1179" s="51" t="n">
        <v>237.869886</v>
      </c>
      <c r="O1179" s="55" t="n">
        <v>0.62</v>
      </c>
      <c r="P1179" s="51" t="n">
        <v>-9097.56</v>
      </c>
      <c r="Q1179" s="49" t="s">
        <v>2103</v>
      </c>
      <c r="R1179" s="49" t="s">
        <v>2099</v>
      </c>
      <c r="S1179" s="53" t="n">
        <v>1</v>
      </c>
      <c r="T1179" s="51" t="n">
        <v>12600</v>
      </c>
      <c r="U1179" s="56" t="n">
        <f aca="false">I1179*O1179</f>
        <v>4896.3136</v>
      </c>
      <c r="V1179" s="56" t="n">
        <f aca="false">J1179*O1179</f>
        <v>9792.6272</v>
      </c>
      <c r="W1179" s="56" t="n">
        <f aca="false">((I1179+J1179)/2)*O1179</f>
        <v>7344.4704</v>
      </c>
      <c r="X1179" s="56" t="n">
        <f aca="false">H1179*O1179</f>
        <v>4152.14</v>
      </c>
    </row>
    <row r="1180" customFormat="false" ht="32.8" hidden="false" customHeight="false" outlineLevel="0" collapsed="false">
      <c r="A1180" s="76" t="s">
        <v>2063</v>
      </c>
      <c r="B1180" s="62" t="s">
        <v>3782</v>
      </c>
      <c r="C1180" s="62" t="s">
        <v>3783</v>
      </c>
      <c r="D1180" s="62" t="s">
        <v>2101</v>
      </c>
      <c r="E1180" s="78" t="s">
        <v>3474</v>
      </c>
      <c r="F1180" s="64" t="s">
        <v>2170</v>
      </c>
      <c r="G1180" s="62" t="s">
        <v>2097</v>
      </c>
      <c r="H1180" s="65" t="n">
        <v>383</v>
      </c>
      <c r="I1180" s="65" t="n">
        <v>442.2</v>
      </c>
      <c r="J1180" s="65" t="n">
        <v>1326.6</v>
      </c>
      <c r="K1180" s="66" t="n">
        <v>1326.6</v>
      </c>
      <c r="L1180" s="67" t="n">
        <v>75.8</v>
      </c>
      <c r="M1180" s="68" t="n">
        <v>60</v>
      </c>
      <c r="N1180" s="65" t="n">
        <v>14.920832</v>
      </c>
      <c r="O1180" s="69" t="n">
        <v>15.776</v>
      </c>
      <c r="P1180" s="65" t="n">
        <v>-943.6</v>
      </c>
      <c r="Q1180" s="62" t="s">
        <v>2103</v>
      </c>
      <c r="R1180" s="62" t="s">
        <v>3784</v>
      </c>
      <c r="S1180" s="67" t="n">
        <v>0.5</v>
      </c>
      <c r="T1180" s="65" t="n">
        <v>1</v>
      </c>
      <c r="U1180" s="56" t="n">
        <f aca="false">I1180*O1180</f>
        <v>6976.1472</v>
      </c>
      <c r="V1180" s="56" t="n">
        <f aca="false">J1180*O1180</f>
        <v>20928.4416</v>
      </c>
      <c r="W1180" s="56" t="n">
        <f aca="false">((I1180+J1180)/2)*O1180</f>
        <v>13952.2944</v>
      </c>
      <c r="X1180" s="56" t="n">
        <f aca="false">H1180*O1180</f>
        <v>6042.208</v>
      </c>
    </row>
    <row r="1181" customFormat="false" ht="22.35" hidden="false" customHeight="false" outlineLevel="0" collapsed="false">
      <c r="A1181" s="76" t="s">
        <v>2063</v>
      </c>
      <c r="B1181" s="4" t="s">
        <v>3785</v>
      </c>
      <c r="C1181" s="4" t="s">
        <v>3783</v>
      </c>
      <c r="D1181" s="4" t="s">
        <v>2101</v>
      </c>
      <c r="E1181" s="70" t="s">
        <v>2193</v>
      </c>
      <c r="F1181" s="4" t="s">
        <v>2097</v>
      </c>
      <c r="G1181" s="71" t="s">
        <v>2194</v>
      </c>
      <c r="H1181" s="6" t="n">
        <v>40</v>
      </c>
      <c r="I1181" s="6" t="n">
        <v>0</v>
      </c>
      <c r="J1181" s="6" t="n">
        <v>0</v>
      </c>
      <c r="K1181" s="52" t="n">
        <v>0</v>
      </c>
      <c r="L1181" s="72" t="n">
        <v>38.6</v>
      </c>
      <c r="M1181" s="73" t="n">
        <v>0</v>
      </c>
      <c r="N1181" s="6" t="n">
        <v>0.548164</v>
      </c>
      <c r="O1181" s="5" t="n">
        <v>21.92</v>
      </c>
      <c r="P1181" s="6" t="n">
        <v>40</v>
      </c>
      <c r="Q1181" s="4" t="s">
        <v>2098</v>
      </c>
      <c r="R1181" s="4" t="s">
        <v>2195</v>
      </c>
      <c r="S1181" s="72" t="n">
        <v>0</v>
      </c>
      <c r="T1181" s="6" t="n">
        <v>50</v>
      </c>
      <c r="U1181" s="56" t="n">
        <f aca="false">I1181*O1181</f>
        <v>0</v>
      </c>
      <c r="V1181" s="56" t="n">
        <f aca="false">J1181*O1181</f>
        <v>0</v>
      </c>
      <c r="W1181" s="56" t="n">
        <f aca="false">((I1181+J1181)/2)*O1181</f>
        <v>0</v>
      </c>
      <c r="X1181" s="56" t="n">
        <f aca="false">H1181*O1181</f>
        <v>876.8</v>
      </c>
    </row>
    <row r="1182" customFormat="false" ht="22.35" hidden="false" customHeight="false" outlineLevel="0" collapsed="false">
      <c r="A1182" s="76" t="s">
        <v>2063</v>
      </c>
      <c r="B1182" s="7" t="s">
        <v>3786</v>
      </c>
      <c r="C1182" s="7" t="s">
        <v>2388</v>
      </c>
      <c r="D1182" s="7" t="s">
        <v>2101</v>
      </c>
      <c r="E1182" s="57" t="s">
        <v>2102</v>
      </c>
      <c r="F1182" s="7" t="s">
        <v>2097</v>
      </c>
      <c r="G1182" s="7" t="s">
        <v>2097</v>
      </c>
      <c r="H1182" s="9" t="n">
        <v>80</v>
      </c>
      <c r="I1182" s="9" t="n">
        <v>31.97</v>
      </c>
      <c r="J1182" s="9" t="n">
        <v>95.91</v>
      </c>
      <c r="K1182" s="52" t="n">
        <v>132</v>
      </c>
      <c r="L1182" s="58" t="n">
        <v>28.2</v>
      </c>
      <c r="M1182" s="59" t="n">
        <v>66.7</v>
      </c>
      <c r="N1182" s="9" t="n">
        <v>2.267326</v>
      </c>
      <c r="O1182" s="8" t="n">
        <v>12.8724</v>
      </c>
      <c r="P1182" s="9" t="n">
        <v>-15.91</v>
      </c>
      <c r="Q1182" s="7" t="s">
        <v>2103</v>
      </c>
      <c r="R1182" s="7" t="s">
        <v>2099</v>
      </c>
      <c r="S1182" s="58" t="n">
        <v>0.5</v>
      </c>
      <c r="T1182" s="9" t="n">
        <v>66</v>
      </c>
      <c r="U1182" s="56" t="n">
        <f aca="false">I1182*O1182</f>
        <v>411.530628</v>
      </c>
      <c r="V1182" s="56" t="n">
        <f aca="false">J1182*O1182</f>
        <v>1234.591884</v>
      </c>
      <c r="W1182" s="56" t="n">
        <f aca="false">((I1182+J1182)/2)*O1182</f>
        <v>823.061256</v>
      </c>
      <c r="X1182" s="56" t="n">
        <f aca="false">H1182*O1182</f>
        <v>1029.792</v>
      </c>
    </row>
    <row r="1183" customFormat="false" ht="22.35" hidden="false" customHeight="false" outlineLevel="0" collapsed="false">
      <c r="A1183" s="76" t="s">
        <v>2063</v>
      </c>
      <c r="B1183" s="62" t="s">
        <v>3787</v>
      </c>
      <c r="C1183" s="62" t="s">
        <v>3788</v>
      </c>
      <c r="D1183" s="62" t="s">
        <v>2101</v>
      </c>
      <c r="E1183" s="63" t="s">
        <v>2169</v>
      </c>
      <c r="F1183" s="64" t="s">
        <v>2170</v>
      </c>
      <c r="G1183" s="62" t="s">
        <v>2097</v>
      </c>
      <c r="H1183" s="65" t="n">
        <v>40</v>
      </c>
      <c r="I1183" s="65" t="n">
        <v>0.09</v>
      </c>
      <c r="J1183" s="65" t="n">
        <v>0.28</v>
      </c>
      <c r="K1183" s="66" t="n">
        <v>66</v>
      </c>
      <c r="L1183" s="67" t="n">
        <v>82</v>
      </c>
      <c r="M1183" s="68" t="n">
        <v>0</v>
      </c>
      <c r="N1183" s="65" t="n">
        <v>0.027055</v>
      </c>
      <c r="O1183" s="69" t="n">
        <v>42.2729</v>
      </c>
      <c r="P1183" s="65" t="n">
        <v>39.72</v>
      </c>
      <c r="Q1183" s="62" t="s">
        <v>2098</v>
      </c>
      <c r="R1183" s="62" t="s">
        <v>2294</v>
      </c>
      <c r="S1183" s="67" t="n">
        <v>0.5</v>
      </c>
      <c r="T1183" s="65" t="n">
        <v>66</v>
      </c>
      <c r="U1183" s="56" t="n">
        <f aca="false">I1183*O1183</f>
        <v>3.804561</v>
      </c>
      <c r="V1183" s="56" t="n">
        <f aca="false">J1183*O1183</f>
        <v>11.836412</v>
      </c>
      <c r="W1183" s="56" t="n">
        <f aca="false">((I1183+J1183)/2)*O1183</f>
        <v>7.8204865</v>
      </c>
      <c r="X1183" s="56" t="n">
        <f aca="false">H1183*O1183</f>
        <v>1690.916</v>
      </c>
    </row>
    <row r="1184" customFormat="false" ht="32.8" hidden="false" customHeight="false" outlineLevel="0" collapsed="false">
      <c r="A1184" s="76" t="s">
        <v>2063</v>
      </c>
      <c r="B1184" s="62" t="s">
        <v>3789</v>
      </c>
      <c r="C1184" s="62" t="s">
        <v>3790</v>
      </c>
      <c r="D1184" s="62" t="s">
        <v>2101</v>
      </c>
      <c r="E1184" s="78" t="s">
        <v>3474</v>
      </c>
      <c r="F1184" s="64" t="s">
        <v>2170</v>
      </c>
      <c r="G1184" s="62" t="s">
        <v>2097</v>
      </c>
      <c r="H1184" s="65" t="n">
        <v>40</v>
      </c>
      <c r="I1184" s="65" t="n">
        <v>40.98</v>
      </c>
      <c r="J1184" s="65" t="n">
        <v>122.94</v>
      </c>
      <c r="K1184" s="66" t="n">
        <v>122.94</v>
      </c>
      <c r="L1184" s="67" t="n">
        <v>17.3</v>
      </c>
      <c r="M1184" s="68" t="n">
        <v>90.9</v>
      </c>
      <c r="N1184" s="65" t="n">
        <v>1.570701</v>
      </c>
      <c r="O1184" s="69" t="n">
        <v>13.4343</v>
      </c>
      <c r="P1184" s="65" t="n">
        <v>-82.94</v>
      </c>
      <c r="Q1184" s="62" t="s">
        <v>2103</v>
      </c>
      <c r="R1184" s="62" t="s">
        <v>3791</v>
      </c>
      <c r="S1184" s="67" t="n">
        <v>0.5</v>
      </c>
      <c r="T1184" s="65" t="n">
        <v>1</v>
      </c>
      <c r="U1184" s="56" t="n">
        <f aca="false">I1184*O1184</f>
        <v>550.537614</v>
      </c>
      <c r="V1184" s="56" t="n">
        <f aca="false">J1184*O1184</f>
        <v>1651.612842</v>
      </c>
      <c r="W1184" s="56" t="n">
        <f aca="false">((I1184+J1184)/2)*O1184</f>
        <v>1101.075228</v>
      </c>
      <c r="X1184" s="56" t="n">
        <f aca="false">H1184*O1184</f>
        <v>537.372</v>
      </c>
    </row>
    <row r="1185" customFormat="false" ht="22.35" hidden="false" customHeight="false" outlineLevel="0" collapsed="false">
      <c r="A1185" s="76" t="s">
        <v>2063</v>
      </c>
      <c r="B1185" s="49" t="s">
        <v>3792</v>
      </c>
      <c r="C1185" s="49" t="s">
        <v>2388</v>
      </c>
      <c r="D1185" s="49" t="s">
        <v>2101</v>
      </c>
      <c r="E1185" s="57" t="s">
        <v>2102</v>
      </c>
      <c r="F1185" s="49" t="s">
        <v>2097</v>
      </c>
      <c r="G1185" s="49" t="s">
        <v>2097</v>
      </c>
      <c r="H1185" s="51" t="n">
        <v>40</v>
      </c>
      <c r="I1185" s="51" t="n">
        <v>18.98</v>
      </c>
      <c r="J1185" s="51" t="n">
        <v>56.94</v>
      </c>
      <c r="K1185" s="52" t="n">
        <v>110</v>
      </c>
      <c r="L1185" s="53" t="n">
        <v>17.3</v>
      </c>
      <c r="M1185" s="54" t="n">
        <v>57.1</v>
      </c>
      <c r="N1185" s="51" t="n">
        <v>2.19424</v>
      </c>
      <c r="O1185" s="55" t="n">
        <v>29.624</v>
      </c>
      <c r="P1185" s="51" t="n">
        <v>-16.94</v>
      </c>
      <c r="Q1185" s="49" t="s">
        <v>2103</v>
      </c>
      <c r="R1185" s="49" t="s">
        <v>2099</v>
      </c>
      <c r="S1185" s="53" t="n">
        <v>0.5</v>
      </c>
      <c r="T1185" s="51" t="n">
        <v>55</v>
      </c>
      <c r="U1185" s="56" t="n">
        <f aca="false">I1185*O1185</f>
        <v>562.26352</v>
      </c>
      <c r="V1185" s="56" t="n">
        <f aca="false">J1185*O1185</f>
        <v>1686.79056</v>
      </c>
      <c r="W1185" s="56" t="n">
        <f aca="false">((I1185+J1185)/2)*O1185</f>
        <v>1124.52704</v>
      </c>
      <c r="X1185" s="56" t="n">
        <f aca="false">H1185*O1185</f>
        <v>1184.96</v>
      </c>
    </row>
    <row r="1186" customFormat="false" ht="15" hidden="false" customHeight="false" outlineLevel="0" collapsed="false">
      <c r="A1186" s="76" t="s">
        <v>2063</v>
      </c>
      <c r="B1186" s="7" t="s">
        <v>3793</v>
      </c>
      <c r="C1186" s="7" t="s">
        <v>3794</v>
      </c>
      <c r="D1186" s="7" t="s">
        <v>2101</v>
      </c>
      <c r="E1186" s="50" t="s">
        <v>2096</v>
      </c>
      <c r="F1186" s="7" t="s">
        <v>2097</v>
      </c>
      <c r="G1186" s="7" t="s">
        <v>2097</v>
      </c>
      <c r="H1186" s="9" t="n">
        <v>28</v>
      </c>
      <c r="I1186" s="9" t="n">
        <v>3.83</v>
      </c>
      <c r="J1186" s="9" t="n">
        <v>11.48</v>
      </c>
      <c r="K1186" s="52" t="n">
        <v>44</v>
      </c>
      <c r="L1186" s="58" t="n">
        <v>23.8</v>
      </c>
      <c r="M1186" s="59" t="n">
        <v>75</v>
      </c>
      <c r="N1186" s="9" t="n">
        <v>0.321481</v>
      </c>
      <c r="O1186" s="8" t="n">
        <v>16.435</v>
      </c>
      <c r="P1186" s="9" t="n">
        <v>16.52</v>
      </c>
      <c r="Q1186" s="7" t="s">
        <v>2098</v>
      </c>
      <c r="R1186" s="7" t="s">
        <v>2099</v>
      </c>
      <c r="S1186" s="58" t="n">
        <v>0.5</v>
      </c>
      <c r="T1186" s="9" t="n">
        <v>44</v>
      </c>
      <c r="U1186" s="56" t="n">
        <f aca="false">I1186*O1186</f>
        <v>62.94605</v>
      </c>
      <c r="V1186" s="56" t="n">
        <f aca="false">J1186*O1186</f>
        <v>188.6738</v>
      </c>
      <c r="W1186" s="56" t="n">
        <f aca="false">((I1186+J1186)/2)*O1186</f>
        <v>125.809925</v>
      </c>
      <c r="X1186" s="56" t="n">
        <f aca="false">H1186*O1186</f>
        <v>460.18</v>
      </c>
    </row>
    <row r="1187" customFormat="false" ht="15" hidden="false" customHeight="false" outlineLevel="0" collapsed="false">
      <c r="A1187" s="76" t="s">
        <v>2063</v>
      </c>
      <c r="B1187" s="49" t="s">
        <v>3795</v>
      </c>
      <c r="C1187" s="49" t="s">
        <v>3796</v>
      </c>
      <c r="D1187" s="49" t="s">
        <v>2101</v>
      </c>
      <c r="E1187" s="50" t="s">
        <v>2096</v>
      </c>
      <c r="F1187" s="49" t="s">
        <v>2097</v>
      </c>
      <c r="G1187" s="49" t="s">
        <v>2097</v>
      </c>
      <c r="H1187" s="51" t="n">
        <v>36</v>
      </c>
      <c r="I1187" s="51" t="n">
        <v>1.63</v>
      </c>
      <c r="J1187" s="51" t="n">
        <v>4.89</v>
      </c>
      <c r="K1187" s="52" t="n">
        <v>55</v>
      </c>
      <c r="L1187" s="53" t="n">
        <v>13.1</v>
      </c>
      <c r="M1187" s="54" t="n">
        <v>71.4</v>
      </c>
      <c r="N1187" s="51" t="n">
        <v>0.248688</v>
      </c>
      <c r="O1187" s="55" t="n">
        <v>30.5118</v>
      </c>
      <c r="P1187" s="51" t="n">
        <v>31.11</v>
      </c>
      <c r="Q1187" s="49" t="s">
        <v>2098</v>
      </c>
      <c r="R1187" s="49" t="s">
        <v>2099</v>
      </c>
      <c r="S1187" s="53" t="n">
        <v>0.5</v>
      </c>
      <c r="T1187" s="51" t="n">
        <v>55</v>
      </c>
      <c r="U1187" s="56" t="n">
        <f aca="false">I1187*O1187</f>
        <v>49.734234</v>
      </c>
      <c r="V1187" s="56" t="n">
        <f aca="false">J1187*O1187</f>
        <v>149.202702</v>
      </c>
      <c r="W1187" s="56" t="n">
        <f aca="false">((I1187+J1187)/2)*O1187</f>
        <v>99.468468</v>
      </c>
      <c r="X1187" s="56" t="n">
        <f aca="false">H1187*O1187</f>
        <v>1098.4248</v>
      </c>
    </row>
    <row r="1188" customFormat="false" ht="22.35" hidden="false" customHeight="false" outlineLevel="0" collapsed="false">
      <c r="A1188" s="76" t="s">
        <v>2063</v>
      </c>
      <c r="B1188" s="62" t="s">
        <v>3797</v>
      </c>
      <c r="C1188" s="62" t="s">
        <v>2388</v>
      </c>
      <c r="D1188" s="62" t="s">
        <v>2101</v>
      </c>
      <c r="E1188" s="63" t="s">
        <v>2169</v>
      </c>
      <c r="F1188" s="64" t="s">
        <v>2170</v>
      </c>
      <c r="G1188" s="62" t="s">
        <v>2097</v>
      </c>
      <c r="H1188" s="65" t="n">
        <v>28</v>
      </c>
      <c r="I1188" s="65" t="n">
        <v>2</v>
      </c>
      <c r="J1188" s="65" t="n">
        <v>6</v>
      </c>
      <c r="K1188" s="66" t="n">
        <v>44</v>
      </c>
      <c r="L1188" s="67" t="n">
        <v>25.7</v>
      </c>
      <c r="M1188" s="68" t="n">
        <v>58.3</v>
      </c>
      <c r="N1188" s="65" t="n">
        <v>0.444392</v>
      </c>
      <c r="O1188" s="69" t="n">
        <v>15.7037</v>
      </c>
      <c r="P1188" s="65" t="n">
        <v>22</v>
      </c>
      <c r="Q1188" s="62" t="s">
        <v>2098</v>
      </c>
      <c r="R1188" s="62" t="s">
        <v>3798</v>
      </c>
      <c r="S1188" s="67" t="n">
        <v>0.5</v>
      </c>
      <c r="T1188" s="65" t="n">
        <v>44</v>
      </c>
      <c r="U1188" s="56" t="n">
        <f aca="false">I1188*O1188</f>
        <v>31.4074</v>
      </c>
      <c r="V1188" s="56" t="n">
        <f aca="false">J1188*O1188</f>
        <v>94.2222</v>
      </c>
      <c r="W1188" s="56" t="n">
        <f aca="false">((I1188+J1188)/2)*O1188</f>
        <v>62.8148</v>
      </c>
      <c r="X1188" s="56" t="n">
        <f aca="false">H1188*O1188</f>
        <v>439.7036</v>
      </c>
    </row>
    <row r="1189" customFormat="false" ht="22.35" hidden="false" customHeight="false" outlineLevel="0" collapsed="false">
      <c r="A1189" s="76" t="s">
        <v>2063</v>
      </c>
      <c r="B1189" s="49" t="s">
        <v>2387</v>
      </c>
      <c r="C1189" s="49" t="s">
        <v>2388</v>
      </c>
      <c r="D1189" s="49" t="s">
        <v>2101</v>
      </c>
      <c r="E1189" s="57" t="s">
        <v>2102</v>
      </c>
      <c r="F1189" s="49" t="s">
        <v>2097</v>
      </c>
      <c r="G1189" s="49" t="s">
        <v>2097</v>
      </c>
      <c r="H1189" s="51" t="n">
        <v>144</v>
      </c>
      <c r="I1189" s="51" t="n">
        <v>65.4</v>
      </c>
      <c r="J1189" s="51" t="n">
        <v>196.2</v>
      </c>
      <c r="K1189" s="52" t="n">
        <v>440</v>
      </c>
      <c r="L1189" s="53" t="n">
        <v>21.4</v>
      </c>
      <c r="M1189" s="54" t="n">
        <v>71.4</v>
      </c>
      <c r="N1189" s="51" t="n">
        <v>6.112342</v>
      </c>
      <c r="O1189" s="55" t="n">
        <v>22.4005</v>
      </c>
      <c r="P1189" s="51" t="n">
        <v>-52.2</v>
      </c>
      <c r="Q1189" s="49" t="s">
        <v>2103</v>
      </c>
      <c r="R1189" s="49" t="s">
        <v>2099</v>
      </c>
      <c r="S1189" s="53" t="n">
        <v>0.5</v>
      </c>
      <c r="T1189" s="51" t="n">
        <v>440</v>
      </c>
      <c r="U1189" s="56" t="n">
        <f aca="false">I1189*O1189</f>
        <v>1464.9927</v>
      </c>
      <c r="V1189" s="56" t="n">
        <f aca="false">J1189*O1189</f>
        <v>4394.9781</v>
      </c>
      <c r="W1189" s="56" t="n">
        <f aca="false">((I1189+J1189)/2)*O1189</f>
        <v>2929.9854</v>
      </c>
      <c r="X1189" s="56" t="n">
        <f aca="false">H1189*O1189</f>
        <v>3225.672</v>
      </c>
    </row>
    <row r="1190" customFormat="false" ht="22.35" hidden="false" customHeight="false" outlineLevel="0" collapsed="false">
      <c r="A1190" s="76" t="s">
        <v>2063</v>
      </c>
      <c r="B1190" s="7" t="s">
        <v>1400</v>
      </c>
      <c r="C1190" s="7" t="s">
        <v>3799</v>
      </c>
      <c r="D1190" s="7" t="s">
        <v>2319</v>
      </c>
      <c r="E1190" s="74" t="s">
        <v>2320</v>
      </c>
      <c r="F1190" s="7" t="s">
        <v>2097</v>
      </c>
      <c r="G1190" s="7" t="s">
        <v>2097</v>
      </c>
      <c r="H1190" s="9" t="n">
        <v>160</v>
      </c>
      <c r="I1190" s="9" t="n">
        <v>0</v>
      </c>
      <c r="J1190" s="9" t="n">
        <v>0</v>
      </c>
      <c r="K1190" s="52" t="n">
        <v>0</v>
      </c>
      <c r="L1190" s="58" t="n">
        <v>38</v>
      </c>
      <c r="M1190" s="59" t="n">
        <v>100</v>
      </c>
      <c r="N1190" s="9" t="n">
        <v>0</v>
      </c>
      <c r="O1190" s="8" t="n">
        <v>67.77</v>
      </c>
      <c r="P1190" s="9" t="n">
        <v>160</v>
      </c>
      <c r="Q1190" s="7" t="s">
        <v>2098</v>
      </c>
      <c r="R1190" s="7" t="s">
        <v>2321</v>
      </c>
      <c r="S1190" s="58" t="n">
        <v>0</v>
      </c>
      <c r="T1190" s="9" t="n">
        <v>1</v>
      </c>
      <c r="U1190" s="56" t="n">
        <f aca="false">I1190*O1190</f>
        <v>0</v>
      </c>
      <c r="V1190" s="56" t="n">
        <f aca="false">J1190*O1190</f>
        <v>0</v>
      </c>
      <c r="W1190" s="56" t="n">
        <f aca="false">((I1190+J1190)/2)*O1190</f>
        <v>0</v>
      </c>
      <c r="X1190" s="56" t="n">
        <f aca="false">H1190*O1190</f>
        <v>10843.2</v>
      </c>
    </row>
    <row r="1191" customFormat="false" ht="22.35" hidden="false" customHeight="false" outlineLevel="0" collapsed="false">
      <c r="A1191" s="76" t="s">
        <v>2063</v>
      </c>
      <c r="B1191" s="49" t="s">
        <v>3800</v>
      </c>
      <c r="C1191" s="49" t="s">
        <v>2647</v>
      </c>
      <c r="D1191" s="49" t="s">
        <v>2570</v>
      </c>
      <c r="E1191" s="77" t="s">
        <v>2571</v>
      </c>
      <c r="F1191" s="49" t="s">
        <v>2097</v>
      </c>
      <c r="G1191" s="49" t="s">
        <v>2097</v>
      </c>
      <c r="H1191" s="51" t="n">
        <v>20</v>
      </c>
      <c r="I1191" s="51" t="n">
        <v>0</v>
      </c>
      <c r="J1191" s="51" t="n">
        <v>0</v>
      </c>
      <c r="K1191" s="52" t="n">
        <v>0</v>
      </c>
      <c r="L1191" s="53" t="n">
        <v>26.1</v>
      </c>
      <c r="M1191" s="54"/>
      <c r="N1191" s="51" t="n">
        <v>0</v>
      </c>
      <c r="O1191" s="55" t="n">
        <v>0</v>
      </c>
      <c r="P1191" s="51" t="n">
        <v>20</v>
      </c>
      <c r="Q1191" s="49" t="s">
        <v>2098</v>
      </c>
      <c r="R1191" s="49" t="s">
        <v>2572</v>
      </c>
      <c r="S1191" s="53" t="n">
        <v>0</v>
      </c>
      <c r="T1191" s="51" t="n">
        <v>1</v>
      </c>
      <c r="U1191" s="56" t="n">
        <f aca="false">I1191*O1191</f>
        <v>0</v>
      </c>
      <c r="V1191" s="56" t="n">
        <f aca="false">J1191*O1191</f>
        <v>0</v>
      </c>
      <c r="W1191" s="56" t="n">
        <f aca="false">((I1191+J1191)/2)*O1191</f>
        <v>0</v>
      </c>
      <c r="X1191" s="56" t="n">
        <f aca="false">H1191*O1191</f>
        <v>0</v>
      </c>
    </row>
    <row r="1192" customFormat="false" ht="22.35" hidden="false" customHeight="false" outlineLevel="0" collapsed="false">
      <c r="A1192" s="76" t="s">
        <v>2063</v>
      </c>
      <c r="B1192" s="7" t="s">
        <v>3801</v>
      </c>
      <c r="C1192" s="7" t="s">
        <v>2653</v>
      </c>
      <c r="D1192" s="7" t="s">
        <v>2570</v>
      </c>
      <c r="E1192" s="77" t="s">
        <v>2571</v>
      </c>
      <c r="F1192" s="7" t="s">
        <v>2097</v>
      </c>
      <c r="G1192" s="7" t="s">
        <v>2097</v>
      </c>
      <c r="H1192" s="9" t="n">
        <v>16</v>
      </c>
      <c r="I1192" s="9" t="n">
        <v>0</v>
      </c>
      <c r="J1192" s="9" t="n">
        <v>0</v>
      </c>
      <c r="K1192" s="52" t="n">
        <v>0</v>
      </c>
      <c r="L1192" s="58" t="n">
        <v>26.1</v>
      </c>
      <c r="M1192" s="59"/>
      <c r="N1192" s="9" t="n">
        <v>0</v>
      </c>
      <c r="O1192" s="8" t="n">
        <v>0</v>
      </c>
      <c r="P1192" s="9" t="n">
        <v>16</v>
      </c>
      <c r="Q1192" s="7" t="s">
        <v>2098</v>
      </c>
      <c r="R1192" s="7" t="s">
        <v>2572</v>
      </c>
      <c r="S1192" s="58" t="n">
        <v>0</v>
      </c>
      <c r="T1192" s="9" t="n">
        <v>1</v>
      </c>
      <c r="U1192" s="56" t="n">
        <f aca="false">I1192*O1192</f>
        <v>0</v>
      </c>
      <c r="V1192" s="56" t="n">
        <f aca="false">J1192*O1192</f>
        <v>0</v>
      </c>
      <c r="W1192" s="56" t="n">
        <f aca="false">((I1192+J1192)/2)*O1192</f>
        <v>0</v>
      </c>
      <c r="X1192" s="56" t="n">
        <f aca="false">H1192*O1192</f>
        <v>0</v>
      </c>
    </row>
    <row r="1193" customFormat="false" ht="22.35" hidden="false" customHeight="false" outlineLevel="0" collapsed="false">
      <c r="A1193" s="76" t="s">
        <v>2063</v>
      </c>
      <c r="B1193" s="49" t="s">
        <v>3802</v>
      </c>
      <c r="C1193" s="49" t="s">
        <v>2655</v>
      </c>
      <c r="D1193" s="49" t="s">
        <v>2570</v>
      </c>
      <c r="E1193" s="77" t="s">
        <v>2571</v>
      </c>
      <c r="F1193" s="49" t="s">
        <v>2097</v>
      </c>
      <c r="G1193" s="49" t="s">
        <v>2097</v>
      </c>
      <c r="H1193" s="51" t="n">
        <v>20</v>
      </c>
      <c r="I1193" s="51" t="n">
        <v>0</v>
      </c>
      <c r="J1193" s="51" t="n">
        <v>0</v>
      </c>
      <c r="K1193" s="52" t="n">
        <v>0</v>
      </c>
      <c r="L1193" s="53" t="n">
        <v>26.1</v>
      </c>
      <c r="M1193" s="54"/>
      <c r="N1193" s="51" t="n">
        <v>0</v>
      </c>
      <c r="O1193" s="55" t="n">
        <v>0</v>
      </c>
      <c r="P1193" s="51" t="n">
        <v>20</v>
      </c>
      <c r="Q1193" s="49" t="s">
        <v>2098</v>
      </c>
      <c r="R1193" s="49" t="s">
        <v>2572</v>
      </c>
      <c r="S1193" s="53" t="n">
        <v>0</v>
      </c>
      <c r="T1193" s="51" t="n">
        <v>1</v>
      </c>
      <c r="U1193" s="56" t="n">
        <f aca="false">I1193*O1193</f>
        <v>0</v>
      </c>
      <c r="V1193" s="56" t="n">
        <f aca="false">J1193*O1193</f>
        <v>0</v>
      </c>
      <c r="W1193" s="56" t="n">
        <f aca="false">((I1193+J1193)/2)*O1193</f>
        <v>0</v>
      </c>
      <c r="X1193" s="56" t="n">
        <f aca="false">H1193*O1193</f>
        <v>0</v>
      </c>
    </row>
    <row r="1194" customFormat="false" ht="22.35" hidden="false" customHeight="false" outlineLevel="0" collapsed="false">
      <c r="A1194" s="76" t="s">
        <v>2063</v>
      </c>
      <c r="B1194" s="7" t="s">
        <v>3803</v>
      </c>
      <c r="C1194" s="7" t="s">
        <v>3804</v>
      </c>
      <c r="D1194" s="7" t="s">
        <v>2570</v>
      </c>
      <c r="E1194" s="77" t="s">
        <v>2571</v>
      </c>
      <c r="F1194" s="7" t="s">
        <v>2097</v>
      </c>
      <c r="G1194" s="7" t="s">
        <v>2097</v>
      </c>
      <c r="H1194" s="9" t="n">
        <v>144</v>
      </c>
      <c r="I1194" s="9" t="n">
        <v>0</v>
      </c>
      <c r="J1194" s="9" t="n">
        <v>0</v>
      </c>
      <c r="K1194" s="52" t="n">
        <v>0</v>
      </c>
      <c r="L1194" s="58" t="n">
        <v>26.1</v>
      </c>
      <c r="M1194" s="59"/>
      <c r="N1194" s="9" t="n">
        <v>0.045205</v>
      </c>
      <c r="O1194" s="8" t="n">
        <v>0</v>
      </c>
      <c r="P1194" s="9" t="n">
        <v>144</v>
      </c>
      <c r="Q1194" s="7" t="s">
        <v>2098</v>
      </c>
      <c r="R1194" s="7" t="s">
        <v>2572</v>
      </c>
      <c r="S1194" s="58" t="n">
        <v>0</v>
      </c>
      <c r="T1194" s="9" t="n">
        <v>1</v>
      </c>
      <c r="U1194" s="56" t="n">
        <f aca="false">I1194*O1194</f>
        <v>0</v>
      </c>
      <c r="V1194" s="56" t="n">
        <f aca="false">J1194*O1194</f>
        <v>0</v>
      </c>
      <c r="W1194" s="56" t="n">
        <f aca="false">((I1194+J1194)/2)*O1194</f>
        <v>0</v>
      </c>
      <c r="X1194" s="56" t="n">
        <f aca="false">H1194*O1194</f>
        <v>0</v>
      </c>
    </row>
    <row r="1195" customFormat="false" ht="22.35" hidden="false" customHeight="false" outlineLevel="0" collapsed="false">
      <c r="A1195" s="76" t="s">
        <v>2063</v>
      </c>
      <c r="B1195" s="49" t="s">
        <v>3805</v>
      </c>
      <c r="C1195" s="49" t="s">
        <v>3806</v>
      </c>
      <c r="D1195" s="49" t="s">
        <v>2570</v>
      </c>
      <c r="E1195" s="77" t="s">
        <v>2571</v>
      </c>
      <c r="F1195" s="49" t="s">
        <v>2097</v>
      </c>
      <c r="G1195" s="49" t="s">
        <v>2097</v>
      </c>
      <c r="H1195" s="51" t="n">
        <v>72</v>
      </c>
      <c r="I1195" s="51" t="n">
        <v>0</v>
      </c>
      <c r="J1195" s="51" t="n">
        <v>0</v>
      </c>
      <c r="K1195" s="52" t="n">
        <v>0</v>
      </c>
      <c r="L1195" s="53" t="n">
        <v>26.1</v>
      </c>
      <c r="M1195" s="54"/>
      <c r="N1195" s="51" t="n">
        <v>0.031507</v>
      </c>
      <c r="O1195" s="55" t="n">
        <v>0</v>
      </c>
      <c r="P1195" s="51" t="n">
        <v>72</v>
      </c>
      <c r="Q1195" s="49" t="s">
        <v>2098</v>
      </c>
      <c r="R1195" s="49" t="s">
        <v>2572</v>
      </c>
      <c r="S1195" s="53" t="n">
        <v>0</v>
      </c>
      <c r="T1195" s="51" t="n">
        <v>1</v>
      </c>
      <c r="U1195" s="56" t="n">
        <f aca="false">I1195*O1195</f>
        <v>0</v>
      </c>
      <c r="V1195" s="56" t="n">
        <f aca="false">J1195*O1195</f>
        <v>0</v>
      </c>
      <c r="W1195" s="56" t="n">
        <f aca="false">((I1195+J1195)/2)*O1195</f>
        <v>0</v>
      </c>
      <c r="X1195" s="56" t="n">
        <f aca="false">H1195*O1195</f>
        <v>0</v>
      </c>
    </row>
    <row r="1196" customFormat="false" ht="22.35" hidden="false" customHeight="false" outlineLevel="0" collapsed="false">
      <c r="A1196" s="76" t="s">
        <v>2063</v>
      </c>
      <c r="B1196" s="7" t="s">
        <v>2391</v>
      </c>
      <c r="C1196" s="7" t="s">
        <v>1744</v>
      </c>
      <c r="D1196" s="7" t="s">
        <v>2095</v>
      </c>
      <c r="E1196" s="61" t="s">
        <v>2113</v>
      </c>
      <c r="F1196" s="7" t="s">
        <v>2097</v>
      </c>
      <c r="G1196" s="7" t="s">
        <v>2097</v>
      </c>
      <c r="H1196" s="9" t="n">
        <v>420</v>
      </c>
      <c r="I1196" s="9" t="n">
        <v>1053.54</v>
      </c>
      <c r="J1196" s="9" t="n">
        <v>2107.08</v>
      </c>
      <c r="K1196" s="52" t="n">
        <v>2394</v>
      </c>
      <c r="L1196" s="58" t="n">
        <v>30</v>
      </c>
      <c r="M1196" s="59" t="n">
        <v>57.1</v>
      </c>
      <c r="N1196" s="9" t="n">
        <v>35.118041</v>
      </c>
      <c r="O1196" s="8" t="n">
        <v>2.831</v>
      </c>
      <c r="P1196" s="9" t="n">
        <v>-1687.08</v>
      </c>
      <c r="Q1196" s="7" t="s">
        <v>2103</v>
      </c>
      <c r="R1196" s="7" t="s">
        <v>2099</v>
      </c>
      <c r="S1196" s="58" t="n">
        <v>1</v>
      </c>
      <c r="T1196" s="9" t="n">
        <v>399</v>
      </c>
      <c r="U1196" s="56" t="n">
        <f aca="false">I1196*O1196</f>
        <v>2982.57174</v>
      </c>
      <c r="V1196" s="56" t="n">
        <f aca="false">J1196*O1196</f>
        <v>5965.14348</v>
      </c>
      <c r="W1196" s="56" t="n">
        <f aca="false">((I1196+J1196)/2)*O1196</f>
        <v>4473.85761</v>
      </c>
      <c r="X1196" s="56" t="n">
        <f aca="false">H1196*O1196</f>
        <v>1189.02</v>
      </c>
    </row>
    <row r="1197" customFormat="false" ht="22.35" hidden="false" customHeight="false" outlineLevel="0" collapsed="false">
      <c r="A1197" s="76" t="s">
        <v>2063</v>
      </c>
      <c r="B1197" s="49" t="s">
        <v>2392</v>
      </c>
      <c r="C1197" s="49" t="s">
        <v>2393</v>
      </c>
      <c r="D1197" s="49" t="s">
        <v>2101</v>
      </c>
      <c r="E1197" s="57" t="s">
        <v>2102</v>
      </c>
      <c r="F1197" s="49" t="s">
        <v>2097</v>
      </c>
      <c r="G1197" s="49" t="s">
        <v>2097</v>
      </c>
      <c r="H1197" s="51" t="n">
        <v>668</v>
      </c>
      <c r="I1197" s="51" t="n">
        <v>383.67</v>
      </c>
      <c r="J1197" s="51" t="n">
        <v>1151.02</v>
      </c>
      <c r="K1197" s="52" t="n">
        <v>1680</v>
      </c>
      <c r="L1197" s="53" t="n">
        <v>19</v>
      </c>
      <c r="M1197" s="54" t="n">
        <v>78</v>
      </c>
      <c r="N1197" s="51" t="n">
        <v>40.386736</v>
      </c>
      <c r="O1197" s="55" t="n">
        <v>1.165</v>
      </c>
      <c r="P1197" s="51" t="n">
        <v>-483.02</v>
      </c>
      <c r="Q1197" s="49" t="s">
        <v>2103</v>
      </c>
      <c r="R1197" s="49" t="s">
        <v>2099</v>
      </c>
      <c r="S1197" s="53" t="n">
        <v>0.5</v>
      </c>
      <c r="T1197" s="51" t="n">
        <v>840</v>
      </c>
      <c r="U1197" s="56" t="n">
        <f aca="false">I1197*O1197</f>
        <v>446.97555</v>
      </c>
      <c r="V1197" s="56" t="n">
        <f aca="false">J1197*O1197</f>
        <v>1340.9383</v>
      </c>
      <c r="W1197" s="56" t="n">
        <f aca="false">((I1197+J1197)/2)*O1197</f>
        <v>893.956925</v>
      </c>
      <c r="X1197" s="56" t="n">
        <f aca="false">H1197*O1197</f>
        <v>778.22</v>
      </c>
    </row>
    <row r="1198" customFormat="false" ht="22.35" hidden="false" customHeight="false" outlineLevel="0" collapsed="false">
      <c r="A1198" s="76" t="s">
        <v>2063</v>
      </c>
      <c r="B1198" s="7" t="s">
        <v>2394</v>
      </c>
      <c r="C1198" s="7" t="s">
        <v>2395</v>
      </c>
      <c r="D1198" s="7" t="s">
        <v>2095</v>
      </c>
      <c r="E1198" s="61" t="s">
        <v>2113</v>
      </c>
      <c r="F1198" s="7" t="s">
        <v>2097</v>
      </c>
      <c r="G1198" s="7" t="s">
        <v>2097</v>
      </c>
      <c r="H1198" s="9" t="n">
        <v>1539</v>
      </c>
      <c r="I1198" s="9" t="n">
        <v>1778.94</v>
      </c>
      <c r="J1198" s="9" t="n">
        <v>3557.88</v>
      </c>
      <c r="K1198" s="52" t="n">
        <v>3969</v>
      </c>
      <c r="L1198" s="58" t="n">
        <v>29.4</v>
      </c>
      <c r="M1198" s="59" t="n">
        <v>75</v>
      </c>
      <c r="N1198" s="9" t="n">
        <v>60.508117</v>
      </c>
      <c r="O1198" s="8" t="n">
        <v>1.878</v>
      </c>
      <c r="P1198" s="9" t="n">
        <v>-2018.88</v>
      </c>
      <c r="Q1198" s="7" t="s">
        <v>2103</v>
      </c>
      <c r="R1198" s="7" t="s">
        <v>2099</v>
      </c>
      <c r="S1198" s="58" t="n">
        <v>1</v>
      </c>
      <c r="T1198" s="9" t="n">
        <v>441</v>
      </c>
      <c r="U1198" s="56" t="n">
        <f aca="false">I1198*O1198</f>
        <v>3340.84932</v>
      </c>
      <c r="V1198" s="56" t="n">
        <f aca="false">J1198*O1198</f>
        <v>6681.69864</v>
      </c>
      <c r="W1198" s="56" t="n">
        <f aca="false">((I1198+J1198)/2)*O1198</f>
        <v>5011.27398</v>
      </c>
      <c r="X1198" s="56" t="n">
        <f aca="false">H1198*O1198</f>
        <v>2890.242</v>
      </c>
    </row>
    <row r="1199" customFormat="false" ht="22.35" hidden="false" customHeight="false" outlineLevel="0" collapsed="false">
      <c r="A1199" s="76" t="s">
        <v>2063</v>
      </c>
      <c r="B1199" s="49" t="s">
        <v>3807</v>
      </c>
      <c r="C1199" s="49" t="s">
        <v>3808</v>
      </c>
      <c r="D1199" s="49" t="s">
        <v>2570</v>
      </c>
      <c r="E1199" s="77" t="s">
        <v>2571</v>
      </c>
      <c r="F1199" s="49" t="s">
        <v>2097</v>
      </c>
      <c r="G1199" s="49" t="s">
        <v>2097</v>
      </c>
      <c r="H1199" s="51" t="n">
        <v>64</v>
      </c>
      <c r="I1199" s="51" t="n">
        <v>0</v>
      </c>
      <c r="J1199" s="51" t="n">
        <v>0</v>
      </c>
      <c r="K1199" s="52" t="n">
        <v>0</v>
      </c>
      <c r="L1199" s="53" t="n">
        <v>26.1</v>
      </c>
      <c r="M1199" s="54"/>
      <c r="N1199" s="51" t="n">
        <v>0.645205</v>
      </c>
      <c r="O1199" s="55" t="n">
        <v>0</v>
      </c>
      <c r="P1199" s="51" t="n">
        <v>64</v>
      </c>
      <c r="Q1199" s="49" t="s">
        <v>2098</v>
      </c>
      <c r="R1199" s="49" t="s">
        <v>2572</v>
      </c>
      <c r="S1199" s="53" t="n">
        <v>0</v>
      </c>
      <c r="T1199" s="51" t="n">
        <v>1</v>
      </c>
      <c r="U1199" s="56" t="n">
        <f aca="false">I1199*O1199</f>
        <v>0</v>
      </c>
      <c r="V1199" s="56" t="n">
        <f aca="false">J1199*O1199</f>
        <v>0</v>
      </c>
      <c r="W1199" s="56" t="n">
        <f aca="false">((I1199+J1199)/2)*O1199</f>
        <v>0</v>
      </c>
      <c r="X1199" s="56" t="n">
        <f aca="false">H1199*O1199</f>
        <v>0</v>
      </c>
    </row>
    <row r="1200" customFormat="false" ht="15" hidden="false" customHeight="false" outlineLevel="0" collapsed="false">
      <c r="A1200" s="76" t="s">
        <v>2063</v>
      </c>
      <c r="B1200" s="7" t="s">
        <v>3809</v>
      </c>
      <c r="C1200" s="7" t="s">
        <v>1992</v>
      </c>
      <c r="D1200" s="7" t="s">
        <v>2101</v>
      </c>
      <c r="E1200" s="50" t="s">
        <v>2096</v>
      </c>
      <c r="F1200" s="7" t="s">
        <v>2097</v>
      </c>
      <c r="G1200" s="7" t="s">
        <v>2097</v>
      </c>
      <c r="H1200" s="9" t="n">
        <v>40</v>
      </c>
      <c r="I1200" s="9" t="n">
        <v>13.04</v>
      </c>
      <c r="J1200" s="9" t="n">
        <v>39.12</v>
      </c>
      <c r="K1200" s="52" t="n">
        <v>441</v>
      </c>
      <c r="L1200" s="58" t="n">
        <v>20.7</v>
      </c>
      <c r="M1200" s="59" t="n">
        <v>66.7</v>
      </c>
      <c r="N1200" s="9" t="n">
        <v>1.260049</v>
      </c>
      <c r="O1200" s="8" t="n">
        <v>2.1164</v>
      </c>
      <c r="P1200" s="9" t="n">
        <v>0.88</v>
      </c>
      <c r="Q1200" s="7" t="s">
        <v>2098</v>
      </c>
      <c r="R1200" s="7" t="s">
        <v>2099</v>
      </c>
      <c r="S1200" s="58" t="n">
        <v>0.5</v>
      </c>
      <c r="T1200" s="9" t="n">
        <v>441</v>
      </c>
      <c r="U1200" s="56" t="n">
        <f aca="false">I1200*O1200</f>
        <v>27.597856</v>
      </c>
      <c r="V1200" s="56" t="n">
        <f aca="false">J1200*O1200</f>
        <v>82.793568</v>
      </c>
      <c r="W1200" s="56" t="n">
        <f aca="false">((I1200+J1200)/2)*O1200</f>
        <v>55.195712</v>
      </c>
      <c r="X1200" s="56" t="n">
        <f aca="false">H1200*O1200</f>
        <v>84.656</v>
      </c>
    </row>
    <row r="1201" customFormat="false" ht="22.35" hidden="false" customHeight="false" outlineLevel="0" collapsed="false">
      <c r="A1201" s="76" t="s">
        <v>2063</v>
      </c>
      <c r="B1201" s="49" t="s">
        <v>3810</v>
      </c>
      <c r="C1201" s="49" t="s">
        <v>3811</v>
      </c>
      <c r="D1201" s="49" t="s">
        <v>2570</v>
      </c>
      <c r="E1201" s="77" t="s">
        <v>2571</v>
      </c>
      <c r="F1201" s="49" t="s">
        <v>2097</v>
      </c>
      <c r="G1201" s="49" t="s">
        <v>2097</v>
      </c>
      <c r="H1201" s="51" t="n">
        <v>120</v>
      </c>
      <c r="I1201" s="51" t="n">
        <v>0</v>
      </c>
      <c r="J1201" s="51" t="n">
        <v>0</v>
      </c>
      <c r="K1201" s="52" t="n">
        <v>0</v>
      </c>
      <c r="L1201" s="53" t="n">
        <v>26.1</v>
      </c>
      <c r="M1201" s="54"/>
      <c r="N1201" s="51" t="n">
        <v>1.747945</v>
      </c>
      <c r="O1201" s="55" t="n">
        <v>0</v>
      </c>
      <c r="P1201" s="51" t="n">
        <v>120</v>
      </c>
      <c r="Q1201" s="49" t="s">
        <v>2098</v>
      </c>
      <c r="R1201" s="49" t="s">
        <v>2572</v>
      </c>
      <c r="S1201" s="53" t="n">
        <v>0</v>
      </c>
      <c r="T1201" s="51" t="n">
        <v>1</v>
      </c>
      <c r="U1201" s="56" t="n">
        <f aca="false">I1201*O1201</f>
        <v>0</v>
      </c>
      <c r="V1201" s="56" t="n">
        <f aca="false">J1201*O1201</f>
        <v>0</v>
      </c>
      <c r="W1201" s="56" t="n">
        <f aca="false">((I1201+J1201)/2)*O1201</f>
        <v>0</v>
      </c>
      <c r="X1201" s="56" t="n">
        <f aca="false">H1201*O1201</f>
        <v>0</v>
      </c>
    </row>
    <row r="1202" customFormat="false" ht="22.35" hidden="false" customHeight="false" outlineLevel="0" collapsed="false">
      <c r="A1202" s="76" t="s">
        <v>2063</v>
      </c>
      <c r="B1202" s="7" t="s">
        <v>3812</v>
      </c>
      <c r="C1202" s="7" t="s">
        <v>3811</v>
      </c>
      <c r="D1202" s="7" t="s">
        <v>2570</v>
      </c>
      <c r="E1202" s="77" t="s">
        <v>2571</v>
      </c>
      <c r="F1202" s="7" t="s">
        <v>2097</v>
      </c>
      <c r="G1202" s="7" t="s">
        <v>2097</v>
      </c>
      <c r="H1202" s="9" t="n">
        <v>288</v>
      </c>
      <c r="I1202" s="9" t="n">
        <v>0</v>
      </c>
      <c r="J1202" s="9" t="n">
        <v>0</v>
      </c>
      <c r="K1202" s="52" t="n">
        <v>0</v>
      </c>
      <c r="L1202" s="58" t="n">
        <v>26.1</v>
      </c>
      <c r="M1202" s="59"/>
      <c r="N1202" s="9" t="n">
        <v>3.706849</v>
      </c>
      <c r="O1202" s="8" t="n">
        <v>0</v>
      </c>
      <c r="P1202" s="9" t="n">
        <v>288</v>
      </c>
      <c r="Q1202" s="7" t="s">
        <v>2098</v>
      </c>
      <c r="R1202" s="7" t="s">
        <v>2572</v>
      </c>
      <c r="S1202" s="58" t="n">
        <v>0</v>
      </c>
      <c r="T1202" s="9" t="n">
        <v>1</v>
      </c>
      <c r="U1202" s="56" t="n">
        <f aca="false">I1202*O1202</f>
        <v>0</v>
      </c>
      <c r="V1202" s="56" t="n">
        <f aca="false">J1202*O1202</f>
        <v>0</v>
      </c>
      <c r="W1202" s="56" t="n">
        <f aca="false">((I1202+J1202)/2)*O1202</f>
        <v>0</v>
      </c>
      <c r="X1202" s="56" t="n">
        <f aca="false">H1202*O1202</f>
        <v>0</v>
      </c>
    </row>
    <row r="1203" customFormat="false" ht="22.35" hidden="false" customHeight="false" outlineLevel="0" collapsed="false">
      <c r="A1203" s="76" t="s">
        <v>2063</v>
      </c>
      <c r="B1203" s="49" t="s">
        <v>2397</v>
      </c>
      <c r="C1203" s="49" t="s">
        <v>2398</v>
      </c>
      <c r="D1203" s="49" t="s">
        <v>2095</v>
      </c>
      <c r="E1203" s="61" t="s">
        <v>2113</v>
      </c>
      <c r="F1203" s="49" t="s">
        <v>2097</v>
      </c>
      <c r="G1203" s="49" t="s">
        <v>2097</v>
      </c>
      <c r="H1203" s="51" t="n">
        <v>320</v>
      </c>
      <c r="I1203" s="51" t="n">
        <v>349.58</v>
      </c>
      <c r="J1203" s="51" t="n">
        <v>699.16</v>
      </c>
      <c r="K1203" s="52" t="n">
        <v>860</v>
      </c>
      <c r="L1203" s="53" t="n">
        <v>27.4</v>
      </c>
      <c r="M1203" s="54" t="n">
        <v>87.9</v>
      </c>
      <c r="N1203" s="51" t="n">
        <v>12.758534</v>
      </c>
      <c r="O1203" s="55" t="n">
        <v>2.263</v>
      </c>
      <c r="P1203" s="51" t="n">
        <v>-379.16</v>
      </c>
      <c r="Q1203" s="49" t="s">
        <v>2103</v>
      </c>
      <c r="R1203" s="49" t="s">
        <v>2099</v>
      </c>
      <c r="S1203" s="53" t="n">
        <v>1</v>
      </c>
      <c r="T1203" s="51" t="n">
        <v>430</v>
      </c>
      <c r="U1203" s="56" t="n">
        <f aca="false">I1203*O1203</f>
        <v>791.09954</v>
      </c>
      <c r="V1203" s="56" t="n">
        <f aca="false">J1203*O1203</f>
        <v>1582.19908</v>
      </c>
      <c r="W1203" s="56" t="n">
        <f aca="false">((I1203+J1203)/2)*O1203</f>
        <v>1186.64931</v>
      </c>
      <c r="X1203" s="56" t="n">
        <f aca="false">H1203*O1203</f>
        <v>724.16</v>
      </c>
    </row>
    <row r="1204" customFormat="false" ht="22.35" hidden="false" customHeight="false" outlineLevel="0" collapsed="false">
      <c r="A1204" s="76" t="s">
        <v>2063</v>
      </c>
      <c r="B1204" s="7" t="s">
        <v>3813</v>
      </c>
      <c r="C1204" s="7" t="s">
        <v>1765</v>
      </c>
      <c r="D1204" s="7" t="s">
        <v>2101</v>
      </c>
      <c r="E1204" s="57" t="s">
        <v>2102</v>
      </c>
      <c r="F1204" s="7" t="s">
        <v>2097</v>
      </c>
      <c r="G1204" s="7" t="s">
        <v>2097</v>
      </c>
      <c r="H1204" s="9" t="n">
        <v>1301</v>
      </c>
      <c r="I1204" s="9" t="n">
        <v>491.83</v>
      </c>
      <c r="J1204" s="9" t="n">
        <v>1475.48</v>
      </c>
      <c r="K1204" s="52" t="n">
        <v>1488</v>
      </c>
      <c r="L1204" s="58" t="n">
        <v>21.7</v>
      </c>
      <c r="M1204" s="59" t="n">
        <v>95.8</v>
      </c>
      <c r="N1204" s="9" t="n">
        <v>45.32963</v>
      </c>
      <c r="O1204" s="8" t="n">
        <v>5.5104</v>
      </c>
      <c r="P1204" s="9" t="n">
        <v>-174.48</v>
      </c>
      <c r="Q1204" s="7" t="s">
        <v>2103</v>
      </c>
      <c r="R1204" s="7" t="s">
        <v>2099</v>
      </c>
      <c r="S1204" s="58" t="n">
        <v>0.5</v>
      </c>
      <c r="T1204" s="9" t="n">
        <v>496</v>
      </c>
      <c r="U1204" s="56" t="n">
        <f aca="false">I1204*O1204</f>
        <v>2710.180032</v>
      </c>
      <c r="V1204" s="56" t="n">
        <f aca="false">J1204*O1204</f>
        <v>8130.484992</v>
      </c>
      <c r="W1204" s="56" t="n">
        <f aca="false">((I1204+J1204)/2)*O1204</f>
        <v>5420.332512</v>
      </c>
      <c r="X1204" s="56" t="n">
        <f aca="false">H1204*O1204</f>
        <v>7169.0304</v>
      </c>
    </row>
    <row r="1205" customFormat="false" ht="22.35" hidden="false" customHeight="false" outlineLevel="0" collapsed="false">
      <c r="A1205" s="76" t="s">
        <v>2063</v>
      </c>
      <c r="B1205" s="4" t="s">
        <v>1500</v>
      </c>
      <c r="C1205" s="4" t="s">
        <v>1501</v>
      </c>
      <c r="D1205" s="4" t="s">
        <v>2319</v>
      </c>
      <c r="E1205" s="70" t="s">
        <v>2193</v>
      </c>
      <c r="F1205" s="4" t="s">
        <v>2097</v>
      </c>
      <c r="G1205" s="71" t="s">
        <v>2194</v>
      </c>
      <c r="H1205" s="6" t="n">
        <v>5</v>
      </c>
      <c r="I1205" s="6" t="n">
        <v>0</v>
      </c>
      <c r="J1205" s="6" t="n">
        <v>0</v>
      </c>
      <c r="K1205" s="52" t="n">
        <v>0</v>
      </c>
      <c r="L1205" s="72" t="n">
        <v>24.3</v>
      </c>
      <c r="M1205" s="73" t="n">
        <v>33.3</v>
      </c>
      <c r="N1205" s="6" t="n">
        <v>0</v>
      </c>
      <c r="O1205" s="5" t="n">
        <v>13.62</v>
      </c>
      <c r="P1205" s="6" t="n">
        <v>5</v>
      </c>
      <c r="Q1205" s="4" t="s">
        <v>2098</v>
      </c>
      <c r="R1205" s="4" t="s">
        <v>2195</v>
      </c>
      <c r="S1205" s="72" t="n">
        <v>0</v>
      </c>
      <c r="T1205" s="6" t="n">
        <v>40</v>
      </c>
      <c r="U1205" s="56" t="n">
        <f aca="false">I1205*O1205</f>
        <v>0</v>
      </c>
      <c r="V1205" s="56" t="n">
        <f aca="false">J1205*O1205</f>
        <v>0</v>
      </c>
      <c r="W1205" s="56" t="n">
        <f aca="false">((I1205+J1205)/2)*O1205</f>
        <v>0</v>
      </c>
      <c r="X1205" s="56" t="n">
        <f aca="false">H1205*O1205</f>
        <v>68.1</v>
      </c>
    </row>
    <row r="1206" customFormat="false" ht="15" hidden="false" customHeight="false" outlineLevel="0" collapsed="false">
      <c r="A1206" s="76" t="s">
        <v>2063</v>
      </c>
      <c r="B1206" s="7" t="s">
        <v>3814</v>
      </c>
      <c r="C1206" s="7" t="s">
        <v>2011</v>
      </c>
      <c r="D1206" s="7" t="s">
        <v>2101</v>
      </c>
      <c r="E1206" s="50" t="s">
        <v>2096</v>
      </c>
      <c r="F1206" s="7" t="s">
        <v>2097</v>
      </c>
      <c r="G1206" s="7" t="s">
        <v>2097</v>
      </c>
      <c r="H1206" s="9" t="n">
        <v>40</v>
      </c>
      <c r="I1206" s="9" t="n">
        <v>0.86</v>
      </c>
      <c r="J1206" s="9" t="n">
        <v>2.58</v>
      </c>
      <c r="K1206" s="52" t="n">
        <v>55</v>
      </c>
      <c r="L1206" s="58" t="n">
        <v>13</v>
      </c>
      <c r="M1206" s="59" t="n">
        <v>50</v>
      </c>
      <c r="N1206" s="9" t="n">
        <v>0.132452</v>
      </c>
      <c r="O1206" s="8" t="n">
        <v>9.2</v>
      </c>
      <c r="P1206" s="9" t="n">
        <v>37.42</v>
      </c>
      <c r="Q1206" s="7" t="s">
        <v>2098</v>
      </c>
      <c r="R1206" s="7" t="s">
        <v>2099</v>
      </c>
      <c r="S1206" s="58" t="n">
        <v>0.5</v>
      </c>
      <c r="T1206" s="9" t="n">
        <v>55</v>
      </c>
      <c r="U1206" s="56" t="n">
        <f aca="false">I1206*O1206</f>
        <v>7.912</v>
      </c>
      <c r="V1206" s="56" t="n">
        <f aca="false">J1206*O1206</f>
        <v>23.736</v>
      </c>
      <c r="W1206" s="56" t="n">
        <f aca="false">((I1206+J1206)/2)*O1206</f>
        <v>15.824</v>
      </c>
      <c r="X1206" s="56" t="n">
        <f aca="false">H1206*O1206</f>
        <v>368</v>
      </c>
    </row>
    <row r="1207" customFormat="false" ht="22.35" hidden="false" customHeight="false" outlineLevel="0" collapsed="false">
      <c r="A1207" s="76" t="s">
        <v>2063</v>
      </c>
      <c r="B1207" s="49" t="s">
        <v>3815</v>
      </c>
      <c r="C1207" s="49" t="s">
        <v>3816</v>
      </c>
      <c r="D1207" s="49" t="s">
        <v>2101</v>
      </c>
      <c r="E1207" s="57" t="s">
        <v>2102</v>
      </c>
      <c r="F1207" s="49" t="s">
        <v>2097</v>
      </c>
      <c r="G1207" s="49" t="s">
        <v>2097</v>
      </c>
      <c r="H1207" s="51" t="n">
        <v>80</v>
      </c>
      <c r="I1207" s="51" t="n">
        <v>28.75</v>
      </c>
      <c r="J1207" s="51" t="n">
        <v>86.26</v>
      </c>
      <c r="K1207" s="52" t="n">
        <v>86.26</v>
      </c>
      <c r="L1207" s="53" t="n">
        <v>17.8</v>
      </c>
      <c r="M1207" s="54" t="n">
        <v>75</v>
      </c>
      <c r="N1207" s="51" t="n">
        <v>3.230795</v>
      </c>
      <c r="O1207" s="55" t="n">
        <v>10.69</v>
      </c>
      <c r="P1207" s="51" t="n">
        <v>-6.26</v>
      </c>
      <c r="Q1207" s="49" t="s">
        <v>2103</v>
      </c>
      <c r="R1207" s="49" t="s">
        <v>2099</v>
      </c>
      <c r="S1207" s="53" t="n">
        <v>0.5</v>
      </c>
      <c r="T1207" s="51" t="n">
        <v>1</v>
      </c>
      <c r="U1207" s="56" t="n">
        <f aca="false">I1207*O1207</f>
        <v>307.3375</v>
      </c>
      <c r="V1207" s="56" t="n">
        <f aca="false">J1207*O1207</f>
        <v>922.1194</v>
      </c>
      <c r="W1207" s="56" t="n">
        <f aca="false">((I1207+J1207)/2)*O1207</f>
        <v>614.72845</v>
      </c>
      <c r="X1207" s="56" t="n">
        <f aca="false">H1207*O1207</f>
        <v>855.2</v>
      </c>
    </row>
    <row r="1208" customFormat="false" ht="15" hidden="false" customHeight="false" outlineLevel="0" collapsed="false">
      <c r="A1208" s="76" t="s">
        <v>2063</v>
      </c>
      <c r="B1208" s="7" t="s">
        <v>2400</v>
      </c>
      <c r="C1208" s="7" t="s">
        <v>2401</v>
      </c>
      <c r="D1208" s="7" t="s">
        <v>2101</v>
      </c>
      <c r="E1208" s="50" t="s">
        <v>2096</v>
      </c>
      <c r="F1208" s="7" t="s">
        <v>2097</v>
      </c>
      <c r="G1208" s="7" t="s">
        <v>2097</v>
      </c>
      <c r="H1208" s="9" t="n">
        <v>40</v>
      </c>
      <c r="I1208" s="9" t="n">
        <v>9.46</v>
      </c>
      <c r="J1208" s="9" t="n">
        <v>28.39</v>
      </c>
      <c r="K1208" s="52" t="n">
        <v>45</v>
      </c>
      <c r="L1208" s="58" t="n">
        <v>72.9</v>
      </c>
      <c r="M1208" s="59" t="n">
        <v>18.8</v>
      </c>
      <c r="N1208" s="9" t="n">
        <v>0.259603</v>
      </c>
      <c r="O1208" s="8" t="n">
        <v>19.08</v>
      </c>
      <c r="P1208" s="9" t="n">
        <v>11.61</v>
      </c>
      <c r="Q1208" s="7" t="s">
        <v>2098</v>
      </c>
      <c r="R1208" s="7" t="s">
        <v>2099</v>
      </c>
      <c r="S1208" s="58" t="n">
        <v>0.5</v>
      </c>
      <c r="T1208" s="9" t="n">
        <v>45</v>
      </c>
      <c r="U1208" s="56" t="n">
        <f aca="false">I1208*O1208</f>
        <v>180.4968</v>
      </c>
      <c r="V1208" s="56" t="n">
        <f aca="false">J1208*O1208</f>
        <v>541.6812</v>
      </c>
      <c r="W1208" s="56" t="n">
        <f aca="false">((I1208+J1208)/2)*O1208</f>
        <v>361.089</v>
      </c>
      <c r="X1208" s="56" t="n">
        <f aca="false">H1208*O1208</f>
        <v>763.2</v>
      </c>
    </row>
    <row r="1209" customFormat="false" ht="15" hidden="false" customHeight="false" outlineLevel="0" collapsed="false">
      <c r="A1209" s="76" t="s">
        <v>2063</v>
      </c>
      <c r="B1209" s="49" t="s">
        <v>2402</v>
      </c>
      <c r="C1209" s="49" t="s">
        <v>2403</v>
      </c>
      <c r="D1209" s="49" t="s">
        <v>2101</v>
      </c>
      <c r="E1209" s="50" t="s">
        <v>2096</v>
      </c>
      <c r="F1209" s="49" t="s">
        <v>2097</v>
      </c>
      <c r="G1209" s="49" t="s">
        <v>2097</v>
      </c>
      <c r="H1209" s="51" t="n">
        <v>40</v>
      </c>
      <c r="I1209" s="51" t="n">
        <v>1.81</v>
      </c>
      <c r="J1209" s="51" t="n">
        <v>5.44</v>
      </c>
      <c r="K1209" s="52" t="n">
        <v>35</v>
      </c>
      <c r="L1209" s="53" t="n">
        <v>78.2</v>
      </c>
      <c r="M1209" s="54" t="n">
        <v>33.3</v>
      </c>
      <c r="N1209" s="51" t="n">
        <v>0.046399</v>
      </c>
      <c r="O1209" s="55" t="n">
        <v>23.285</v>
      </c>
      <c r="P1209" s="51" t="n">
        <v>34.56</v>
      </c>
      <c r="Q1209" s="49" t="s">
        <v>2098</v>
      </c>
      <c r="R1209" s="49" t="s">
        <v>2099</v>
      </c>
      <c r="S1209" s="53" t="n">
        <v>0.5</v>
      </c>
      <c r="T1209" s="51" t="n">
        <v>35</v>
      </c>
      <c r="U1209" s="56" t="n">
        <f aca="false">I1209*O1209</f>
        <v>42.14585</v>
      </c>
      <c r="V1209" s="56" t="n">
        <f aca="false">J1209*O1209</f>
        <v>126.6704</v>
      </c>
      <c r="W1209" s="56" t="n">
        <f aca="false">((I1209+J1209)/2)*O1209</f>
        <v>84.408125</v>
      </c>
      <c r="X1209" s="56" t="n">
        <f aca="false">H1209*O1209</f>
        <v>931.4</v>
      </c>
    </row>
    <row r="1210" customFormat="false" ht="15" hidden="false" customHeight="false" outlineLevel="0" collapsed="false">
      <c r="A1210" s="76" t="s">
        <v>2063</v>
      </c>
      <c r="B1210" s="7" t="s">
        <v>2404</v>
      </c>
      <c r="C1210" s="7" t="s">
        <v>2405</v>
      </c>
      <c r="D1210" s="7" t="s">
        <v>2101</v>
      </c>
      <c r="E1210" s="50" t="s">
        <v>2096</v>
      </c>
      <c r="F1210" s="7" t="s">
        <v>2097</v>
      </c>
      <c r="G1210" s="7" t="s">
        <v>2097</v>
      </c>
      <c r="H1210" s="9" t="n">
        <v>40</v>
      </c>
      <c r="I1210" s="9" t="n">
        <v>1.37</v>
      </c>
      <c r="J1210" s="9" t="n">
        <v>4.1</v>
      </c>
      <c r="K1210" s="52" t="n">
        <v>4.1</v>
      </c>
      <c r="L1210" s="58" t="n">
        <v>82.1</v>
      </c>
      <c r="M1210" s="59" t="n">
        <v>25</v>
      </c>
      <c r="N1210" s="9" t="n">
        <v>0.033288</v>
      </c>
      <c r="O1210" s="8" t="n">
        <v>15.91</v>
      </c>
      <c r="P1210" s="9" t="n">
        <v>35.9</v>
      </c>
      <c r="Q1210" s="7" t="s">
        <v>2098</v>
      </c>
      <c r="R1210" s="7" t="s">
        <v>2099</v>
      </c>
      <c r="S1210" s="58" t="n">
        <v>0.5</v>
      </c>
      <c r="T1210" s="9" t="n">
        <v>1</v>
      </c>
      <c r="U1210" s="56" t="n">
        <f aca="false">I1210*O1210</f>
        <v>21.7967</v>
      </c>
      <c r="V1210" s="56" t="n">
        <f aca="false">J1210*O1210</f>
        <v>65.231</v>
      </c>
      <c r="W1210" s="56" t="n">
        <f aca="false">((I1210+J1210)/2)*O1210</f>
        <v>43.51385</v>
      </c>
      <c r="X1210" s="56" t="n">
        <f aca="false">H1210*O1210</f>
        <v>636.4</v>
      </c>
    </row>
    <row r="1211" customFormat="false" ht="15" hidden="false" customHeight="false" outlineLevel="0" collapsed="false">
      <c r="A1211" s="76" t="s">
        <v>2063</v>
      </c>
      <c r="B1211" s="49" t="s">
        <v>2406</v>
      </c>
      <c r="C1211" s="49" t="s">
        <v>2407</v>
      </c>
      <c r="D1211" s="49" t="s">
        <v>2101</v>
      </c>
      <c r="E1211" s="50" t="s">
        <v>2096</v>
      </c>
      <c r="F1211" s="49" t="s">
        <v>2097</v>
      </c>
      <c r="G1211" s="49" t="s">
        <v>2097</v>
      </c>
      <c r="H1211" s="51" t="n">
        <v>40</v>
      </c>
      <c r="I1211" s="51" t="n">
        <v>1.59</v>
      </c>
      <c r="J1211" s="51" t="n">
        <v>4.78</v>
      </c>
      <c r="K1211" s="52" t="n">
        <v>4.78</v>
      </c>
      <c r="L1211" s="53" t="n">
        <v>36.9</v>
      </c>
      <c r="M1211" s="54" t="n">
        <v>77.8</v>
      </c>
      <c r="N1211" s="51" t="n">
        <v>0.086438</v>
      </c>
      <c r="O1211" s="55" t="n">
        <v>11.398</v>
      </c>
      <c r="P1211" s="51" t="n">
        <v>35.22</v>
      </c>
      <c r="Q1211" s="49" t="s">
        <v>2098</v>
      </c>
      <c r="R1211" s="49" t="s">
        <v>2099</v>
      </c>
      <c r="S1211" s="53" t="n">
        <v>0.5</v>
      </c>
      <c r="T1211" s="51" t="n">
        <v>1</v>
      </c>
      <c r="U1211" s="56" t="n">
        <f aca="false">I1211*O1211</f>
        <v>18.12282</v>
      </c>
      <c r="V1211" s="56" t="n">
        <f aca="false">J1211*O1211</f>
        <v>54.48244</v>
      </c>
      <c r="W1211" s="56" t="n">
        <f aca="false">((I1211+J1211)/2)*O1211</f>
        <v>36.30263</v>
      </c>
      <c r="X1211" s="56" t="n">
        <f aca="false">H1211*O1211</f>
        <v>455.92</v>
      </c>
    </row>
    <row r="1212" customFormat="false" ht="15" hidden="false" customHeight="false" outlineLevel="0" collapsed="false">
      <c r="A1212" s="76" t="s">
        <v>2063</v>
      </c>
      <c r="B1212" s="7" t="s">
        <v>2408</v>
      </c>
      <c r="C1212" s="7" t="s">
        <v>2409</v>
      </c>
      <c r="D1212" s="7" t="s">
        <v>2101</v>
      </c>
      <c r="E1212" s="50" t="s">
        <v>2096</v>
      </c>
      <c r="F1212" s="7" t="s">
        <v>2097</v>
      </c>
      <c r="G1212" s="7" t="s">
        <v>2097</v>
      </c>
      <c r="H1212" s="9" t="n">
        <v>32</v>
      </c>
      <c r="I1212" s="9" t="n">
        <v>3.86</v>
      </c>
      <c r="J1212" s="9" t="n">
        <v>11.58</v>
      </c>
      <c r="K1212" s="52" t="n">
        <v>50</v>
      </c>
      <c r="L1212" s="58" t="n">
        <v>60.6</v>
      </c>
      <c r="M1212" s="59" t="n">
        <v>35.7</v>
      </c>
      <c r="N1212" s="9" t="n">
        <v>0.127329</v>
      </c>
      <c r="O1212" s="8" t="n">
        <v>15.43</v>
      </c>
      <c r="P1212" s="9" t="n">
        <v>20.42</v>
      </c>
      <c r="Q1212" s="7" t="s">
        <v>2098</v>
      </c>
      <c r="R1212" s="7" t="s">
        <v>2099</v>
      </c>
      <c r="S1212" s="58" t="n">
        <v>0.5</v>
      </c>
      <c r="T1212" s="9" t="n">
        <v>50</v>
      </c>
      <c r="U1212" s="56" t="n">
        <f aca="false">I1212*O1212</f>
        <v>59.5598</v>
      </c>
      <c r="V1212" s="56" t="n">
        <f aca="false">J1212*O1212</f>
        <v>178.6794</v>
      </c>
      <c r="W1212" s="56" t="n">
        <f aca="false">((I1212+J1212)/2)*O1212</f>
        <v>119.1196</v>
      </c>
      <c r="X1212" s="56" t="n">
        <f aca="false">H1212*O1212</f>
        <v>493.76</v>
      </c>
    </row>
    <row r="1213" customFormat="false" ht="15" hidden="false" customHeight="false" outlineLevel="0" collapsed="false">
      <c r="A1213" s="76" t="s">
        <v>2063</v>
      </c>
      <c r="B1213" s="49" t="s">
        <v>2410</v>
      </c>
      <c r="C1213" s="49" t="s">
        <v>2411</v>
      </c>
      <c r="D1213" s="49" t="s">
        <v>2101</v>
      </c>
      <c r="E1213" s="50" t="s">
        <v>2096</v>
      </c>
      <c r="F1213" s="49" t="s">
        <v>2097</v>
      </c>
      <c r="G1213" s="49" t="s">
        <v>2097</v>
      </c>
      <c r="H1213" s="51" t="n">
        <v>40</v>
      </c>
      <c r="I1213" s="51" t="n">
        <v>10.5</v>
      </c>
      <c r="J1213" s="51" t="n">
        <v>31.5</v>
      </c>
      <c r="K1213" s="52" t="n">
        <v>31.5</v>
      </c>
      <c r="L1213" s="53" t="n">
        <v>48.4</v>
      </c>
      <c r="M1213" s="54" t="n">
        <v>61.5</v>
      </c>
      <c r="N1213" s="51" t="n">
        <v>0.43387</v>
      </c>
      <c r="O1213" s="55" t="n">
        <v>8.7296</v>
      </c>
      <c r="P1213" s="51" t="n">
        <v>8.5</v>
      </c>
      <c r="Q1213" s="49" t="s">
        <v>2098</v>
      </c>
      <c r="R1213" s="49" t="s">
        <v>2099</v>
      </c>
      <c r="S1213" s="53" t="n">
        <v>0.5</v>
      </c>
      <c r="T1213" s="51" t="n">
        <v>1</v>
      </c>
      <c r="U1213" s="56" t="n">
        <f aca="false">I1213*O1213</f>
        <v>91.6608</v>
      </c>
      <c r="V1213" s="56" t="n">
        <f aca="false">J1213*O1213</f>
        <v>274.9824</v>
      </c>
      <c r="W1213" s="56" t="n">
        <f aca="false">((I1213+J1213)/2)*O1213</f>
        <v>183.3216</v>
      </c>
      <c r="X1213" s="56" t="n">
        <f aca="false">H1213*O1213</f>
        <v>349.184</v>
      </c>
    </row>
    <row r="1214" customFormat="false" ht="15" hidden="false" customHeight="false" outlineLevel="0" collapsed="false">
      <c r="A1214" s="76" t="s">
        <v>2063</v>
      </c>
      <c r="B1214" s="7" t="s">
        <v>2412</v>
      </c>
      <c r="C1214" s="7" t="s">
        <v>2413</v>
      </c>
      <c r="D1214" s="7" t="s">
        <v>2101</v>
      </c>
      <c r="E1214" s="50" t="s">
        <v>2096</v>
      </c>
      <c r="F1214" s="7" t="s">
        <v>2097</v>
      </c>
      <c r="G1214" s="7" t="s">
        <v>2097</v>
      </c>
      <c r="H1214" s="9" t="n">
        <v>40</v>
      </c>
      <c r="I1214" s="9" t="n">
        <v>4.58</v>
      </c>
      <c r="J1214" s="9" t="n">
        <v>13.75</v>
      </c>
      <c r="K1214" s="52" t="n">
        <v>13.75</v>
      </c>
      <c r="L1214" s="58" t="n">
        <v>50.3</v>
      </c>
      <c r="M1214" s="59" t="n">
        <v>64.7</v>
      </c>
      <c r="N1214" s="9" t="n">
        <v>0.182306</v>
      </c>
      <c r="O1214" s="8" t="n">
        <v>16.649</v>
      </c>
      <c r="P1214" s="9" t="n">
        <v>26.25</v>
      </c>
      <c r="Q1214" s="7" t="s">
        <v>2098</v>
      </c>
      <c r="R1214" s="7" t="s">
        <v>2099</v>
      </c>
      <c r="S1214" s="58" t="n">
        <v>0.5</v>
      </c>
      <c r="T1214" s="9" t="n">
        <v>1</v>
      </c>
      <c r="U1214" s="56" t="n">
        <f aca="false">I1214*O1214</f>
        <v>76.25242</v>
      </c>
      <c r="V1214" s="56" t="n">
        <f aca="false">J1214*O1214</f>
        <v>228.92375</v>
      </c>
      <c r="W1214" s="56" t="n">
        <f aca="false">((I1214+J1214)/2)*O1214</f>
        <v>152.588085</v>
      </c>
      <c r="X1214" s="56" t="n">
        <f aca="false">H1214*O1214</f>
        <v>665.96</v>
      </c>
    </row>
    <row r="1215" customFormat="false" ht="22.35" hidden="false" customHeight="false" outlineLevel="0" collapsed="false">
      <c r="A1215" s="76" t="s">
        <v>2063</v>
      </c>
      <c r="B1215" s="49" t="s">
        <v>3817</v>
      </c>
      <c r="C1215" s="49" t="s">
        <v>3818</v>
      </c>
      <c r="D1215" s="49" t="s">
        <v>2101</v>
      </c>
      <c r="E1215" s="57" t="s">
        <v>2102</v>
      </c>
      <c r="F1215" s="49" t="s">
        <v>2097</v>
      </c>
      <c r="G1215" s="49" t="s">
        <v>2097</v>
      </c>
      <c r="H1215" s="51" t="n">
        <v>527</v>
      </c>
      <c r="I1215" s="51" t="n">
        <v>251.06</v>
      </c>
      <c r="J1215" s="51" t="n">
        <v>753.19</v>
      </c>
      <c r="K1215" s="52" t="n">
        <v>753.19</v>
      </c>
      <c r="L1215" s="53" t="n">
        <v>54</v>
      </c>
      <c r="M1215" s="54" t="n">
        <v>50</v>
      </c>
      <c r="N1215" s="51" t="n">
        <v>9.29863</v>
      </c>
      <c r="O1215" s="55" t="n">
        <v>8.029</v>
      </c>
      <c r="P1215" s="51" t="n">
        <v>-226.19</v>
      </c>
      <c r="Q1215" s="49" t="s">
        <v>2103</v>
      </c>
      <c r="R1215" s="49" t="s">
        <v>2099</v>
      </c>
      <c r="S1215" s="53" t="n">
        <v>0.5</v>
      </c>
      <c r="T1215" s="51" t="n">
        <v>1</v>
      </c>
      <c r="U1215" s="56" t="n">
        <f aca="false">I1215*O1215</f>
        <v>2015.76074</v>
      </c>
      <c r="V1215" s="56" t="n">
        <f aca="false">J1215*O1215</f>
        <v>6047.36251</v>
      </c>
      <c r="W1215" s="56" t="n">
        <f aca="false">((I1215+J1215)/2)*O1215</f>
        <v>4031.561625</v>
      </c>
      <c r="X1215" s="56" t="n">
        <f aca="false">H1215*O1215</f>
        <v>4231.283</v>
      </c>
    </row>
    <row r="1216" customFormat="false" ht="22.35" hidden="false" customHeight="false" outlineLevel="0" collapsed="false">
      <c r="A1216" s="76" t="s">
        <v>2063</v>
      </c>
      <c r="B1216" s="4" t="s">
        <v>3819</v>
      </c>
      <c r="C1216" s="4" t="s">
        <v>3820</v>
      </c>
      <c r="D1216" s="4" t="s">
        <v>2101</v>
      </c>
      <c r="E1216" s="70" t="s">
        <v>2193</v>
      </c>
      <c r="F1216" s="4" t="s">
        <v>2097</v>
      </c>
      <c r="G1216" s="71" t="s">
        <v>2194</v>
      </c>
      <c r="H1216" s="6" t="n">
        <v>40</v>
      </c>
      <c r="I1216" s="6" t="n">
        <v>0</v>
      </c>
      <c r="J1216" s="6" t="n">
        <v>0</v>
      </c>
      <c r="K1216" s="52" t="n">
        <v>0</v>
      </c>
      <c r="L1216" s="72" t="n">
        <v>16.5</v>
      </c>
      <c r="M1216" s="73" t="n">
        <v>25</v>
      </c>
      <c r="N1216" s="6" t="n">
        <v>0.209589</v>
      </c>
      <c r="O1216" s="5" t="n">
        <v>9.2454</v>
      </c>
      <c r="P1216" s="6" t="n">
        <v>40</v>
      </c>
      <c r="Q1216" s="4" t="s">
        <v>2098</v>
      </c>
      <c r="R1216" s="4" t="s">
        <v>2195</v>
      </c>
      <c r="S1216" s="72" t="n">
        <v>0</v>
      </c>
      <c r="T1216" s="6" t="n">
        <v>96</v>
      </c>
      <c r="U1216" s="56" t="n">
        <f aca="false">I1216*O1216</f>
        <v>0</v>
      </c>
      <c r="V1216" s="56" t="n">
        <f aca="false">J1216*O1216</f>
        <v>0</v>
      </c>
      <c r="W1216" s="56" t="n">
        <f aca="false">((I1216+J1216)/2)*O1216</f>
        <v>0</v>
      </c>
      <c r="X1216" s="56" t="n">
        <f aca="false">H1216*O1216</f>
        <v>369.816</v>
      </c>
    </row>
    <row r="1217" customFormat="false" ht="15" hidden="false" customHeight="false" outlineLevel="0" collapsed="false">
      <c r="A1217" s="76" t="s">
        <v>2063</v>
      </c>
      <c r="B1217" s="49" t="s">
        <v>3821</v>
      </c>
      <c r="C1217" s="49" t="s">
        <v>3822</v>
      </c>
      <c r="D1217" s="49" t="s">
        <v>2101</v>
      </c>
      <c r="E1217" s="50" t="s">
        <v>2096</v>
      </c>
      <c r="F1217" s="49" t="s">
        <v>2097</v>
      </c>
      <c r="G1217" s="49" t="s">
        <v>2097</v>
      </c>
      <c r="H1217" s="51" t="n">
        <v>676</v>
      </c>
      <c r="I1217" s="51" t="n">
        <v>166.09</v>
      </c>
      <c r="J1217" s="51" t="n">
        <v>498.28</v>
      </c>
      <c r="K1217" s="52" t="n">
        <v>498.28</v>
      </c>
      <c r="L1217" s="53" t="n">
        <v>21.5</v>
      </c>
      <c r="M1217" s="54" t="n">
        <v>100</v>
      </c>
      <c r="N1217" s="51" t="n">
        <v>15.450685</v>
      </c>
      <c r="O1217" s="55" t="n">
        <v>0.4445</v>
      </c>
      <c r="P1217" s="51" t="n">
        <v>177.72</v>
      </c>
      <c r="Q1217" s="49" t="s">
        <v>2098</v>
      </c>
      <c r="R1217" s="49" t="s">
        <v>2099</v>
      </c>
      <c r="S1217" s="53" t="n">
        <v>0.5</v>
      </c>
      <c r="T1217" s="51" t="n">
        <v>1</v>
      </c>
      <c r="U1217" s="56" t="n">
        <f aca="false">I1217*O1217</f>
        <v>73.827005</v>
      </c>
      <c r="V1217" s="56" t="n">
        <f aca="false">J1217*O1217</f>
        <v>221.48546</v>
      </c>
      <c r="W1217" s="56" t="n">
        <f aca="false">((I1217+J1217)/2)*O1217</f>
        <v>147.6562325</v>
      </c>
      <c r="X1217" s="56" t="n">
        <f aca="false">H1217*O1217</f>
        <v>300.482</v>
      </c>
    </row>
    <row r="1218" customFormat="false" ht="15" hidden="false" customHeight="false" outlineLevel="0" collapsed="false">
      <c r="A1218" s="76" t="s">
        <v>2063</v>
      </c>
      <c r="B1218" s="7" t="s">
        <v>3823</v>
      </c>
      <c r="C1218" s="7" t="s">
        <v>3824</v>
      </c>
      <c r="D1218" s="7" t="s">
        <v>2101</v>
      </c>
      <c r="E1218" s="50" t="s">
        <v>2096</v>
      </c>
      <c r="F1218" s="7" t="s">
        <v>2097</v>
      </c>
      <c r="G1218" s="7" t="s">
        <v>2097</v>
      </c>
      <c r="H1218" s="9" t="n">
        <v>504</v>
      </c>
      <c r="I1218" s="9" t="n">
        <v>29.86</v>
      </c>
      <c r="J1218" s="9" t="n">
        <v>89.57</v>
      </c>
      <c r="K1218" s="52" t="n">
        <v>89.57</v>
      </c>
      <c r="L1218" s="58" t="n">
        <v>6</v>
      </c>
      <c r="M1218" s="59" t="n">
        <v>83.3</v>
      </c>
      <c r="N1218" s="9" t="n">
        <v>9.952055</v>
      </c>
      <c r="O1218" s="8" t="n">
        <v>0.2017</v>
      </c>
      <c r="P1218" s="9" t="n">
        <v>414.43</v>
      </c>
      <c r="Q1218" s="7" t="s">
        <v>2098</v>
      </c>
      <c r="R1218" s="7" t="s">
        <v>2099</v>
      </c>
      <c r="S1218" s="58" t="n">
        <v>0.5</v>
      </c>
      <c r="T1218" s="9" t="n">
        <v>1</v>
      </c>
      <c r="U1218" s="56" t="n">
        <f aca="false">I1218*O1218</f>
        <v>6.022762</v>
      </c>
      <c r="V1218" s="56" t="n">
        <f aca="false">J1218*O1218</f>
        <v>18.066269</v>
      </c>
      <c r="W1218" s="56" t="n">
        <f aca="false">((I1218+J1218)/2)*O1218</f>
        <v>12.0445155</v>
      </c>
      <c r="X1218" s="56" t="n">
        <f aca="false">H1218*O1218</f>
        <v>101.6568</v>
      </c>
    </row>
    <row r="1219" customFormat="false" ht="15" hidden="false" customHeight="false" outlineLevel="0" collapsed="false">
      <c r="A1219" s="76" t="s">
        <v>2063</v>
      </c>
      <c r="B1219" s="49" t="s">
        <v>3825</v>
      </c>
      <c r="C1219" s="49" t="s">
        <v>3826</v>
      </c>
      <c r="D1219" s="49" t="s">
        <v>2101</v>
      </c>
      <c r="E1219" s="50" t="s">
        <v>2096</v>
      </c>
      <c r="F1219" s="49" t="s">
        <v>2097</v>
      </c>
      <c r="G1219" s="49" t="s">
        <v>2097</v>
      </c>
      <c r="H1219" s="51" t="n">
        <v>452</v>
      </c>
      <c r="I1219" s="51" t="n">
        <v>40.81</v>
      </c>
      <c r="J1219" s="51" t="n">
        <v>122.42</v>
      </c>
      <c r="K1219" s="52" t="n">
        <v>122.42</v>
      </c>
      <c r="L1219" s="53" t="n">
        <v>9.9</v>
      </c>
      <c r="M1219" s="54" t="n">
        <v>75</v>
      </c>
      <c r="N1219" s="51" t="n">
        <v>8.243836</v>
      </c>
      <c r="O1219" s="55" t="n">
        <v>0.4656</v>
      </c>
      <c r="P1219" s="51" t="n">
        <v>329.58</v>
      </c>
      <c r="Q1219" s="49" t="s">
        <v>2098</v>
      </c>
      <c r="R1219" s="49" t="s">
        <v>2099</v>
      </c>
      <c r="S1219" s="53" t="n">
        <v>0.5</v>
      </c>
      <c r="T1219" s="51" t="n">
        <v>1</v>
      </c>
      <c r="U1219" s="56" t="n">
        <f aca="false">I1219*O1219</f>
        <v>19.001136</v>
      </c>
      <c r="V1219" s="56" t="n">
        <f aca="false">J1219*O1219</f>
        <v>56.998752</v>
      </c>
      <c r="W1219" s="56" t="n">
        <f aca="false">((I1219+J1219)/2)*O1219</f>
        <v>37.999944</v>
      </c>
      <c r="X1219" s="56" t="n">
        <f aca="false">H1219*O1219</f>
        <v>210.4512</v>
      </c>
    </row>
    <row r="1220" customFormat="false" ht="22.35" hidden="false" customHeight="false" outlineLevel="0" collapsed="false">
      <c r="A1220" s="76" t="s">
        <v>2063</v>
      </c>
      <c r="B1220" s="7" t="s">
        <v>3827</v>
      </c>
      <c r="C1220" s="7" t="s">
        <v>3828</v>
      </c>
      <c r="D1220" s="7" t="s">
        <v>2319</v>
      </c>
      <c r="E1220" s="74" t="s">
        <v>2320</v>
      </c>
      <c r="F1220" s="7" t="s">
        <v>2097</v>
      </c>
      <c r="G1220" s="7" t="s">
        <v>2097</v>
      </c>
      <c r="H1220" s="9" t="n">
        <v>20000</v>
      </c>
      <c r="I1220" s="9" t="n">
        <v>0</v>
      </c>
      <c r="J1220" s="9" t="n">
        <v>0</v>
      </c>
      <c r="K1220" s="52" t="n">
        <v>0</v>
      </c>
      <c r="L1220" s="58" t="n">
        <v>132</v>
      </c>
      <c r="M1220" s="59" t="n">
        <v>37.3</v>
      </c>
      <c r="N1220" s="9" t="n">
        <v>0</v>
      </c>
      <c r="O1220" s="8" t="n">
        <v>0.31</v>
      </c>
      <c r="P1220" s="9" t="n">
        <v>20000</v>
      </c>
      <c r="Q1220" s="7" t="s">
        <v>2098</v>
      </c>
      <c r="R1220" s="7" t="s">
        <v>2321</v>
      </c>
      <c r="S1220" s="58" t="n">
        <v>0</v>
      </c>
      <c r="T1220" s="9" t="n">
        <v>1</v>
      </c>
      <c r="U1220" s="56" t="n">
        <f aca="false">I1220*O1220</f>
        <v>0</v>
      </c>
      <c r="V1220" s="56" t="n">
        <f aca="false">J1220*O1220</f>
        <v>0</v>
      </c>
      <c r="W1220" s="56" t="n">
        <f aca="false">((I1220+J1220)/2)*O1220</f>
        <v>0</v>
      </c>
      <c r="X1220" s="56" t="n">
        <f aca="false">H1220*O1220</f>
        <v>6200</v>
      </c>
    </row>
    <row r="1221" customFormat="false" ht="15" hidden="false" customHeight="false" outlineLevel="0" collapsed="false">
      <c r="A1221" s="76" t="s">
        <v>2063</v>
      </c>
      <c r="B1221" s="49" t="s">
        <v>3829</v>
      </c>
      <c r="C1221" s="49" t="s">
        <v>3830</v>
      </c>
      <c r="D1221" s="49" t="s">
        <v>2101</v>
      </c>
      <c r="E1221" s="50" t="s">
        <v>2096</v>
      </c>
      <c r="F1221" s="49" t="s">
        <v>2097</v>
      </c>
      <c r="G1221" s="49" t="s">
        <v>2097</v>
      </c>
      <c r="H1221" s="51" t="n">
        <v>452</v>
      </c>
      <c r="I1221" s="51" t="n">
        <v>91.92</v>
      </c>
      <c r="J1221" s="51" t="n">
        <v>275.76</v>
      </c>
      <c r="K1221" s="52" t="n">
        <v>1600</v>
      </c>
      <c r="L1221" s="53" t="n">
        <v>22.3</v>
      </c>
      <c r="M1221" s="54" t="n">
        <v>100</v>
      </c>
      <c r="N1221" s="51" t="n">
        <v>8.243836</v>
      </c>
      <c r="O1221" s="55" t="n">
        <v>0.698</v>
      </c>
      <c r="P1221" s="51" t="n">
        <v>176.24</v>
      </c>
      <c r="Q1221" s="49" t="s">
        <v>2098</v>
      </c>
      <c r="R1221" s="49" t="s">
        <v>2099</v>
      </c>
      <c r="S1221" s="53" t="n">
        <v>0.5</v>
      </c>
      <c r="T1221" s="51" t="n">
        <v>1600</v>
      </c>
      <c r="U1221" s="56" t="n">
        <f aca="false">I1221*O1221</f>
        <v>64.16016</v>
      </c>
      <c r="V1221" s="56" t="n">
        <f aca="false">J1221*O1221</f>
        <v>192.48048</v>
      </c>
      <c r="W1221" s="56" t="n">
        <f aca="false">((I1221+J1221)/2)*O1221</f>
        <v>128.32032</v>
      </c>
      <c r="X1221" s="56" t="n">
        <f aca="false">H1221*O1221</f>
        <v>315.496</v>
      </c>
    </row>
    <row r="1222" customFormat="false" ht="15" hidden="false" customHeight="false" outlineLevel="0" collapsed="false">
      <c r="A1222" s="76" t="s">
        <v>2063</v>
      </c>
      <c r="B1222" s="7" t="s">
        <v>3831</v>
      </c>
      <c r="C1222" s="7" t="s">
        <v>3832</v>
      </c>
      <c r="D1222" s="7" t="s">
        <v>2101</v>
      </c>
      <c r="E1222" s="50" t="s">
        <v>2096</v>
      </c>
      <c r="F1222" s="7" t="s">
        <v>2097</v>
      </c>
      <c r="G1222" s="7" t="s">
        <v>2097</v>
      </c>
      <c r="H1222" s="9" t="n">
        <v>504</v>
      </c>
      <c r="I1222" s="9" t="n">
        <v>87.08</v>
      </c>
      <c r="J1222" s="9" t="n">
        <v>261.24</v>
      </c>
      <c r="K1222" s="52" t="n">
        <v>1900</v>
      </c>
      <c r="L1222" s="58" t="n">
        <v>17.5</v>
      </c>
      <c r="M1222" s="59" t="n">
        <v>75</v>
      </c>
      <c r="N1222" s="9" t="n">
        <v>9.952055</v>
      </c>
      <c r="O1222" s="8" t="n">
        <v>0.407</v>
      </c>
      <c r="P1222" s="9" t="n">
        <v>242.76</v>
      </c>
      <c r="Q1222" s="7" t="s">
        <v>2098</v>
      </c>
      <c r="R1222" s="7" t="s">
        <v>2099</v>
      </c>
      <c r="S1222" s="58" t="n">
        <v>0.5</v>
      </c>
      <c r="T1222" s="9" t="n">
        <v>1900</v>
      </c>
      <c r="U1222" s="56" t="n">
        <f aca="false">I1222*O1222</f>
        <v>35.44156</v>
      </c>
      <c r="V1222" s="56" t="n">
        <f aca="false">J1222*O1222</f>
        <v>106.32468</v>
      </c>
      <c r="W1222" s="56" t="n">
        <f aca="false">((I1222+J1222)/2)*O1222</f>
        <v>70.88312</v>
      </c>
      <c r="X1222" s="56" t="n">
        <f aca="false">H1222*O1222</f>
        <v>205.128</v>
      </c>
    </row>
    <row r="1223" customFormat="false" ht="22.35" hidden="false" customHeight="false" outlineLevel="0" collapsed="false">
      <c r="A1223" s="76" t="s">
        <v>2063</v>
      </c>
      <c r="B1223" s="4" t="s">
        <v>3833</v>
      </c>
      <c r="C1223" s="4" t="s">
        <v>3834</v>
      </c>
      <c r="D1223" s="4" t="s">
        <v>2101</v>
      </c>
      <c r="E1223" s="70" t="s">
        <v>2193</v>
      </c>
      <c r="F1223" s="4" t="s">
        <v>2097</v>
      </c>
      <c r="G1223" s="71" t="s">
        <v>2194</v>
      </c>
      <c r="H1223" s="6" t="n">
        <v>40</v>
      </c>
      <c r="I1223" s="6" t="n">
        <v>0</v>
      </c>
      <c r="J1223" s="6" t="n">
        <v>0</v>
      </c>
      <c r="K1223" s="52" t="n">
        <v>0</v>
      </c>
      <c r="L1223" s="72" t="n">
        <v>26.1</v>
      </c>
      <c r="M1223" s="73"/>
      <c r="N1223" s="6" t="n">
        <v>0.283562</v>
      </c>
      <c r="O1223" s="5" t="n">
        <v>0.446</v>
      </c>
      <c r="P1223" s="6" t="n">
        <v>40</v>
      </c>
      <c r="Q1223" s="4" t="s">
        <v>2098</v>
      </c>
      <c r="R1223" s="4" t="s">
        <v>2195</v>
      </c>
      <c r="S1223" s="72" t="n">
        <v>0</v>
      </c>
      <c r="T1223" s="6" t="n">
        <v>1</v>
      </c>
      <c r="U1223" s="56" t="n">
        <f aca="false">I1223*O1223</f>
        <v>0</v>
      </c>
      <c r="V1223" s="56" t="n">
        <f aca="false">J1223*O1223</f>
        <v>0</v>
      </c>
      <c r="W1223" s="56" t="n">
        <f aca="false">((I1223+J1223)/2)*O1223</f>
        <v>0</v>
      </c>
      <c r="X1223" s="56" t="n">
        <f aca="false">H1223*O1223</f>
        <v>17.84</v>
      </c>
    </row>
    <row r="1224" customFormat="false" ht="15" hidden="false" customHeight="false" outlineLevel="0" collapsed="false">
      <c r="A1224" s="76" t="s">
        <v>2063</v>
      </c>
      <c r="B1224" s="7" t="s">
        <v>3835</v>
      </c>
      <c r="C1224" s="7" t="s">
        <v>3836</v>
      </c>
      <c r="D1224" s="7" t="s">
        <v>2101</v>
      </c>
      <c r="E1224" s="50" t="s">
        <v>2096</v>
      </c>
      <c r="F1224" s="7" t="s">
        <v>2097</v>
      </c>
      <c r="G1224" s="7" t="s">
        <v>2097</v>
      </c>
      <c r="H1224" s="9" t="n">
        <v>676</v>
      </c>
      <c r="I1224" s="9" t="n">
        <v>188.07</v>
      </c>
      <c r="J1224" s="9" t="n">
        <v>564.21</v>
      </c>
      <c r="K1224" s="52" t="n">
        <v>1000</v>
      </c>
      <c r="L1224" s="58" t="n">
        <v>24.6</v>
      </c>
      <c r="M1224" s="59" t="n">
        <v>50</v>
      </c>
      <c r="N1224" s="9" t="n">
        <v>15.290411</v>
      </c>
      <c r="O1224" s="8" t="n">
        <v>0.12</v>
      </c>
      <c r="P1224" s="9" t="n">
        <v>111.79</v>
      </c>
      <c r="Q1224" s="7" t="s">
        <v>2098</v>
      </c>
      <c r="R1224" s="7" t="s">
        <v>2099</v>
      </c>
      <c r="S1224" s="58" t="n">
        <v>0.5</v>
      </c>
      <c r="T1224" s="9" t="n">
        <v>1000</v>
      </c>
      <c r="U1224" s="56" t="n">
        <f aca="false">I1224*O1224</f>
        <v>22.5684</v>
      </c>
      <c r="V1224" s="56" t="n">
        <f aca="false">J1224*O1224</f>
        <v>67.7052</v>
      </c>
      <c r="W1224" s="56" t="n">
        <f aca="false">((I1224+J1224)/2)*O1224</f>
        <v>45.1368</v>
      </c>
      <c r="X1224" s="56" t="n">
        <f aca="false">H1224*O1224</f>
        <v>81.12</v>
      </c>
    </row>
    <row r="1225" customFormat="false" ht="15" hidden="false" customHeight="false" outlineLevel="0" collapsed="false">
      <c r="A1225" s="76" t="s">
        <v>2063</v>
      </c>
      <c r="B1225" s="49" t="s">
        <v>3837</v>
      </c>
      <c r="C1225" s="49" t="s">
        <v>3838</v>
      </c>
      <c r="D1225" s="49" t="s">
        <v>2101</v>
      </c>
      <c r="E1225" s="50" t="s">
        <v>2096</v>
      </c>
      <c r="F1225" s="49" t="s">
        <v>2097</v>
      </c>
      <c r="G1225" s="49" t="s">
        <v>2097</v>
      </c>
      <c r="H1225" s="51" t="n">
        <v>436</v>
      </c>
      <c r="I1225" s="51" t="n">
        <v>112.82</v>
      </c>
      <c r="J1225" s="51" t="n">
        <v>338.47</v>
      </c>
      <c r="K1225" s="52" t="n">
        <v>400</v>
      </c>
      <c r="L1225" s="53" t="n">
        <v>24.7</v>
      </c>
      <c r="M1225" s="54" t="n">
        <v>81.2</v>
      </c>
      <c r="N1225" s="51" t="n">
        <v>9.135616</v>
      </c>
      <c r="O1225" s="55" t="n">
        <v>0.3746</v>
      </c>
      <c r="P1225" s="51" t="n">
        <v>97.53</v>
      </c>
      <c r="Q1225" s="49" t="s">
        <v>2098</v>
      </c>
      <c r="R1225" s="49" t="s">
        <v>2099</v>
      </c>
      <c r="S1225" s="53" t="n">
        <v>0.5</v>
      </c>
      <c r="T1225" s="51" t="n">
        <v>400</v>
      </c>
      <c r="U1225" s="56" t="n">
        <f aca="false">I1225*O1225</f>
        <v>42.262372</v>
      </c>
      <c r="V1225" s="56" t="n">
        <f aca="false">J1225*O1225</f>
        <v>126.790862</v>
      </c>
      <c r="W1225" s="56" t="n">
        <f aca="false">((I1225+J1225)/2)*O1225</f>
        <v>84.526617</v>
      </c>
      <c r="X1225" s="56" t="n">
        <f aca="false">H1225*O1225</f>
        <v>163.3256</v>
      </c>
    </row>
    <row r="1226" customFormat="false" ht="15" hidden="false" customHeight="false" outlineLevel="0" collapsed="false">
      <c r="A1226" s="76" t="s">
        <v>2063</v>
      </c>
      <c r="B1226" s="7" t="s">
        <v>3839</v>
      </c>
      <c r="C1226" s="7" t="s">
        <v>3840</v>
      </c>
      <c r="D1226" s="7" t="s">
        <v>2101</v>
      </c>
      <c r="E1226" s="50" t="s">
        <v>2096</v>
      </c>
      <c r="F1226" s="7" t="s">
        <v>2097</v>
      </c>
      <c r="G1226" s="7" t="s">
        <v>2097</v>
      </c>
      <c r="H1226" s="9" t="n">
        <v>40</v>
      </c>
      <c r="I1226" s="9" t="n">
        <v>7.61</v>
      </c>
      <c r="J1226" s="9" t="n">
        <v>22.83</v>
      </c>
      <c r="K1226" s="52" t="n">
        <v>1400</v>
      </c>
      <c r="L1226" s="58" t="n">
        <v>29</v>
      </c>
      <c r="M1226" s="59" t="n">
        <v>33.3</v>
      </c>
      <c r="N1226" s="9" t="n">
        <v>0.524658</v>
      </c>
      <c r="O1226" s="8" t="n">
        <v>2.814</v>
      </c>
      <c r="P1226" s="9" t="n">
        <v>17.17</v>
      </c>
      <c r="Q1226" s="7" t="s">
        <v>2098</v>
      </c>
      <c r="R1226" s="7" t="s">
        <v>2099</v>
      </c>
      <c r="S1226" s="58" t="n">
        <v>0.5</v>
      </c>
      <c r="T1226" s="9" t="n">
        <v>1400</v>
      </c>
      <c r="U1226" s="56" t="n">
        <f aca="false">I1226*O1226</f>
        <v>21.41454</v>
      </c>
      <c r="V1226" s="56" t="n">
        <f aca="false">J1226*O1226</f>
        <v>64.24362</v>
      </c>
      <c r="W1226" s="56" t="n">
        <f aca="false">((I1226+J1226)/2)*O1226</f>
        <v>42.82908</v>
      </c>
      <c r="X1226" s="56" t="n">
        <f aca="false">H1226*O1226</f>
        <v>112.56</v>
      </c>
    </row>
    <row r="1227" customFormat="false" ht="15" hidden="false" customHeight="false" outlineLevel="0" collapsed="false">
      <c r="A1227" s="76" t="s">
        <v>2063</v>
      </c>
      <c r="B1227" s="49" t="s">
        <v>2414</v>
      </c>
      <c r="C1227" s="49" t="s">
        <v>2415</v>
      </c>
      <c r="D1227" s="49" t="s">
        <v>2101</v>
      </c>
      <c r="E1227" s="50" t="s">
        <v>2096</v>
      </c>
      <c r="F1227" s="49" t="s">
        <v>2097</v>
      </c>
      <c r="G1227" s="49" t="s">
        <v>2097</v>
      </c>
      <c r="H1227" s="51" t="n">
        <v>28</v>
      </c>
      <c r="I1227" s="51" t="n">
        <v>1.57</v>
      </c>
      <c r="J1227" s="51" t="n">
        <v>4.7</v>
      </c>
      <c r="K1227" s="52" t="n">
        <v>40</v>
      </c>
      <c r="L1227" s="53" t="n">
        <v>30.5</v>
      </c>
      <c r="M1227" s="54" t="n">
        <v>80</v>
      </c>
      <c r="N1227" s="51" t="n">
        <v>0.102712</v>
      </c>
      <c r="O1227" s="55" t="n">
        <v>17.67</v>
      </c>
      <c r="P1227" s="51" t="n">
        <v>23.3</v>
      </c>
      <c r="Q1227" s="49" t="s">
        <v>2098</v>
      </c>
      <c r="R1227" s="49" t="s">
        <v>2099</v>
      </c>
      <c r="S1227" s="53" t="n">
        <v>0.5</v>
      </c>
      <c r="T1227" s="51" t="n">
        <v>40</v>
      </c>
      <c r="U1227" s="56" t="n">
        <f aca="false">I1227*O1227</f>
        <v>27.7419</v>
      </c>
      <c r="V1227" s="56" t="n">
        <f aca="false">J1227*O1227</f>
        <v>83.049</v>
      </c>
      <c r="W1227" s="56" t="n">
        <f aca="false">((I1227+J1227)/2)*O1227</f>
        <v>55.39545</v>
      </c>
      <c r="X1227" s="56" t="n">
        <f aca="false">H1227*O1227</f>
        <v>494.76</v>
      </c>
    </row>
    <row r="1228" customFormat="false" ht="22.35" hidden="false" customHeight="false" outlineLevel="0" collapsed="false">
      <c r="A1228" s="76" t="s">
        <v>2063</v>
      </c>
      <c r="B1228" s="7" t="s">
        <v>2416</v>
      </c>
      <c r="C1228" s="7" t="s">
        <v>2417</v>
      </c>
      <c r="D1228" s="7" t="s">
        <v>2101</v>
      </c>
      <c r="E1228" s="57" t="s">
        <v>2102</v>
      </c>
      <c r="F1228" s="7" t="s">
        <v>2097</v>
      </c>
      <c r="G1228" s="7" t="s">
        <v>2097</v>
      </c>
      <c r="H1228" s="9" t="n">
        <v>340</v>
      </c>
      <c r="I1228" s="9" t="n">
        <v>279.26</v>
      </c>
      <c r="J1228" s="9" t="n">
        <v>837.78</v>
      </c>
      <c r="K1228" s="52" t="n">
        <v>960</v>
      </c>
      <c r="L1228" s="58" t="n">
        <v>36.3</v>
      </c>
      <c r="M1228" s="59" t="n">
        <v>70.4</v>
      </c>
      <c r="N1228" s="9" t="n">
        <v>15.386352</v>
      </c>
      <c r="O1228" s="8" t="n">
        <v>11.67</v>
      </c>
      <c r="P1228" s="9" t="n">
        <v>-497.78</v>
      </c>
      <c r="Q1228" s="7" t="s">
        <v>2103</v>
      </c>
      <c r="R1228" s="7" t="s">
        <v>2099</v>
      </c>
      <c r="S1228" s="58" t="n">
        <v>0.5</v>
      </c>
      <c r="T1228" s="9" t="n">
        <v>240</v>
      </c>
      <c r="U1228" s="56" t="n">
        <f aca="false">I1228*O1228</f>
        <v>3258.9642</v>
      </c>
      <c r="V1228" s="56" t="n">
        <f aca="false">J1228*O1228</f>
        <v>9776.8926</v>
      </c>
      <c r="W1228" s="56" t="n">
        <f aca="false">((I1228+J1228)/2)*O1228</f>
        <v>6517.9284</v>
      </c>
      <c r="X1228" s="56" t="n">
        <f aca="false">H1228*O1228</f>
        <v>3967.8</v>
      </c>
    </row>
    <row r="1229" customFormat="false" ht="15" hidden="false" customHeight="false" outlineLevel="0" collapsed="false">
      <c r="A1229" s="76" t="s">
        <v>2063</v>
      </c>
      <c r="B1229" s="49" t="s">
        <v>3841</v>
      </c>
      <c r="C1229" s="49" t="s">
        <v>3842</v>
      </c>
      <c r="D1229" s="49" t="s">
        <v>2101</v>
      </c>
      <c r="E1229" s="50" t="s">
        <v>2096</v>
      </c>
      <c r="F1229" s="49" t="s">
        <v>2097</v>
      </c>
      <c r="G1229" s="49" t="s">
        <v>2097</v>
      </c>
      <c r="H1229" s="51" t="n">
        <v>28</v>
      </c>
      <c r="I1229" s="51" t="n">
        <v>2.97</v>
      </c>
      <c r="J1229" s="51" t="n">
        <v>8.91</v>
      </c>
      <c r="K1229" s="52" t="n">
        <v>40</v>
      </c>
      <c r="L1229" s="53" t="n">
        <v>78.5</v>
      </c>
      <c r="M1229" s="54" t="n">
        <v>50</v>
      </c>
      <c r="N1229" s="51" t="n">
        <v>0.075667</v>
      </c>
      <c r="O1229" s="55" t="n">
        <v>10.87</v>
      </c>
      <c r="P1229" s="51" t="n">
        <v>19.09</v>
      </c>
      <c r="Q1229" s="49" t="s">
        <v>2098</v>
      </c>
      <c r="R1229" s="49" t="s">
        <v>2099</v>
      </c>
      <c r="S1229" s="53" t="n">
        <v>0.5</v>
      </c>
      <c r="T1229" s="51" t="n">
        <v>40</v>
      </c>
      <c r="U1229" s="56" t="n">
        <f aca="false">I1229*O1229</f>
        <v>32.2839</v>
      </c>
      <c r="V1229" s="56" t="n">
        <f aca="false">J1229*O1229</f>
        <v>96.8517</v>
      </c>
      <c r="W1229" s="56" t="n">
        <f aca="false">((I1229+J1229)/2)*O1229</f>
        <v>64.5678</v>
      </c>
      <c r="X1229" s="56" t="n">
        <f aca="false">H1229*O1229</f>
        <v>304.36</v>
      </c>
    </row>
    <row r="1230" customFormat="false" ht="15" hidden="false" customHeight="false" outlineLevel="0" collapsed="false">
      <c r="A1230" s="76" t="s">
        <v>2063</v>
      </c>
      <c r="B1230" s="7" t="s">
        <v>3843</v>
      </c>
      <c r="C1230" s="7" t="s">
        <v>3844</v>
      </c>
      <c r="D1230" s="7" t="s">
        <v>2101</v>
      </c>
      <c r="E1230" s="50" t="s">
        <v>2096</v>
      </c>
      <c r="F1230" s="7" t="s">
        <v>2097</v>
      </c>
      <c r="G1230" s="7" t="s">
        <v>2097</v>
      </c>
      <c r="H1230" s="9" t="n">
        <v>40</v>
      </c>
      <c r="I1230" s="9" t="n">
        <v>9.12</v>
      </c>
      <c r="J1230" s="9" t="n">
        <v>27.37</v>
      </c>
      <c r="K1230" s="52" t="n">
        <v>27.37</v>
      </c>
      <c r="L1230" s="58" t="n">
        <v>34</v>
      </c>
      <c r="M1230" s="59" t="n">
        <v>80</v>
      </c>
      <c r="N1230" s="9" t="n">
        <v>0.536695</v>
      </c>
      <c r="O1230" s="8" t="n">
        <v>9.26</v>
      </c>
      <c r="P1230" s="9" t="n">
        <v>12.63</v>
      </c>
      <c r="Q1230" s="7" t="s">
        <v>2098</v>
      </c>
      <c r="R1230" s="7" t="s">
        <v>2099</v>
      </c>
      <c r="S1230" s="58" t="n">
        <v>0.5</v>
      </c>
      <c r="T1230" s="9" t="n">
        <v>1</v>
      </c>
      <c r="U1230" s="56" t="n">
        <f aca="false">I1230*O1230</f>
        <v>84.4512</v>
      </c>
      <c r="V1230" s="56" t="n">
        <f aca="false">J1230*O1230</f>
        <v>253.4462</v>
      </c>
      <c r="W1230" s="56" t="n">
        <f aca="false">((I1230+J1230)/2)*O1230</f>
        <v>168.9487</v>
      </c>
      <c r="X1230" s="56" t="n">
        <f aca="false">H1230*O1230</f>
        <v>370.4</v>
      </c>
    </row>
    <row r="1231" customFormat="false" ht="15" hidden="false" customHeight="false" outlineLevel="0" collapsed="false">
      <c r="A1231" s="76" t="s">
        <v>2063</v>
      </c>
      <c r="B1231" s="49" t="s">
        <v>3845</v>
      </c>
      <c r="C1231" s="49" t="s">
        <v>3846</v>
      </c>
      <c r="D1231" s="49" t="s">
        <v>2101</v>
      </c>
      <c r="E1231" s="50" t="s">
        <v>2096</v>
      </c>
      <c r="F1231" s="49" t="s">
        <v>2097</v>
      </c>
      <c r="G1231" s="49" t="s">
        <v>2097</v>
      </c>
      <c r="H1231" s="51" t="n">
        <v>40</v>
      </c>
      <c r="I1231" s="51" t="n">
        <v>10.37</v>
      </c>
      <c r="J1231" s="51" t="n">
        <v>31.1</v>
      </c>
      <c r="K1231" s="52" t="n">
        <v>70</v>
      </c>
      <c r="L1231" s="53" t="n">
        <v>108.8</v>
      </c>
      <c r="M1231" s="54" t="n">
        <v>25</v>
      </c>
      <c r="N1231" s="51" t="n">
        <v>0.190562</v>
      </c>
      <c r="O1231" s="55" t="n">
        <v>6.93</v>
      </c>
      <c r="P1231" s="51" t="n">
        <v>8.9</v>
      </c>
      <c r="Q1231" s="49" t="s">
        <v>2098</v>
      </c>
      <c r="R1231" s="49" t="s">
        <v>2099</v>
      </c>
      <c r="S1231" s="53" t="n">
        <v>0.5</v>
      </c>
      <c r="T1231" s="51" t="n">
        <v>70</v>
      </c>
      <c r="U1231" s="56" t="n">
        <f aca="false">I1231*O1231</f>
        <v>71.8641</v>
      </c>
      <c r="V1231" s="56" t="n">
        <f aca="false">J1231*O1231</f>
        <v>215.523</v>
      </c>
      <c r="W1231" s="56" t="n">
        <f aca="false">((I1231+J1231)/2)*O1231</f>
        <v>143.69355</v>
      </c>
      <c r="X1231" s="56" t="n">
        <f aca="false">H1231*O1231</f>
        <v>277.2</v>
      </c>
    </row>
    <row r="1232" customFormat="false" ht="22.35" hidden="false" customHeight="false" outlineLevel="0" collapsed="false">
      <c r="A1232" s="76" t="s">
        <v>2063</v>
      </c>
      <c r="B1232" s="7" t="s">
        <v>2418</v>
      </c>
      <c r="C1232" s="7" t="s">
        <v>2419</v>
      </c>
      <c r="D1232" s="7" t="s">
        <v>2101</v>
      </c>
      <c r="E1232" s="57" t="s">
        <v>2102</v>
      </c>
      <c r="F1232" s="7" t="s">
        <v>2097</v>
      </c>
      <c r="G1232" s="7" t="s">
        <v>2097</v>
      </c>
      <c r="H1232" s="9" t="n">
        <v>80</v>
      </c>
      <c r="I1232" s="9" t="n">
        <v>50.55</v>
      </c>
      <c r="J1232" s="9" t="n">
        <v>151.66</v>
      </c>
      <c r="K1232" s="52" t="n">
        <v>160</v>
      </c>
      <c r="L1232" s="58" t="n">
        <v>42.1</v>
      </c>
      <c r="M1232" s="59" t="n">
        <v>64</v>
      </c>
      <c r="N1232" s="9" t="n">
        <v>2.401626</v>
      </c>
      <c r="O1232" s="8" t="n">
        <v>11.34</v>
      </c>
      <c r="P1232" s="9" t="n">
        <v>-71.66</v>
      </c>
      <c r="Q1232" s="7" t="s">
        <v>2103</v>
      </c>
      <c r="R1232" s="7" t="s">
        <v>2099</v>
      </c>
      <c r="S1232" s="58" t="n">
        <v>0.5</v>
      </c>
      <c r="T1232" s="9" t="n">
        <v>40</v>
      </c>
      <c r="U1232" s="56" t="n">
        <f aca="false">I1232*O1232</f>
        <v>573.237</v>
      </c>
      <c r="V1232" s="56" t="n">
        <f aca="false">J1232*O1232</f>
        <v>1719.8244</v>
      </c>
      <c r="W1232" s="56" t="n">
        <f aca="false">((I1232+J1232)/2)*O1232</f>
        <v>1146.5307</v>
      </c>
      <c r="X1232" s="56" t="n">
        <f aca="false">H1232*O1232</f>
        <v>907.2</v>
      </c>
    </row>
    <row r="1233" customFormat="false" ht="15" hidden="false" customHeight="false" outlineLevel="0" collapsed="false">
      <c r="A1233" s="76" t="s">
        <v>2063</v>
      </c>
      <c r="B1233" s="49" t="s">
        <v>3847</v>
      </c>
      <c r="C1233" s="49" t="s">
        <v>3848</v>
      </c>
      <c r="D1233" s="49" t="s">
        <v>2101</v>
      </c>
      <c r="E1233" s="50" t="s">
        <v>2096</v>
      </c>
      <c r="F1233" s="49" t="s">
        <v>2097</v>
      </c>
      <c r="G1233" s="49" t="s">
        <v>2097</v>
      </c>
      <c r="H1233" s="51" t="n">
        <v>40</v>
      </c>
      <c r="I1233" s="51" t="n">
        <v>11.41</v>
      </c>
      <c r="J1233" s="51" t="n">
        <v>34.22</v>
      </c>
      <c r="K1233" s="52" t="n">
        <v>40</v>
      </c>
      <c r="L1233" s="53" t="n">
        <v>66.3</v>
      </c>
      <c r="M1233" s="54" t="n">
        <v>50</v>
      </c>
      <c r="N1233" s="51" t="n">
        <v>0.344095</v>
      </c>
      <c r="O1233" s="55" t="n">
        <v>13.95</v>
      </c>
      <c r="P1233" s="51" t="n">
        <v>5.78</v>
      </c>
      <c r="Q1233" s="49" t="s">
        <v>2098</v>
      </c>
      <c r="R1233" s="49" t="s">
        <v>2099</v>
      </c>
      <c r="S1233" s="53" t="n">
        <v>0.5</v>
      </c>
      <c r="T1233" s="51" t="n">
        <v>40</v>
      </c>
      <c r="U1233" s="56" t="n">
        <f aca="false">I1233*O1233</f>
        <v>159.1695</v>
      </c>
      <c r="V1233" s="56" t="n">
        <f aca="false">J1233*O1233</f>
        <v>477.369</v>
      </c>
      <c r="W1233" s="56" t="n">
        <f aca="false">((I1233+J1233)/2)*O1233</f>
        <v>318.26925</v>
      </c>
      <c r="X1233" s="56" t="n">
        <f aca="false">H1233*O1233</f>
        <v>558</v>
      </c>
    </row>
    <row r="1234" customFormat="false" ht="22.35" hidden="false" customHeight="false" outlineLevel="0" collapsed="false">
      <c r="A1234" s="76" t="s">
        <v>2063</v>
      </c>
      <c r="B1234" s="7" t="s">
        <v>2422</v>
      </c>
      <c r="C1234" s="7" t="s">
        <v>2423</v>
      </c>
      <c r="D1234" s="7" t="s">
        <v>2101</v>
      </c>
      <c r="E1234" s="57" t="s">
        <v>2102</v>
      </c>
      <c r="F1234" s="7" t="s">
        <v>2097</v>
      </c>
      <c r="G1234" s="7" t="s">
        <v>2097</v>
      </c>
      <c r="H1234" s="9" t="n">
        <v>40</v>
      </c>
      <c r="I1234" s="9" t="n">
        <v>35.08</v>
      </c>
      <c r="J1234" s="9" t="n">
        <v>105.24</v>
      </c>
      <c r="K1234" s="52" t="n">
        <v>105.24</v>
      </c>
      <c r="L1234" s="58" t="n">
        <v>88.8</v>
      </c>
      <c r="M1234" s="59" t="n">
        <v>42.9</v>
      </c>
      <c r="N1234" s="9" t="n">
        <v>0.79014</v>
      </c>
      <c r="O1234" s="8" t="n">
        <v>4.0163</v>
      </c>
      <c r="P1234" s="9" t="n">
        <v>-65.24</v>
      </c>
      <c r="Q1234" s="7" t="s">
        <v>2103</v>
      </c>
      <c r="R1234" s="7" t="s">
        <v>2099</v>
      </c>
      <c r="S1234" s="58" t="n">
        <v>0.5</v>
      </c>
      <c r="T1234" s="9" t="n">
        <v>1</v>
      </c>
      <c r="U1234" s="56" t="n">
        <f aca="false">I1234*O1234</f>
        <v>140.891804</v>
      </c>
      <c r="V1234" s="56" t="n">
        <f aca="false">J1234*O1234</f>
        <v>422.675412</v>
      </c>
      <c r="W1234" s="56" t="n">
        <f aca="false">((I1234+J1234)/2)*O1234</f>
        <v>281.783608</v>
      </c>
      <c r="X1234" s="56" t="n">
        <f aca="false">H1234*O1234</f>
        <v>160.652</v>
      </c>
    </row>
    <row r="1235" customFormat="false" ht="15" hidden="false" customHeight="false" outlineLevel="0" collapsed="false">
      <c r="A1235" s="76" t="s">
        <v>2063</v>
      </c>
      <c r="B1235" s="49" t="s">
        <v>2424</v>
      </c>
      <c r="C1235" s="49" t="s">
        <v>1716</v>
      </c>
      <c r="D1235" s="49" t="s">
        <v>2101</v>
      </c>
      <c r="E1235" s="50" t="s">
        <v>2096</v>
      </c>
      <c r="F1235" s="49" t="s">
        <v>2097</v>
      </c>
      <c r="G1235" s="49" t="s">
        <v>2097</v>
      </c>
      <c r="H1235" s="51" t="n">
        <v>40</v>
      </c>
      <c r="I1235" s="51" t="n">
        <v>5.56</v>
      </c>
      <c r="J1235" s="51" t="n">
        <v>16.67</v>
      </c>
      <c r="K1235" s="52" t="n">
        <v>40</v>
      </c>
      <c r="L1235" s="53" t="n">
        <v>57.7</v>
      </c>
      <c r="M1235" s="54" t="n">
        <v>70</v>
      </c>
      <c r="N1235" s="51" t="n">
        <v>0.192548</v>
      </c>
      <c r="O1235" s="55" t="n">
        <v>19.15</v>
      </c>
      <c r="P1235" s="51" t="n">
        <v>23.33</v>
      </c>
      <c r="Q1235" s="49" t="s">
        <v>2098</v>
      </c>
      <c r="R1235" s="49" t="s">
        <v>2099</v>
      </c>
      <c r="S1235" s="53" t="n">
        <v>0.5</v>
      </c>
      <c r="T1235" s="51" t="n">
        <v>40</v>
      </c>
      <c r="U1235" s="56" t="n">
        <f aca="false">I1235*O1235</f>
        <v>106.474</v>
      </c>
      <c r="V1235" s="56" t="n">
        <f aca="false">J1235*O1235</f>
        <v>319.2305</v>
      </c>
      <c r="W1235" s="56" t="n">
        <f aca="false">((I1235+J1235)/2)*O1235</f>
        <v>212.85225</v>
      </c>
      <c r="X1235" s="56" t="n">
        <f aca="false">H1235*O1235</f>
        <v>766</v>
      </c>
    </row>
    <row r="1236" customFormat="false" ht="22.35" hidden="false" customHeight="false" outlineLevel="0" collapsed="false">
      <c r="A1236" s="76" t="s">
        <v>2063</v>
      </c>
      <c r="B1236" s="7" t="s">
        <v>2425</v>
      </c>
      <c r="C1236" s="7" t="s">
        <v>2426</v>
      </c>
      <c r="D1236" s="7" t="s">
        <v>2101</v>
      </c>
      <c r="E1236" s="57" t="s">
        <v>2102</v>
      </c>
      <c r="F1236" s="7" t="s">
        <v>2097</v>
      </c>
      <c r="G1236" s="7" t="s">
        <v>2097</v>
      </c>
      <c r="H1236" s="9" t="n">
        <v>28</v>
      </c>
      <c r="I1236" s="9" t="n">
        <v>53.1</v>
      </c>
      <c r="J1236" s="9" t="n">
        <v>159.3</v>
      </c>
      <c r="K1236" s="52" t="n">
        <v>160</v>
      </c>
      <c r="L1236" s="58" t="n">
        <v>73.9</v>
      </c>
      <c r="M1236" s="59" t="n">
        <v>50</v>
      </c>
      <c r="N1236" s="9" t="n">
        <v>1.437041</v>
      </c>
      <c r="O1236" s="8" t="n">
        <v>18.76</v>
      </c>
      <c r="P1236" s="9" t="n">
        <v>-131.3</v>
      </c>
      <c r="Q1236" s="7" t="s">
        <v>2103</v>
      </c>
      <c r="R1236" s="7" t="s">
        <v>2099</v>
      </c>
      <c r="S1236" s="58" t="n">
        <v>0.5</v>
      </c>
      <c r="T1236" s="9" t="n">
        <v>40</v>
      </c>
      <c r="U1236" s="56" t="n">
        <f aca="false">I1236*O1236</f>
        <v>996.156</v>
      </c>
      <c r="V1236" s="56" t="n">
        <f aca="false">J1236*O1236</f>
        <v>2988.468</v>
      </c>
      <c r="W1236" s="56" t="n">
        <f aca="false">((I1236+J1236)/2)*O1236</f>
        <v>1992.312</v>
      </c>
      <c r="X1236" s="56" t="n">
        <f aca="false">H1236*O1236</f>
        <v>525.28</v>
      </c>
    </row>
    <row r="1237" customFormat="false" ht="15" hidden="false" customHeight="false" outlineLevel="0" collapsed="false">
      <c r="A1237" s="76" t="s">
        <v>2063</v>
      </c>
      <c r="B1237" s="49" t="s">
        <v>3849</v>
      </c>
      <c r="C1237" s="49" t="s">
        <v>3850</v>
      </c>
      <c r="D1237" s="49" t="s">
        <v>2101</v>
      </c>
      <c r="E1237" s="50" t="s">
        <v>2096</v>
      </c>
      <c r="F1237" s="49" t="s">
        <v>2097</v>
      </c>
      <c r="G1237" s="49" t="s">
        <v>2097</v>
      </c>
      <c r="H1237" s="51" t="n">
        <v>40</v>
      </c>
      <c r="I1237" s="51" t="n">
        <v>7.11</v>
      </c>
      <c r="J1237" s="51" t="n">
        <v>21.33</v>
      </c>
      <c r="K1237" s="52" t="n">
        <v>21.33</v>
      </c>
      <c r="L1237" s="53" t="n">
        <v>56.7</v>
      </c>
      <c r="M1237" s="54" t="n">
        <v>16.7</v>
      </c>
      <c r="N1237" s="51" t="n">
        <v>0.250726</v>
      </c>
      <c r="O1237" s="55" t="n">
        <v>11.81</v>
      </c>
      <c r="P1237" s="51" t="n">
        <v>18.67</v>
      </c>
      <c r="Q1237" s="49" t="s">
        <v>2098</v>
      </c>
      <c r="R1237" s="49" t="s">
        <v>2099</v>
      </c>
      <c r="S1237" s="53" t="n">
        <v>0.5</v>
      </c>
      <c r="T1237" s="51" t="n">
        <v>1</v>
      </c>
      <c r="U1237" s="56" t="n">
        <f aca="false">I1237*O1237</f>
        <v>83.9691</v>
      </c>
      <c r="V1237" s="56" t="n">
        <f aca="false">J1237*O1237</f>
        <v>251.9073</v>
      </c>
      <c r="W1237" s="56" t="n">
        <f aca="false">((I1237+J1237)/2)*O1237</f>
        <v>167.9382</v>
      </c>
      <c r="X1237" s="56" t="n">
        <f aca="false">H1237*O1237</f>
        <v>472.4</v>
      </c>
    </row>
    <row r="1238" customFormat="false" ht="15" hidden="false" customHeight="false" outlineLevel="0" collapsed="false">
      <c r="A1238" s="76" t="s">
        <v>2063</v>
      </c>
      <c r="B1238" s="7" t="s">
        <v>3851</v>
      </c>
      <c r="C1238" s="7" t="s">
        <v>3852</v>
      </c>
      <c r="D1238" s="7" t="s">
        <v>2101</v>
      </c>
      <c r="E1238" s="50" t="s">
        <v>2096</v>
      </c>
      <c r="F1238" s="7" t="s">
        <v>2097</v>
      </c>
      <c r="G1238" s="7" t="s">
        <v>2097</v>
      </c>
      <c r="H1238" s="9" t="n">
        <v>28</v>
      </c>
      <c r="I1238" s="9" t="n">
        <v>0.21</v>
      </c>
      <c r="J1238" s="9" t="n">
        <v>0.63</v>
      </c>
      <c r="K1238" s="52" t="n">
        <v>45</v>
      </c>
      <c r="L1238" s="58" t="n">
        <v>6.2</v>
      </c>
      <c r="M1238" s="59" t="n">
        <v>100</v>
      </c>
      <c r="N1238" s="9" t="n">
        <v>0.067562</v>
      </c>
      <c r="O1238" s="8" t="n">
        <v>9.36</v>
      </c>
      <c r="P1238" s="9" t="n">
        <v>27.37</v>
      </c>
      <c r="Q1238" s="7" t="s">
        <v>2098</v>
      </c>
      <c r="R1238" s="7" t="s">
        <v>2099</v>
      </c>
      <c r="S1238" s="58" t="n">
        <v>0.5</v>
      </c>
      <c r="T1238" s="9" t="n">
        <v>45</v>
      </c>
      <c r="U1238" s="56" t="n">
        <f aca="false">I1238*O1238</f>
        <v>1.9656</v>
      </c>
      <c r="V1238" s="56" t="n">
        <f aca="false">J1238*O1238</f>
        <v>5.8968</v>
      </c>
      <c r="W1238" s="56" t="n">
        <f aca="false">((I1238+J1238)/2)*O1238</f>
        <v>3.9312</v>
      </c>
      <c r="X1238" s="56" t="n">
        <f aca="false">H1238*O1238</f>
        <v>262.08</v>
      </c>
    </row>
    <row r="1239" customFormat="false" ht="22.35" hidden="false" customHeight="false" outlineLevel="0" collapsed="false">
      <c r="A1239" s="76" t="s">
        <v>2063</v>
      </c>
      <c r="B1239" s="49" t="s">
        <v>2427</v>
      </c>
      <c r="C1239" s="49" t="s">
        <v>2428</v>
      </c>
      <c r="D1239" s="49" t="s">
        <v>2101</v>
      </c>
      <c r="E1239" s="57" t="s">
        <v>2102</v>
      </c>
      <c r="F1239" s="49" t="s">
        <v>2097</v>
      </c>
      <c r="G1239" s="49" t="s">
        <v>2097</v>
      </c>
      <c r="H1239" s="51" t="n">
        <v>80</v>
      </c>
      <c r="I1239" s="51" t="n">
        <v>127.37</v>
      </c>
      <c r="J1239" s="51" t="n">
        <v>382.1</v>
      </c>
      <c r="K1239" s="52" t="n">
        <v>400</v>
      </c>
      <c r="L1239" s="53" t="n">
        <v>77</v>
      </c>
      <c r="M1239" s="54" t="n">
        <v>70</v>
      </c>
      <c r="N1239" s="51" t="n">
        <v>3.308186</v>
      </c>
      <c r="O1239" s="55" t="n">
        <v>4.14</v>
      </c>
      <c r="P1239" s="51" t="n">
        <v>-302.1</v>
      </c>
      <c r="Q1239" s="49" t="s">
        <v>2103</v>
      </c>
      <c r="R1239" s="49" t="s">
        <v>2099</v>
      </c>
      <c r="S1239" s="53" t="n">
        <v>0.5</v>
      </c>
      <c r="T1239" s="51" t="n">
        <v>40</v>
      </c>
      <c r="U1239" s="56" t="n">
        <f aca="false">I1239*O1239</f>
        <v>527.3118</v>
      </c>
      <c r="V1239" s="56" t="n">
        <f aca="false">J1239*O1239</f>
        <v>1581.894</v>
      </c>
      <c r="W1239" s="56" t="n">
        <f aca="false">((I1239+J1239)/2)*O1239</f>
        <v>1054.6029</v>
      </c>
      <c r="X1239" s="56" t="n">
        <f aca="false">H1239*O1239</f>
        <v>331.2</v>
      </c>
    </row>
    <row r="1240" customFormat="false" ht="15" hidden="false" customHeight="false" outlineLevel="0" collapsed="false">
      <c r="A1240" s="76" t="s">
        <v>2063</v>
      </c>
      <c r="B1240" s="7" t="s">
        <v>3853</v>
      </c>
      <c r="C1240" s="7" t="s">
        <v>3854</v>
      </c>
      <c r="D1240" s="7" t="s">
        <v>2101</v>
      </c>
      <c r="E1240" s="50" t="s">
        <v>2096</v>
      </c>
      <c r="F1240" s="7" t="s">
        <v>2097</v>
      </c>
      <c r="G1240" s="7" t="s">
        <v>2097</v>
      </c>
      <c r="H1240" s="9" t="n">
        <v>40</v>
      </c>
      <c r="I1240" s="9" t="n">
        <v>0.53</v>
      </c>
      <c r="J1240" s="9" t="n">
        <v>1.59</v>
      </c>
      <c r="K1240" s="52" t="n">
        <v>1.59</v>
      </c>
      <c r="L1240" s="58" t="n">
        <v>22.3</v>
      </c>
      <c r="M1240" s="59" t="n">
        <v>66.7</v>
      </c>
      <c r="N1240" s="9" t="n">
        <v>0.047616</v>
      </c>
      <c r="O1240" s="8" t="n">
        <v>8.21</v>
      </c>
      <c r="P1240" s="9" t="n">
        <v>38.41</v>
      </c>
      <c r="Q1240" s="7" t="s">
        <v>2098</v>
      </c>
      <c r="R1240" s="7" t="s">
        <v>2099</v>
      </c>
      <c r="S1240" s="58" t="n">
        <v>0.5</v>
      </c>
      <c r="T1240" s="9" t="n">
        <v>1</v>
      </c>
      <c r="U1240" s="56" t="n">
        <f aca="false">I1240*O1240</f>
        <v>4.3513</v>
      </c>
      <c r="V1240" s="56" t="n">
        <f aca="false">J1240*O1240</f>
        <v>13.0539</v>
      </c>
      <c r="W1240" s="56" t="n">
        <f aca="false">((I1240+J1240)/2)*O1240</f>
        <v>8.7026</v>
      </c>
      <c r="X1240" s="56" t="n">
        <f aca="false">H1240*O1240</f>
        <v>328.4</v>
      </c>
    </row>
    <row r="1241" customFormat="false" ht="22.35" hidden="false" customHeight="false" outlineLevel="0" collapsed="false">
      <c r="A1241" s="76" t="s">
        <v>2063</v>
      </c>
      <c r="B1241" s="49" t="s">
        <v>2429</v>
      </c>
      <c r="C1241" s="49" t="s">
        <v>2430</v>
      </c>
      <c r="D1241" s="49" t="s">
        <v>2101</v>
      </c>
      <c r="E1241" s="57" t="s">
        <v>2102</v>
      </c>
      <c r="F1241" s="49" t="s">
        <v>2097</v>
      </c>
      <c r="G1241" s="49" t="s">
        <v>2097</v>
      </c>
      <c r="H1241" s="51" t="n">
        <v>40</v>
      </c>
      <c r="I1241" s="51" t="n">
        <v>24.31</v>
      </c>
      <c r="J1241" s="51" t="n">
        <v>72.93</v>
      </c>
      <c r="K1241" s="52" t="n">
        <v>72.93</v>
      </c>
      <c r="L1241" s="53" t="n">
        <v>36.5</v>
      </c>
      <c r="M1241" s="54" t="n">
        <v>38.9</v>
      </c>
      <c r="N1241" s="51" t="n">
        <v>1.332018</v>
      </c>
      <c r="O1241" s="55" t="n">
        <v>16.64</v>
      </c>
      <c r="P1241" s="51" t="n">
        <v>-32.93</v>
      </c>
      <c r="Q1241" s="49" t="s">
        <v>2103</v>
      </c>
      <c r="R1241" s="49" t="s">
        <v>2099</v>
      </c>
      <c r="S1241" s="53" t="n">
        <v>0.5</v>
      </c>
      <c r="T1241" s="51" t="n">
        <v>1</v>
      </c>
      <c r="U1241" s="56" t="n">
        <f aca="false">I1241*O1241</f>
        <v>404.5184</v>
      </c>
      <c r="V1241" s="56" t="n">
        <f aca="false">J1241*O1241</f>
        <v>1213.5552</v>
      </c>
      <c r="W1241" s="56" t="n">
        <f aca="false">((I1241+J1241)/2)*O1241</f>
        <v>809.0368</v>
      </c>
      <c r="X1241" s="56" t="n">
        <f aca="false">H1241*O1241</f>
        <v>665.6</v>
      </c>
    </row>
    <row r="1242" customFormat="false" ht="22.35" hidden="false" customHeight="false" outlineLevel="0" collapsed="false">
      <c r="A1242" s="76" t="s">
        <v>2063</v>
      </c>
      <c r="B1242" s="7" t="s">
        <v>2431</v>
      </c>
      <c r="C1242" s="7" t="s">
        <v>2432</v>
      </c>
      <c r="D1242" s="7" t="s">
        <v>2101</v>
      </c>
      <c r="E1242" s="57" t="s">
        <v>2102</v>
      </c>
      <c r="F1242" s="7" t="s">
        <v>2097</v>
      </c>
      <c r="G1242" s="7" t="s">
        <v>2097</v>
      </c>
      <c r="H1242" s="9" t="n">
        <v>40</v>
      </c>
      <c r="I1242" s="9" t="n">
        <v>17.78</v>
      </c>
      <c r="J1242" s="9" t="n">
        <v>53.35</v>
      </c>
      <c r="K1242" s="52" t="n">
        <v>53.35</v>
      </c>
      <c r="L1242" s="58" t="n">
        <v>33.6</v>
      </c>
      <c r="M1242" s="59" t="n">
        <v>60.9</v>
      </c>
      <c r="N1242" s="9" t="n">
        <v>1.058521</v>
      </c>
      <c r="O1242" s="8" t="n">
        <v>26.2</v>
      </c>
      <c r="P1242" s="9" t="n">
        <v>-13.35</v>
      </c>
      <c r="Q1242" s="7" t="s">
        <v>2103</v>
      </c>
      <c r="R1242" s="7" t="s">
        <v>2099</v>
      </c>
      <c r="S1242" s="58" t="n">
        <v>0.5</v>
      </c>
      <c r="T1242" s="9" t="n">
        <v>1</v>
      </c>
      <c r="U1242" s="56" t="n">
        <f aca="false">I1242*O1242</f>
        <v>465.836</v>
      </c>
      <c r="V1242" s="56" t="n">
        <f aca="false">J1242*O1242</f>
        <v>1397.77</v>
      </c>
      <c r="W1242" s="56" t="n">
        <f aca="false">((I1242+J1242)/2)*O1242</f>
        <v>931.803</v>
      </c>
      <c r="X1242" s="56" t="n">
        <f aca="false">H1242*O1242</f>
        <v>1048</v>
      </c>
    </row>
    <row r="1243" customFormat="false" ht="22.35" hidden="false" customHeight="false" outlineLevel="0" collapsed="false">
      <c r="A1243" s="76" t="s">
        <v>2063</v>
      </c>
      <c r="B1243" s="49" t="s">
        <v>2433</v>
      </c>
      <c r="C1243" s="49" t="s">
        <v>2434</v>
      </c>
      <c r="D1243" s="49" t="s">
        <v>2101</v>
      </c>
      <c r="E1243" s="57" t="s">
        <v>2102</v>
      </c>
      <c r="F1243" s="49" t="s">
        <v>2097</v>
      </c>
      <c r="G1243" s="49" t="s">
        <v>2097</v>
      </c>
      <c r="H1243" s="51" t="n">
        <v>117</v>
      </c>
      <c r="I1243" s="51" t="n">
        <v>84.62</v>
      </c>
      <c r="J1243" s="51" t="n">
        <v>253.87</v>
      </c>
      <c r="K1243" s="52" t="n">
        <v>280</v>
      </c>
      <c r="L1243" s="53" t="n">
        <v>34.1</v>
      </c>
      <c r="M1243" s="54" t="n">
        <v>75.7</v>
      </c>
      <c r="N1243" s="51" t="n">
        <v>4.963203</v>
      </c>
      <c r="O1243" s="55" t="n">
        <v>3.79</v>
      </c>
      <c r="P1243" s="51" t="n">
        <v>-136.87</v>
      </c>
      <c r="Q1243" s="49" t="s">
        <v>2103</v>
      </c>
      <c r="R1243" s="49" t="s">
        <v>2099</v>
      </c>
      <c r="S1243" s="53" t="n">
        <v>0.5</v>
      </c>
      <c r="T1243" s="51" t="n">
        <v>70</v>
      </c>
      <c r="U1243" s="56" t="n">
        <f aca="false">I1243*O1243</f>
        <v>320.7098</v>
      </c>
      <c r="V1243" s="56" t="n">
        <f aca="false">J1243*O1243</f>
        <v>962.1673</v>
      </c>
      <c r="W1243" s="56" t="n">
        <f aca="false">((I1243+J1243)/2)*O1243</f>
        <v>641.43855</v>
      </c>
      <c r="X1243" s="56" t="n">
        <f aca="false">H1243*O1243</f>
        <v>443.43</v>
      </c>
    </row>
    <row r="1244" customFormat="false" ht="22.35" hidden="false" customHeight="false" outlineLevel="0" collapsed="false">
      <c r="A1244" s="76" t="s">
        <v>2063</v>
      </c>
      <c r="B1244" s="7" t="s">
        <v>2435</v>
      </c>
      <c r="C1244" s="7" t="s">
        <v>2436</v>
      </c>
      <c r="D1244" s="7" t="s">
        <v>2101</v>
      </c>
      <c r="E1244" s="57" t="s">
        <v>2102</v>
      </c>
      <c r="F1244" s="7" t="s">
        <v>2097</v>
      </c>
      <c r="G1244" s="7" t="s">
        <v>2097</v>
      </c>
      <c r="H1244" s="9" t="n">
        <v>234</v>
      </c>
      <c r="I1244" s="9" t="n">
        <v>254.65</v>
      </c>
      <c r="J1244" s="9" t="n">
        <v>763.96</v>
      </c>
      <c r="K1244" s="52" t="n">
        <v>800</v>
      </c>
      <c r="L1244" s="58" t="n">
        <v>50.2</v>
      </c>
      <c r="M1244" s="59" t="n">
        <v>65.7</v>
      </c>
      <c r="N1244" s="9" t="n">
        <v>10.145593</v>
      </c>
      <c r="O1244" s="8" t="n">
        <v>5.15</v>
      </c>
      <c r="P1244" s="9" t="n">
        <v>-529.96</v>
      </c>
      <c r="Q1244" s="7" t="s">
        <v>2103</v>
      </c>
      <c r="R1244" s="7" t="s">
        <v>2099</v>
      </c>
      <c r="S1244" s="58" t="n">
        <v>0.5</v>
      </c>
      <c r="T1244" s="9" t="n">
        <v>40</v>
      </c>
      <c r="U1244" s="56" t="n">
        <f aca="false">I1244*O1244</f>
        <v>1311.4475</v>
      </c>
      <c r="V1244" s="56" t="n">
        <f aca="false">J1244*O1244</f>
        <v>3934.394</v>
      </c>
      <c r="W1244" s="56" t="n">
        <f aca="false">((I1244+J1244)/2)*O1244</f>
        <v>2622.92075</v>
      </c>
      <c r="X1244" s="56" t="n">
        <f aca="false">H1244*O1244</f>
        <v>1205.1</v>
      </c>
    </row>
    <row r="1245" customFormat="false" ht="15" hidden="false" customHeight="false" outlineLevel="0" collapsed="false">
      <c r="A1245" s="76" t="s">
        <v>2063</v>
      </c>
      <c r="B1245" s="49" t="s">
        <v>3855</v>
      </c>
      <c r="C1245" s="49" t="s">
        <v>3856</v>
      </c>
      <c r="D1245" s="49" t="s">
        <v>2101</v>
      </c>
      <c r="E1245" s="50" t="s">
        <v>2096</v>
      </c>
      <c r="F1245" s="49" t="s">
        <v>2097</v>
      </c>
      <c r="G1245" s="49" t="s">
        <v>2097</v>
      </c>
      <c r="H1245" s="51" t="n">
        <v>28</v>
      </c>
      <c r="I1245" s="51" t="n">
        <v>0.27</v>
      </c>
      <c r="J1245" s="51" t="n">
        <v>0.81</v>
      </c>
      <c r="K1245" s="52" t="n">
        <v>40</v>
      </c>
      <c r="L1245" s="53" t="n">
        <v>6.5</v>
      </c>
      <c r="M1245" s="54" t="n">
        <v>100</v>
      </c>
      <c r="N1245" s="51" t="n">
        <v>0.083767</v>
      </c>
      <c r="O1245" s="55" t="n">
        <v>7.97</v>
      </c>
      <c r="P1245" s="51" t="n">
        <v>27.19</v>
      </c>
      <c r="Q1245" s="49" t="s">
        <v>2098</v>
      </c>
      <c r="R1245" s="49" t="s">
        <v>2099</v>
      </c>
      <c r="S1245" s="53" t="n">
        <v>0.5</v>
      </c>
      <c r="T1245" s="51" t="n">
        <v>40</v>
      </c>
      <c r="U1245" s="56" t="n">
        <f aca="false">I1245*O1245</f>
        <v>2.1519</v>
      </c>
      <c r="V1245" s="56" t="n">
        <f aca="false">J1245*O1245</f>
        <v>6.4557</v>
      </c>
      <c r="W1245" s="56" t="n">
        <f aca="false">((I1245+J1245)/2)*O1245</f>
        <v>4.3038</v>
      </c>
      <c r="X1245" s="56" t="n">
        <f aca="false">H1245*O1245</f>
        <v>223.16</v>
      </c>
    </row>
    <row r="1246" customFormat="false" ht="22.35" hidden="false" customHeight="false" outlineLevel="0" collapsed="false">
      <c r="A1246" s="76" t="s">
        <v>2063</v>
      </c>
      <c r="B1246" s="7" t="s">
        <v>3857</v>
      </c>
      <c r="C1246" s="7" t="s">
        <v>3858</v>
      </c>
      <c r="D1246" s="7" t="s">
        <v>2101</v>
      </c>
      <c r="E1246" s="57" t="s">
        <v>2102</v>
      </c>
      <c r="F1246" s="7" t="s">
        <v>2097</v>
      </c>
      <c r="G1246" s="7" t="s">
        <v>2097</v>
      </c>
      <c r="H1246" s="9" t="n">
        <v>395</v>
      </c>
      <c r="I1246" s="9" t="n">
        <v>158.7</v>
      </c>
      <c r="J1246" s="9" t="n">
        <v>476.09</v>
      </c>
      <c r="K1246" s="52" t="n">
        <v>770</v>
      </c>
      <c r="L1246" s="58" t="n">
        <v>20.5</v>
      </c>
      <c r="M1246" s="59" t="n">
        <v>100</v>
      </c>
      <c r="N1246" s="9" t="n">
        <v>15.482642</v>
      </c>
      <c r="O1246" s="8" t="n">
        <v>2.24</v>
      </c>
      <c r="P1246" s="9" t="n">
        <v>-81.09</v>
      </c>
      <c r="Q1246" s="7" t="s">
        <v>2103</v>
      </c>
      <c r="R1246" s="7" t="s">
        <v>2099</v>
      </c>
      <c r="S1246" s="58" t="n">
        <v>0.5</v>
      </c>
      <c r="T1246" s="9" t="n">
        <v>770</v>
      </c>
      <c r="U1246" s="56" t="n">
        <f aca="false">I1246*O1246</f>
        <v>355.488</v>
      </c>
      <c r="V1246" s="56" t="n">
        <f aca="false">J1246*O1246</f>
        <v>1066.4416</v>
      </c>
      <c r="W1246" s="56" t="n">
        <f aca="false">((I1246+J1246)/2)*O1246</f>
        <v>710.9648</v>
      </c>
      <c r="X1246" s="56" t="n">
        <f aca="false">H1246*O1246</f>
        <v>884.8</v>
      </c>
    </row>
    <row r="1247" customFormat="false" ht="22.35" hidden="false" customHeight="false" outlineLevel="0" collapsed="false">
      <c r="A1247" s="76" t="s">
        <v>2063</v>
      </c>
      <c r="B1247" s="49" t="s">
        <v>3859</v>
      </c>
      <c r="C1247" s="49" t="s">
        <v>3860</v>
      </c>
      <c r="D1247" s="49" t="s">
        <v>2101</v>
      </c>
      <c r="E1247" s="57" t="s">
        <v>2102</v>
      </c>
      <c r="F1247" s="49" t="s">
        <v>2097</v>
      </c>
      <c r="G1247" s="49" t="s">
        <v>2097</v>
      </c>
      <c r="H1247" s="51" t="n">
        <v>40</v>
      </c>
      <c r="I1247" s="51" t="n">
        <v>25.25</v>
      </c>
      <c r="J1247" s="51" t="n">
        <v>75.75</v>
      </c>
      <c r="K1247" s="52" t="n">
        <v>88</v>
      </c>
      <c r="L1247" s="53" t="n">
        <v>58.8</v>
      </c>
      <c r="M1247" s="54" t="n">
        <v>23.1</v>
      </c>
      <c r="N1247" s="51" t="n">
        <v>0.85883</v>
      </c>
      <c r="O1247" s="55" t="n">
        <v>42.003</v>
      </c>
      <c r="P1247" s="51" t="n">
        <v>-35.75</v>
      </c>
      <c r="Q1247" s="49" t="s">
        <v>2103</v>
      </c>
      <c r="R1247" s="49" t="s">
        <v>2099</v>
      </c>
      <c r="S1247" s="53" t="n">
        <v>0.5</v>
      </c>
      <c r="T1247" s="51" t="n">
        <v>44</v>
      </c>
      <c r="U1247" s="56" t="n">
        <f aca="false">I1247*O1247</f>
        <v>1060.57575</v>
      </c>
      <c r="V1247" s="56" t="n">
        <f aca="false">J1247*O1247</f>
        <v>3181.72725</v>
      </c>
      <c r="W1247" s="56" t="n">
        <f aca="false">((I1247+J1247)/2)*O1247</f>
        <v>2121.1515</v>
      </c>
      <c r="X1247" s="56" t="n">
        <f aca="false">H1247*O1247</f>
        <v>1680.12</v>
      </c>
    </row>
    <row r="1248" customFormat="false" ht="22.35" hidden="false" customHeight="false" outlineLevel="0" collapsed="false">
      <c r="A1248" s="76" t="s">
        <v>2063</v>
      </c>
      <c r="B1248" s="7" t="s">
        <v>3861</v>
      </c>
      <c r="C1248" s="7" t="s">
        <v>3860</v>
      </c>
      <c r="D1248" s="7" t="s">
        <v>2101</v>
      </c>
      <c r="E1248" s="57" t="s">
        <v>2102</v>
      </c>
      <c r="F1248" s="7" t="s">
        <v>2097</v>
      </c>
      <c r="G1248" s="7" t="s">
        <v>2097</v>
      </c>
      <c r="H1248" s="9" t="n">
        <v>226</v>
      </c>
      <c r="I1248" s="9" t="n">
        <v>148.15</v>
      </c>
      <c r="J1248" s="9" t="n">
        <v>444.45</v>
      </c>
      <c r="K1248" s="52" t="n">
        <v>880</v>
      </c>
      <c r="L1248" s="58" t="n">
        <v>29.4</v>
      </c>
      <c r="M1248" s="59" t="n">
        <v>77.8</v>
      </c>
      <c r="N1248" s="9" t="n">
        <v>10.078118</v>
      </c>
      <c r="O1248" s="8" t="n">
        <v>6.58</v>
      </c>
      <c r="P1248" s="9" t="n">
        <v>-218.45</v>
      </c>
      <c r="Q1248" s="7" t="s">
        <v>2103</v>
      </c>
      <c r="R1248" s="7" t="s">
        <v>2099</v>
      </c>
      <c r="S1248" s="58" t="n">
        <v>0.5</v>
      </c>
      <c r="T1248" s="9" t="n">
        <v>880</v>
      </c>
      <c r="U1248" s="56" t="n">
        <f aca="false">I1248*O1248</f>
        <v>974.827</v>
      </c>
      <c r="V1248" s="56" t="n">
        <f aca="false">J1248*O1248</f>
        <v>2924.481</v>
      </c>
      <c r="W1248" s="56" t="n">
        <f aca="false">((I1248+J1248)/2)*O1248</f>
        <v>1949.654</v>
      </c>
      <c r="X1248" s="56" t="n">
        <f aca="false">H1248*O1248</f>
        <v>1487.08</v>
      </c>
    </row>
    <row r="1249" customFormat="false" ht="22.35" hidden="false" customHeight="false" outlineLevel="0" collapsed="false">
      <c r="A1249" s="76" t="s">
        <v>2063</v>
      </c>
      <c r="B1249" s="49" t="s">
        <v>3862</v>
      </c>
      <c r="C1249" s="49" t="s">
        <v>3860</v>
      </c>
      <c r="D1249" s="49" t="s">
        <v>2101</v>
      </c>
      <c r="E1249" s="57" t="s">
        <v>2102</v>
      </c>
      <c r="F1249" s="49" t="s">
        <v>2097</v>
      </c>
      <c r="G1249" s="49" t="s">
        <v>2097</v>
      </c>
      <c r="H1249" s="51" t="n">
        <v>230</v>
      </c>
      <c r="I1249" s="51" t="n">
        <v>85.21</v>
      </c>
      <c r="J1249" s="51" t="n">
        <v>255.64</v>
      </c>
      <c r="K1249" s="52" t="n">
        <v>255.64</v>
      </c>
      <c r="L1249" s="53" t="n">
        <v>16.6</v>
      </c>
      <c r="M1249" s="54" t="n">
        <v>82.6</v>
      </c>
      <c r="N1249" s="51" t="n">
        <v>10.266791</v>
      </c>
      <c r="O1249" s="55" t="n">
        <v>11.1951</v>
      </c>
      <c r="P1249" s="51" t="n">
        <v>-25.64</v>
      </c>
      <c r="Q1249" s="49" t="s">
        <v>2103</v>
      </c>
      <c r="R1249" s="49" t="s">
        <v>2099</v>
      </c>
      <c r="S1249" s="53" t="n">
        <v>0.5</v>
      </c>
      <c r="T1249" s="51" t="n">
        <v>1</v>
      </c>
      <c r="U1249" s="56" t="n">
        <f aca="false">I1249*O1249</f>
        <v>953.934471</v>
      </c>
      <c r="V1249" s="56" t="n">
        <f aca="false">J1249*O1249</f>
        <v>2861.915364</v>
      </c>
      <c r="W1249" s="56" t="n">
        <f aca="false">((I1249+J1249)/2)*O1249</f>
        <v>1907.9249175</v>
      </c>
      <c r="X1249" s="56" t="n">
        <f aca="false">H1249*O1249</f>
        <v>2574.873</v>
      </c>
    </row>
    <row r="1250" customFormat="false" ht="22.35" hidden="false" customHeight="false" outlineLevel="0" collapsed="false">
      <c r="A1250" s="76" t="s">
        <v>2063</v>
      </c>
      <c r="B1250" s="7" t="s">
        <v>3863</v>
      </c>
      <c r="C1250" s="7" t="s">
        <v>3860</v>
      </c>
      <c r="D1250" s="7" t="s">
        <v>2101</v>
      </c>
      <c r="E1250" s="57" t="s">
        <v>2102</v>
      </c>
      <c r="F1250" s="7" t="s">
        <v>2097</v>
      </c>
      <c r="G1250" s="7" t="s">
        <v>2097</v>
      </c>
      <c r="H1250" s="9" t="n">
        <v>222</v>
      </c>
      <c r="I1250" s="9" t="n">
        <v>180.18</v>
      </c>
      <c r="J1250" s="9" t="n">
        <v>540.53</v>
      </c>
      <c r="K1250" s="52" t="n">
        <v>660</v>
      </c>
      <c r="L1250" s="58" t="n">
        <v>33.9</v>
      </c>
      <c r="M1250" s="59" t="n">
        <v>61.1</v>
      </c>
      <c r="N1250" s="9" t="n">
        <v>10.629815</v>
      </c>
      <c r="O1250" s="8" t="n">
        <v>15.7501</v>
      </c>
      <c r="P1250" s="9" t="n">
        <v>-318.53</v>
      </c>
      <c r="Q1250" s="7" t="s">
        <v>2103</v>
      </c>
      <c r="R1250" s="7" t="s">
        <v>2099</v>
      </c>
      <c r="S1250" s="58" t="n">
        <v>0.5</v>
      </c>
      <c r="T1250" s="9" t="n">
        <v>660</v>
      </c>
      <c r="U1250" s="56" t="n">
        <f aca="false">I1250*O1250</f>
        <v>2837.853018</v>
      </c>
      <c r="V1250" s="56" t="n">
        <f aca="false">J1250*O1250</f>
        <v>8513.401553</v>
      </c>
      <c r="W1250" s="56" t="n">
        <f aca="false">((I1250+J1250)/2)*O1250</f>
        <v>5675.6272855</v>
      </c>
      <c r="X1250" s="56" t="n">
        <f aca="false">H1250*O1250</f>
        <v>3496.5222</v>
      </c>
    </row>
    <row r="1251" customFormat="false" ht="22.35" hidden="false" customHeight="false" outlineLevel="0" collapsed="false">
      <c r="A1251" s="76" t="s">
        <v>2063</v>
      </c>
      <c r="B1251" s="49" t="s">
        <v>2437</v>
      </c>
      <c r="C1251" s="49" t="s">
        <v>2438</v>
      </c>
      <c r="D1251" s="49" t="s">
        <v>2101</v>
      </c>
      <c r="E1251" s="57" t="s">
        <v>2102</v>
      </c>
      <c r="F1251" s="49" t="s">
        <v>2097</v>
      </c>
      <c r="G1251" s="49" t="s">
        <v>2097</v>
      </c>
      <c r="H1251" s="51" t="n">
        <v>1767</v>
      </c>
      <c r="I1251" s="51" t="n">
        <v>1188.05</v>
      </c>
      <c r="J1251" s="51" t="n">
        <v>3564.15</v>
      </c>
      <c r="K1251" s="52" t="n">
        <v>3960</v>
      </c>
      <c r="L1251" s="53" t="n">
        <v>30.9</v>
      </c>
      <c r="M1251" s="54" t="n">
        <v>86.5</v>
      </c>
      <c r="N1251" s="51" t="n">
        <v>76.896425</v>
      </c>
      <c r="O1251" s="55" t="n">
        <v>1.487</v>
      </c>
      <c r="P1251" s="51" t="n">
        <v>-1797.15</v>
      </c>
      <c r="Q1251" s="49" t="s">
        <v>2103</v>
      </c>
      <c r="R1251" s="49" t="s">
        <v>2099</v>
      </c>
      <c r="S1251" s="53" t="n">
        <v>0.5</v>
      </c>
      <c r="T1251" s="51" t="n">
        <v>660</v>
      </c>
      <c r="U1251" s="56" t="n">
        <f aca="false">I1251*O1251</f>
        <v>1766.63035</v>
      </c>
      <c r="V1251" s="56" t="n">
        <f aca="false">J1251*O1251</f>
        <v>5299.89105</v>
      </c>
      <c r="W1251" s="56" t="n">
        <f aca="false">((I1251+J1251)/2)*O1251</f>
        <v>3533.2607</v>
      </c>
      <c r="X1251" s="56" t="n">
        <f aca="false">H1251*O1251</f>
        <v>2627.529</v>
      </c>
    </row>
    <row r="1252" customFormat="false" ht="15" hidden="false" customHeight="false" outlineLevel="0" collapsed="false">
      <c r="A1252" s="76" t="s">
        <v>2063</v>
      </c>
      <c r="B1252" s="7" t="s">
        <v>3864</v>
      </c>
      <c r="C1252" s="7" t="s">
        <v>3865</v>
      </c>
      <c r="D1252" s="7" t="s">
        <v>2101</v>
      </c>
      <c r="E1252" s="50" t="s">
        <v>2096</v>
      </c>
      <c r="F1252" s="7" t="s">
        <v>2097</v>
      </c>
      <c r="G1252" s="7" t="s">
        <v>2097</v>
      </c>
      <c r="H1252" s="9" t="n">
        <v>40</v>
      </c>
      <c r="I1252" s="9" t="n">
        <v>0.07</v>
      </c>
      <c r="J1252" s="9" t="n">
        <v>0.21</v>
      </c>
      <c r="K1252" s="52" t="n">
        <v>88</v>
      </c>
      <c r="L1252" s="58" t="n">
        <v>6</v>
      </c>
      <c r="M1252" s="59" t="n">
        <v>0</v>
      </c>
      <c r="N1252" s="9" t="n">
        <v>0.022959</v>
      </c>
      <c r="O1252" s="8" t="n">
        <v>51.99</v>
      </c>
      <c r="P1252" s="9" t="n">
        <v>39.79</v>
      </c>
      <c r="Q1252" s="7" t="s">
        <v>2098</v>
      </c>
      <c r="R1252" s="7" t="s">
        <v>2099</v>
      </c>
      <c r="S1252" s="58" t="n">
        <v>0.5</v>
      </c>
      <c r="T1252" s="9" t="n">
        <v>88</v>
      </c>
      <c r="U1252" s="56" t="n">
        <f aca="false">I1252*O1252</f>
        <v>3.6393</v>
      </c>
      <c r="V1252" s="56" t="n">
        <f aca="false">J1252*O1252</f>
        <v>10.9179</v>
      </c>
      <c r="W1252" s="56" t="n">
        <f aca="false">((I1252+J1252)/2)*O1252</f>
        <v>7.2786</v>
      </c>
      <c r="X1252" s="56" t="n">
        <f aca="false">H1252*O1252</f>
        <v>2079.6</v>
      </c>
    </row>
    <row r="1253" customFormat="false" ht="15" hidden="false" customHeight="false" outlineLevel="0" collapsed="false">
      <c r="A1253" s="76" t="s">
        <v>2063</v>
      </c>
      <c r="B1253" s="49" t="s">
        <v>3866</v>
      </c>
      <c r="C1253" s="49" t="s">
        <v>3867</v>
      </c>
      <c r="D1253" s="49" t="s">
        <v>2101</v>
      </c>
      <c r="E1253" s="50" t="s">
        <v>2096</v>
      </c>
      <c r="F1253" s="49" t="s">
        <v>2097</v>
      </c>
      <c r="G1253" s="49" t="s">
        <v>2097</v>
      </c>
      <c r="H1253" s="51" t="n">
        <v>40</v>
      </c>
      <c r="I1253" s="51" t="n">
        <v>2.21</v>
      </c>
      <c r="J1253" s="51" t="n">
        <v>6.63</v>
      </c>
      <c r="K1253" s="52" t="n">
        <v>44</v>
      </c>
      <c r="L1253" s="53" t="n">
        <v>41.5</v>
      </c>
      <c r="M1253" s="54" t="n">
        <v>100</v>
      </c>
      <c r="N1253" s="51" t="n">
        <v>0.106464</v>
      </c>
      <c r="O1253" s="55" t="n">
        <v>38.65</v>
      </c>
      <c r="P1253" s="51" t="n">
        <v>33.37</v>
      </c>
      <c r="Q1253" s="49" t="s">
        <v>2098</v>
      </c>
      <c r="R1253" s="49" t="s">
        <v>2099</v>
      </c>
      <c r="S1253" s="53" t="n">
        <v>0.5</v>
      </c>
      <c r="T1253" s="51" t="n">
        <v>44</v>
      </c>
      <c r="U1253" s="56" t="n">
        <f aca="false">I1253*O1253</f>
        <v>85.4165</v>
      </c>
      <c r="V1253" s="56" t="n">
        <f aca="false">J1253*O1253</f>
        <v>256.2495</v>
      </c>
      <c r="W1253" s="56" t="n">
        <f aca="false">((I1253+J1253)/2)*O1253</f>
        <v>170.833</v>
      </c>
      <c r="X1253" s="56" t="n">
        <f aca="false">H1253*O1253</f>
        <v>1546</v>
      </c>
    </row>
    <row r="1254" customFormat="false" ht="22.35" hidden="false" customHeight="false" outlineLevel="0" collapsed="false">
      <c r="A1254" s="76" t="s">
        <v>2063</v>
      </c>
      <c r="B1254" s="7" t="s">
        <v>3868</v>
      </c>
      <c r="C1254" s="7" t="s">
        <v>3869</v>
      </c>
      <c r="D1254" s="7" t="s">
        <v>2095</v>
      </c>
      <c r="E1254" s="61" t="s">
        <v>2113</v>
      </c>
      <c r="F1254" s="7" t="s">
        <v>2097</v>
      </c>
      <c r="G1254" s="7" t="s">
        <v>2097</v>
      </c>
      <c r="H1254" s="9" t="n">
        <v>16508</v>
      </c>
      <c r="I1254" s="9" t="n">
        <v>14978.52</v>
      </c>
      <c r="J1254" s="9" t="n">
        <v>29957.04</v>
      </c>
      <c r="K1254" s="52" t="n">
        <v>37800</v>
      </c>
      <c r="L1254" s="58" t="n">
        <v>24.1</v>
      </c>
      <c r="M1254" s="59" t="n">
        <v>93.9</v>
      </c>
      <c r="N1254" s="9" t="n">
        <v>621.515548</v>
      </c>
      <c r="O1254" s="8" t="n">
        <v>3.02</v>
      </c>
      <c r="P1254" s="9" t="n">
        <v>-13449.04</v>
      </c>
      <c r="Q1254" s="7" t="s">
        <v>2103</v>
      </c>
      <c r="R1254" s="7" t="s">
        <v>2099</v>
      </c>
      <c r="S1254" s="58" t="n">
        <v>1</v>
      </c>
      <c r="T1254" s="9" t="n">
        <v>12600</v>
      </c>
      <c r="U1254" s="56" t="n">
        <f aca="false">I1254*O1254</f>
        <v>45235.1304</v>
      </c>
      <c r="V1254" s="56" t="n">
        <f aca="false">J1254*O1254</f>
        <v>90470.2608</v>
      </c>
      <c r="W1254" s="56" t="n">
        <f aca="false">((I1254+J1254)/2)*O1254</f>
        <v>67852.6956</v>
      </c>
      <c r="X1254" s="56" t="n">
        <f aca="false">H1254*O1254</f>
        <v>49854.16</v>
      </c>
    </row>
    <row r="1255" customFormat="false" ht="22.35" hidden="false" customHeight="false" outlineLevel="0" collapsed="false">
      <c r="A1255" s="76" t="s">
        <v>2063</v>
      </c>
      <c r="B1255" s="49" t="s">
        <v>3870</v>
      </c>
      <c r="C1255" s="49" t="s">
        <v>3871</v>
      </c>
      <c r="D1255" s="49" t="s">
        <v>2101</v>
      </c>
      <c r="E1255" s="57" t="s">
        <v>2102</v>
      </c>
      <c r="F1255" s="49" t="s">
        <v>2097</v>
      </c>
      <c r="G1255" s="49" t="s">
        <v>2097</v>
      </c>
      <c r="H1255" s="51" t="n">
        <v>1778</v>
      </c>
      <c r="I1255" s="51" t="n">
        <v>651.82</v>
      </c>
      <c r="J1255" s="51" t="n">
        <v>1955.47</v>
      </c>
      <c r="K1255" s="52" t="n">
        <v>2700</v>
      </c>
      <c r="L1255" s="53" t="n">
        <v>19.6</v>
      </c>
      <c r="M1255" s="54" t="n">
        <v>94.3</v>
      </c>
      <c r="N1255" s="51" t="n">
        <v>66.512521</v>
      </c>
      <c r="O1255" s="55" t="n">
        <v>2.83</v>
      </c>
      <c r="P1255" s="51" t="n">
        <v>-177.47</v>
      </c>
      <c r="Q1255" s="49" t="s">
        <v>2103</v>
      </c>
      <c r="R1255" s="49" t="s">
        <v>2099</v>
      </c>
      <c r="S1255" s="53" t="n">
        <v>0.5</v>
      </c>
      <c r="T1255" s="51" t="n">
        <v>900</v>
      </c>
      <c r="U1255" s="56" t="n">
        <f aca="false">I1255*O1255</f>
        <v>1844.6506</v>
      </c>
      <c r="V1255" s="56" t="n">
        <f aca="false">J1255*O1255</f>
        <v>5533.9801</v>
      </c>
      <c r="W1255" s="56" t="n">
        <f aca="false">((I1255+J1255)/2)*O1255</f>
        <v>3689.31535</v>
      </c>
      <c r="X1255" s="56" t="n">
        <f aca="false">H1255*O1255</f>
        <v>5031.74</v>
      </c>
    </row>
    <row r="1256" customFormat="false" ht="22.35" hidden="false" customHeight="false" outlineLevel="0" collapsed="false">
      <c r="A1256" s="76" t="s">
        <v>2063</v>
      </c>
      <c r="B1256" s="7" t="s">
        <v>2439</v>
      </c>
      <c r="C1256" s="7" t="s">
        <v>2440</v>
      </c>
      <c r="D1256" s="7" t="s">
        <v>2101</v>
      </c>
      <c r="E1256" s="57" t="s">
        <v>2102</v>
      </c>
      <c r="F1256" s="7" t="s">
        <v>2097</v>
      </c>
      <c r="G1256" s="7" t="s">
        <v>2097</v>
      </c>
      <c r="H1256" s="9" t="n">
        <v>310</v>
      </c>
      <c r="I1256" s="9" t="n">
        <v>196.57</v>
      </c>
      <c r="J1256" s="9" t="n">
        <v>589.71</v>
      </c>
      <c r="K1256" s="52" t="n">
        <v>589.71</v>
      </c>
      <c r="L1256" s="58" t="n">
        <v>21.4</v>
      </c>
      <c r="M1256" s="59" t="n">
        <v>63.3</v>
      </c>
      <c r="N1256" s="9" t="n">
        <v>18.37084</v>
      </c>
      <c r="O1256" s="8" t="n">
        <v>3.766</v>
      </c>
      <c r="P1256" s="9" t="n">
        <v>-279.71</v>
      </c>
      <c r="Q1256" s="7" t="s">
        <v>2103</v>
      </c>
      <c r="R1256" s="7" t="s">
        <v>2099</v>
      </c>
      <c r="S1256" s="58" t="n">
        <v>0.5</v>
      </c>
      <c r="T1256" s="9" t="n">
        <v>1</v>
      </c>
      <c r="U1256" s="56" t="n">
        <f aca="false">I1256*O1256</f>
        <v>740.28262</v>
      </c>
      <c r="V1256" s="56" t="n">
        <f aca="false">J1256*O1256</f>
        <v>2220.84786</v>
      </c>
      <c r="W1256" s="56" t="n">
        <f aca="false">((I1256+J1256)/2)*O1256</f>
        <v>1480.56524</v>
      </c>
      <c r="X1256" s="56" t="n">
        <f aca="false">H1256*O1256</f>
        <v>1167.46</v>
      </c>
    </row>
    <row r="1257" customFormat="false" ht="22.35" hidden="false" customHeight="false" outlineLevel="0" collapsed="false">
      <c r="A1257" s="76" t="s">
        <v>2063</v>
      </c>
      <c r="B1257" s="49" t="s">
        <v>2441</v>
      </c>
      <c r="C1257" s="49" t="s">
        <v>1744</v>
      </c>
      <c r="D1257" s="49" t="s">
        <v>2095</v>
      </c>
      <c r="E1257" s="61" t="s">
        <v>2113</v>
      </c>
      <c r="F1257" s="49" t="s">
        <v>2097</v>
      </c>
      <c r="G1257" s="49" t="s">
        <v>2097</v>
      </c>
      <c r="H1257" s="51" t="n">
        <v>2561</v>
      </c>
      <c r="I1257" s="51" t="n">
        <v>3525.88</v>
      </c>
      <c r="J1257" s="51" t="n">
        <v>7051.76</v>
      </c>
      <c r="K1257" s="52" t="n">
        <v>7700</v>
      </c>
      <c r="L1257" s="53" t="n">
        <v>25.7</v>
      </c>
      <c r="M1257" s="54" t="n">
        <v>82</v>
      </c>
      <c r="N1257" s="51" t="n">
        <v>137.193911</v>
      </c>
      <c r="O1257" s="55" t="n">
        <v>1.6</v>
      </c>
      <c r="P1257" s="51" t="n">
        <v>-4490.76</v>
      </c>
      <c r="Q1257" s="49" t="s">
        <v>2103</v>
      </c>
      <c r="R1257" s="49" t="s">
        <v>2099</v>
      </c>
      <c r="S1257" s="53" t="n">
        <v>1</v>
      </c>
      <c r="T1257" s="51" t="n">
        <v>3850</v>
      </c>
      <c r="U1257" s="56" t="n">
        <f aca="false">I1257*O1257</f>
        <v>5641.408</v>
      </c>
      <c r="V1257" s="56" t="n">
        <f aca="false">J1257*O1257</f>
        <v>11282.816</v>
      </c>
      <c r="W1257" s="56" t="n">
        <f aca="false">((I1257+J1257)/2)*O1257</f>
        <v>8462.112</v>
      </c>
      <c r="X1257" s="56" t="n">
        <f aca="false">H1257*O1257</f>
        <v>4097.6</v>
      </c>
    </row>
    <row r="1258" customFormat="false" ht="22.35" hidden="false" customHeight="false" outlineLevel="0" collapsed="false">
      <c r="A1258" s="76" t="s">
        <v>2063</v>
      </c>
      <c r="B1258" s="4" t="s">
        <v>3872</v>
      </c>
      <c r="C1258" s="4" t="s">
        <v>2209</v>
      </c>
      <c r="D1258" s="4" t="s">
        <v>2101</v>
      </c>
      <c r="E1258" s="70" t="s">
        <v>2193</v>
      </c>
      <c r="F1258" s="4" t="s">
        <v>2097</v>
      </c>
      <c r="G1258" s="71" t="s">
        <v>2194</v>
      </c>
      <c r="H1258" s="6" t="n">
        <v>40</v>
      </c>
      <c r="I1258" s="6" t="n">
        <v>0</v>
      </c>
      <c r="J1258" s="6" t="n">
        <v>0</v>
      </c>
      <c r="K1258" s="52" t="n">
        <v>0</v>
      </c>
      <c r="L1258" s="72" t="n">
        <v>10.7</v>
      </c>
      <c r="M1258" s="73" t="n">
        <v>85.7</v>
      </c>
      <c r="N1258" s="6" t="n">
        <v>3.18863</v>
      </c>
      <c r="O1258" s="5" t="n">
        <v>15.0773</v>
      </c>
      <c r="P1258" s="6" t="n">
        <v>40</v>
      </c>
      <c r="Q1258" s="4" t="s">
        <v>2098</v>
      </c>
      <c r="R1258" s="4" t="s">
        <v>2195</v>
      </c>
      <c r="S1258" s="72" t="n">
        <v>0</v>
      </c>
      <c r="T1258" s="6" t="n">
        <v>88</v>
      </c>
      <c r="U1258" s="56" t="n">
        <f aca="false">I1258*O1258</f>
        <v>0</v>
      </c>
      <c r="V1258" s="56" t="n">
        <f aca="false">J1258*O1258</f>
        <v>0</v>
      </c>
      <c r="W1258" s="56" t="n">
        <f aca="false">((I1258+J1258)/2)*O1258</f>
        <v>0</v>
      </c>
      <c r="X1258" s="56" t="n">
        <f aca="false">H1258*O1258</f>
        <v>603.092</v>
      </c>
    </row>
    <row r="1259" customFormat="false" ht="22.35" hidden="false" customHeight="false" outlineLevel="0" collapsed="false">
      <c r="A1259" s="76" t="s">
        <v>2063</v>
      </c>
      <c r="B1259" s="49" t="s">
        <v>3873</v>
      </c>
      <c r="C1259" s="49" t="s">
        <v>1820</v>
      </c>
      <c r="D1259" s="49" t="s">
        <v>2101</v>
      </c>
      <c r="E1259" s="57" t="s">
        <v>2102</v>
      </c>
      <c r="F1259" s="49" t="s">
        <v>2097</v>
      </c>
      <c r="G1259" s="49" t="s">
        <v>2097</v>
      </c>
      <c r="H1259" s="51" t="n">
        <v>143</v>
      </c>
      <c r="I1259" s="51" t="n">
        <v>60.53</v>
      </c>
      <c r="J1259" s="51" t="n">
        <v>181.59</v>
      </c>
      <c r="K1259" s="52" t="n">
        <v>352.8</v>
      </c>
      <c r="L1259" s="53" t="n">
        <v>17.8</v>
      </c>
      <c r="M1259" s="54" t="n">
        <v>52.2</v>
      </c>
      <c r="N1259" s="51" t="n">
        <v>6.801</v>
      </c>
      <c r="O1259" s="55" t="n">
        <v>32.9</v>
      </c>
      <c r="P1259" s="51" t="n">
        <v>-38.59</v>
      </c>
      <c r="Q1259" s="49" t="s">
        <v>2103</v>
      </c>
      <c r="R1259" s="49" t="s">
        <v>2099</v>
      </c>
      <c r="S1259" s="53" t="n">
        <v>0.5</v>
      </c>
      <c r="T1259" s="51" t="n">
        <v>352.8</v>
      </c>
      <c r="U1259" s="56" t="n">
        <f aca="false">I1259*O1259</f>
        <v>1991.437</v>
      </c>
      <c r="V1259" s="56" t="n">
        <f aca="false">J1259*O1259</f>
        <v>5974.311</v>
      </c>
      <c r="W1259" s="56" t="n">
        <f aca="false">((I1259+J1259)/2)*O1259</f>
        <v>3982.874</v>
      </c>
      <c r="X1259" s="56" t="n">
        <f aca="false">H1259*O1259</f>
        <v>4704.7</v>
      </c>
    </row>
    <row r="1260" customFormat="false" ht="22.35" hidden="false" customHeight="false" outlineLevel="0" collapsed="false">
      <c r="A1260" s="76" t="s">
        <v>2063</v>
      </c>
      <c r="B1260" s="4" t="s">
        <v>3874</v>
      </c>
      <c r="C1260" s="4" t="s">
        <v>3875</v>
      </c>
      <c r="D1260" s="4" t="s">
        <v>2101</v>
      </c>
      <c r="E1260" s="70" t="s">
        <v>2193</v>
      </c>
      <c r="F1260" s="4" t="s">
        <v>2097</v>
      </c>
      <c r="G1260" s="71" t="s">
        <v>2194</v>
      </c>
      <c r="H1260" s="6" t="n">
        <v>193</v>
      </c>
      <c r="I1260" s="6" t="n">
        <v>0</v>
      </c>
      <c r="J1260" s="6" t="n">
        <v>0</v>
      </c>
      <c r="K1260" s="52" t="n">
        <v>0</v>
      </c>
      <c r="L1260" s="72" t="n">
        <v>19.4</v>
      </c>
      <c r="M1260" s="73" t="n">
        <v>71.4</v>
      </c>
      <c r="N1260" s="6" t="n">
        <v>2.246303</v>
      </c>
      <c r="O1260" s="5" t="n">
        <v>33.9013</v>
      </c>
      <c r="P1260" s="6" t="n">
        <v>193</v>
      </c>
      <c r="Q1260" s="4" t="s">
        <v>2098</v>
      </c>
      <c r="R1260" s="4" t="s">
        <v>2195</v>
      </c>
      <c r="S1260" s="72" t="n">
        <v>0</v>
      </c>
      <c r="T1260" s="6" t="n">
        <v>308</v>
      </c>
      <c r="U1260" s="56" t="n">
        <f aca="false">I1260*O1260</f>
        <v>0</v>
      </c>
      <c r="V1260" s="56" t="n">
        <f aca="false">J1260*O1260</f>
        <v>0</v>
      </c>
      <c r="W1260" s="56" t="n">
        <f aca="false">((I1260+J1260)/2)*O1260</f>
        <v>0</v>
      </c>
      <c r="X1260" s="56" t="n">
        <f aca="false">H1260*O1260</f>
        <v>6542.9509</v>
      </c>
    </row>
    <row r="1261" customFormat="false" ht="22.35" hidden="false" customHeight="false" outlineLevel="0" collapsed="false">
      <c r="A1261" s="76" t="s">
        <v>2063</v>
      </c>
      <c r="B1261" s="49" t="s">
        <v>2451</v>
      </c>
      <c r="C1261" s="49" t="s">
        <v>2452</v>
      </c>
      <c r="D1261" s="49" t="s">
        <v>2101</v>
      </c>
      <c r="E1261" s="57" t="s">
        <v>2102</v>
      </c>
      <c r="F1261" s="49" t="s">
        <v>2097</v>
      </c>
      <c r="G1261" s="49" t="s">
        <v>2097</v>
      </c>
      <c r="H1261" s="51" t="n">
        <v>40</v>
      </c>
      <c r="I1261" s="51" t="n">
        <v>14.81</v>
      </c>
      <c r="J1261" s="51" t="n">
        <v>44.44</v>
      </c>
      <c r="K1261" s="52" t="n">
        <v>1000</v>
      </c>
      <c r="L1261" s="53" t="n">
        <v>16.7</v>
      </c>
      <c r="M1261" s="54" t="n">
        <v>67.9</v>
      </c>
      <c r="N1261" s="51" t="n">
        <v>1.773973</v>
      </c>
      <c r="O1261" s="55" t="n">
        <v>0.5705</v>
      </c>
      <c r="P1261" s="51" t="n">
        <v>-4.44</v>
      </c>
      <c r="Q1261" s="49" t="s">
        <v>2103</v>
      </c>
      <c r="R1261" s="49" t="s">
        <v>2099</v>
      </c>
      <c r="S1261" s="53" t="n">
        <v>0.5</v>
      </c>
      <c r="T1261" s="51" t="n">
        <v>1000</v>
      </c>
      <c r="U1261" s="56" t="n">
        <f aca="false">I1261*O1261</f>
        <v>8.449105</v>
      </c>
      <c r="V1261" s="56" t="n">
        <f aca="false">J1261*O1261</f>
        <v>25.35302</v>
      </c>
      <c r="W1261" s="56" t="n">
        <f aca="false">((I1261+J1261)/2)*O1261</f>
        <v>16.9010625</v>
      </c>
      <c r="X1261" s="56" t="n">
        <f aca="false">H1261*O1261</f>
        <v>22.82</v>
      </c>
    </row>
    <row r="1262" customFormat="false" ht="15" hidden="false" customHeight="false" outlineLevel="0" collapsed="false">
      <c r="A1262" s="76" t="s">
        <v>2063</v>
      </c>
      <c r="B1262" s="7" t="s">
        <v>3876</v>
      </c>
      <c r="C1262" s="7" t="s">
        <v>3877</v>
      </c>
      <c r="D1262" s="7" t="s">
        <v>2101</v>
      </c>
      <c r="E1262" s="50" t="s">
        <v>2096</v>
      </c>
      <c r="F1262" s="7" t="s">
        <v>2097</v>
      </c>
      <c r="G1262" s="7" t="s">
        <v>2097</v>
      </c>
      <c r="H1262" s="9" t="n">
        <v>80</v>
      </c>
      <c r="I1262" s="9" t="n">
        <v>9.66</v>
      </c>
      <c r="J1262" s="9" t="n">
        <v>28.98</v>
      </c>
      <c r="K1262" s="52" t="n">
        <v>28.98</v>
      </c>
      <c r="L1262" s="58" t="n">
        <v>21.7</v>
      </c>
      <c r="M1262" s="59" t="n">
        <v>14.3</v>
      </c>
      <c r="N1262" s="9" t="n">
        <v>0.890411</v>
      </c>
      <c r="O1262" s="8" t="n">
        <v>0.4792</v>
      </c>
      <c r="P1262" s="9" t="n">
        <v>51.02</v>
      </c>
      <c r="Q1262" s="7" t="s">
        <v>2098</v>
      </c>
      <c r="R1262" s="7" t="s">
        <v>2099</v>
      </c>
      <c r="S1262" s="58" t="n">
        <v>0.5</v>
      </c>
      <c r="T1262" s="9" t="n">
        <v>1</v>
      </c>
      <c r="U1262" s="56" t="n">
        <f aca="false">I1262*O1262</f>
        <v>4.629072</v>
      </c>
      <c r="V1262" s="56" t="n">
        <f aca="false">J1262*O1262</f>
        <v>13.887216</v>
      </c>
      <c r="W1262" s="56" t="n">
        <f aca="false">((I1262+J1262)/2)*O1262</f>
        <v>9.258144</v>
      </c>
      <c r="X1262" s="56" t="n">
        <f aca="false">H1262*O1262</f>
        <v>38.336</v>
      </c>
    </row>
    <row r="1263" customFormat="false" ht="22.35" hidden="false" customHeight="false" outlineLevel="0" collapsed="false">
      <c r="A1263" s="76" t="s">
        <v>2063</v>
      </c>
      <c r="B1263" s="49" t="s">
        <v>2453</v>
      </c>
      <c r="C1263" s="49" t="s">
        <v>2454</v>
      </c>
      <c r="D1263" s="49" t="s">
        <v>2095</v>
      </c>
      <c r="E1263" s="61" t="s">
        <v>2113</v>
      </c>
      <c r="F1263" s="49" t="s">
        <v>2097</v>
      </c>
      <c r="G1263" s="49" t="s">
        <v>2097</v>
      </c>
      <c r="H1263" s="51" t="n">
        <v>1992</v>
      </c>
      <c r="I1263" s="51" t="n">
        <v>3331.21</v>
      </c>
      <c r="J1263" s="51" t="n">
        <v>6662.42</v>
      </c>
      <c r="K1263" s="52" t="n">
        <v>7936</v>
      </c>
      <c r="L1263" s="53" t="n">
        <v>39.2</v>
      </c>
      <c r="M1263" s="54" t="n">
        <v>66.7</v>
      </c>
      <c r="N1263" s="51" t="n">
        <v>84.979781</v>
      </c>
      <c r="O1263" s="55" t="n">
        <v>3.857</v>
      </c>
      <c r="P1263" s="51" t="n">
        <v>-4670.42</v>
      </c>
      <c r="Q1263" s="49" t="s">
        <v>2103</v>
      </c>
      <c r="R1263" s="49" t="s">
        <v>2099</v>
      </c>
      <c r="S1263" s="53" t="n">
        <v>1</v>
      </c>
      <c r="T1263" s="51" t="n">
        <v>3968</v>
      </c>
      <c r="U1263" s="56" t="n">
        <f aca="false">I1263*O1263</f>
        <v>12848.47697</v>
      </c>
      <c r="V1263" s="56" t="n">
        <f aca="false">J1263*O1263</f>
        <v>25696.95394</v>
      </c>
      <c r="W1263" s="56" t="n">
        <f aca="false">((I1263+J1263)/2)*O1263</f>
        <v>19272.715455</v>
      </c>
      <c r="X1263" s="56" t="n">
        <f aca="false">H1263*O1263</f>
        <v>7683.144</v>
      </c>
    </row>
    <row r="1264" customFormat="false" ht="15" hidden="false" customHeight="false" outlineLevel="0" collapsed="false">
      <c r="A1264" s="76" t="s">
        <v>2063</v>
      </c>
      <c r="B1264" s="7" t="s">
        <v>3878</v>
      </c>
      <c r="C1264" s="7" t="s">
        <v>1992</v>
      </c>
      <c r="D1264" s="7" t="s">
        <v>2101</v>
      </c>
      <c r="E1264" s="50" t="s">
        <v>2096</v>
      </c>
      <c r="F1264" s="7" t="s">
        <v>2097</v>
      </c>
      <c r="G1264" s="7" t="s">
        <v>2097</v>
      </c>
      <c r="H1264" s="9" t="n">
        <v>540</v>
      </c>
      <c r="I1264" s="9" t="n">
        <v>164.4</v>
      </c>
      <c r="J1264" s="9" t="n">
        <v>493.2</v>
      </c>
      <c r="K1264" s="52" t="n">
        <v>800</v>
      </c>
      <c r="L1264" s="58" t="n">
        <v>17.7</v>
      </c>
      <c r="M1264" s="59" t="n">
        <v>100</v>
      </c>
      <c r="N1264" s="9" t="n">
        <v>18.576247</v>
      </c>
      <c r="O1264" s="8" t="n">
        <v>3.179</v>
      </c>
      <c r="P1264" s="9" t="n">
        <v>46.8</v>
      </c>
      <c r="Q1264" s="7" t="s">
        <v>2098</v>
      </c>
      <c r="R1264" s="7" t="s">
        <v>2099</v>
      </c>
      <c r="S1264" s="58" t="n">
        <v>0.5</v>
      </c>
      <c r="T1264" s="9" t="n">
        <v>800</v>
      </c>
      <c r="U1264" s="56" t="n">
        <f aca="false">I1264*O1264</f>
        <v>522.6276</v>
      </c>
      <c r="V1264" s="56" t="n">
        <f aca="false">J1264*O1264</f>
        <v>1567.8828</v>
      </c>
      <c r="W1264" s="56" t="n">
        <f aca="false">((I1264+J1264)/2)*O1264</f>
        <v>1045.2552</v>
      </c>
      <c r="X1264" s="56" t="n">
        <f aca="false">H1264*O1264</f>
        <v>1716.66</v>
      </c>
    </row>
    <row r="1265" customFormat="false" ht="22.35" hidden="false" customHeight="false" outlineLevel="0" collapsed="false">
      <c r="A1265" s="76" t="s">
        <v>2063</v>
      </c>
      <c r="B1265" s="49" t="s">
        <v>3879</v>
      </c>
      <c r="C1265" s="49" t="s">
        <v>1940</v>
      </c>
      <c r="D1265" s="49" t="s">
        <v>2101</v>
      </c>
      <c r="E1265" s="57" t="s">
        <v>2102</v>
      </c>
      <c r="F1265" s="49" t="s">
        <v>2097</v>
      </c>
      <c r="G1265" s="49" t="s">
        <v>2097</v>
      </c>
      <c r="H1265" s="51" t="n">
        <v>369</v>
      </c>
      <c r="I1265" s="51" t="n">
        <v>229.25</v>
      </c>
      <c r="J1265" s="51" t="n">
        <v>687.76</v>
      </c>
      <c r="K1265" s="52" t="n">
        <v>904</v>
      </c>
      <c r="L1265" s="53" t="n">
        <v>28.7</v>
      </c>
      <c r="M1265" s="54" t="n">
        <v>58.3</v>
      </c>
      <c r="N1265" s="51" t="n">
        <v>15.975808</v>
      </c>
      <c r="O1265" s="55" t="n">
        <v>5.28</v>
      </c>
      <c r="P1265" s="51" t="n">
        <v>-318.76</v>
      </c>
      <c r="Q1265" s="49" t="s">
        <v>2103</v>
      </c>
      <c r="R1265" s="49" t="s">
        <v>2099</v>
      </c>
      <c r="S1265" s="53" t="n">
        <v>0.5</v>
      </c>
      <c r="T1265" s="51" t="n">
        <v>452</v>
      </c>
      <c r="U1265" s="56" t="n">
        <f aca="false">I1265*O1265</f>
        <v>1210.44</v>
      </c>
      <c r="V1265" s="56" t="n">
        <f aca="false">J1265*O1265</f>
        <v>3631.3728</v>
      </c>
      <c r="W1265" s="56" t="n">
        <f aca="false">((I1265+J1265)/2)*O1265</f>
        <v>2420.9064</v>
      </c>
      <c r="X1265" s="56" t="n">
        <f aca="false">H1265*O1265</f>
        <v>1948.32</v>
      </c>
    </row>
    <row r="1266" customFormat="false" ht="22.35" hidden="false" customHeight="false" outlineLevel="0" collapsed="false">
      <c r="A1266" s="76" t="s">
        <v>2063</v>
      </c>
      <c r="B1266" s="7" t="s">
        <v>2455</v>
      </c>
      <c r="C1266" s="7" t="s">
        <v>2456</v>
      </c>
      <c r="D1266" s="7" t="s">
        <v>2095</v>
      </c>
      <c r="E1266" s="61" t="s">
        <v>2113</v>
      </c>
      <c r="F1266" s="7" t="s">
        <v>2097</v>
      </c>
      <c r="G1266" s="7" t="s">
        <v>2097</v>
      </c>
      <c r="H1266" s="9" t="n">
        <v>13871</v>
      </c>
      <c r="I1266" s="9" t="n">
        <v>16015.08</v>
      </c>
      <c r="J1266" s="9" t="n">
        <v>32030.16</v>
      </c>
      <c r="K1266" s="52" t="n">
        <v>39900</v>
      </c>
      <c r="L1266" s="58" t="n">
        <v>32.6</v>
      </c>
      <c r="M1266" s="59" t="n">
        <v>79.3</v>
      </c>
      <c r="N1266" s="9" t="n">
        <v>491.259975</v>
      </c>
      <c r="O1266" s="8" t="n">
        <v>1.72</v>
      </c>
      <c r="P1266" s="9" t="n">
        <v>-18159.16</v>
      </c>
      <c r="Q1266" s="7" t="s">
        <v>2103</v>
      </c>
      <c r="R1266" s="7" t="s">
        <v>2099</v>
      </c>
      <c r="S1266" s="58" t="n">
        <v>1</v>
      </c>
      <c r="T1266" s="9" t="n">
        <v>13300</v>
      </c>
      <c r="U1266" s="56" t="n">
        <f aca="false">I1266*O1266</f>
        <v>27545.9376</v>
      </c>
      <c r="V1266" s="56" t="n">
        <f aca="false">J1266*O1266</f>
        <v>55091.8752</v>
      </c>
      <c r="W1266" s="56" t="n">
        <f aca="false">((I1266+J1266)/2)*O1266</f>
        <v>41318.9064</v>
      </c>
      <c r="X1266" s="56" t="n">
        <f aca="false">H1266*O1266</f>
        <v>23858.12</v>
      </c>
    </row>
    <row r="1267" customFormat="false" ht="22.35" hidden="false" customHeight="false" outlineLevel="0" collapsed="false">
      <c r="A1267" s="76" t="s">
        <v>2063</v>
      </c>
      <c r="B1267" s="49" t="s">
        <v>3880</v>
      </c>
      <c r="C1267" s="49" t="s">
        <v>1619</v>
      </c>
      <c r="D1267" s="49" t="s">
        <v>2095</v>
      </c>
      <c r="E1267" s="61" t="s">
        <v>2113</v>
      </c>
      <c r="F1267" s="49" t="s">
        <v>2097</v>
      </c>
      <c r="G1267" s="49" t="s">
        <v>2097</v>
      </c>
      <c r="H1267" s="51" t="n">
        <v>8338</v>
      </c>
      <c r="I1267" s="51" t="n">
        <v>8368.88</v>
      </c>
      <c r="J1267" s="51" t="n">
        <v>16737.76</v>
      </c>
      <c r="K1267" s="52" t="n">
        <v>22000</v>
      </c>
      <c r="L1267" s="53" t="n">
        <v>38.3</v>
      </c>
      <c r="M1267" s="54" t="n">
        <v>80</v>
      </c>
      <c r="N1267" s="51" t="n">
        <v>218.508718</v>
      </c>
      <c r="O1267" s="55" t="n">
        <v>3.24</v>
      </c>
      <c r="P1267" s="51" t="n">
        <v>-8399.76</v>
      </c>
      <c r="Q1267" s="49" t="s">
        <v>2103</v>
      </c>
      <c r="R1267" s="49" t="s">
        <v>2099</v>
      </c>
      <c r="S1267" s="53" t="n">
        <v>1</v>
      </c>
      <c r="T1267" s="51" t="n">
        <v>11000</v>
      </c>
      <c r="U1267" s="56" t="n">
        <f aca="false">I1267*O1267</f>
        <v>27115.1712</v>
      </c>
      <c r="V1267" s="56" t="n">
        <f aca="false">J1267*O1267</f>
        <v>54230.3424</v>
      </c>
      <c r="W1267" s="56" t="n">
        <f aca="false">((I1267+J1267)/2)*O1267</f>
        <v>40672.7568</v>
      </c>
      <c r="X1267" s="56" t="n">
        <f aca="false">H1267*O1267</f>
        <v>27015.12</v>
      </c>
    </row>
    <row r="1268" customFormat="false" ht="22.35" hidden="false" customHeight="false" outlineLevel="0" collapsed="false">
      <c r="A1268" s="76" t="s">
        <v>2063</v>
      </c>
      <c r="B1268" s="7" t="s">
        <v>2457</v>
      </c>
      <c r="C1268" s="7" t="s">
        <v>1531</v>
      </c>
      <c r="D1268" s="7" t="s">
        <v>2101</v>
      </c>
      <c r="E1268" s="57" t="s">
        <v>2102</v>
      </c>
      <c r="F1268" s="7" t="s">
        <v>2097</v>
      </c>
      <c r="G1268" s="7" t="s">
        <v>2097</v>
      </c>
      <c r="H1268" s="9" t="n">
        <v>177</v>
      </c>
      <c r="I1268" s="9" t="n">
        <v>168.25</v>
      </c>
      <c r="J1268" s="9" t="n">
        <v>504.74</v>
      </c>
      <c r="K1268" s="52" t="n">
        <v>504.74</v>
      </c>
      <c r="L1268" s="58" t="n">
        <v>42.8</v>
      </c>
      <c r="M1268" s="59" t="n">
        <v>78.6</v>
      </c>
      <c r="N1268" s="9" t="n">
        <v>7.861945</v>
      </c>
      <c r="O1268" s="8" t="n">
        <v>3.6772</v>
      </c>
      <c r="P1268" s="9" t="n">
        <v>-327.74</v>
      </c>
      <c r="Q1268" s="7" t="s">
        <v>2103</v>
      </c>
      <c r="R1268" s="7" t="s">
        <v>2099</v>
      </c>
      <c r="S1268" s="58" t="n">
        <v>0.5</v>
      </c>
      <c r="T1268" s="9" t="n">
        <v>1</v>
      </c>
      <c r="U1268" s="56" t="n">
        <f aca="false">I1268*O1268</f>
        <v>618.6889</v>
      </c>
      <c r="V1268" s="56" t="n">
        <f aca="false">J1268*O1268</f>
        <v>1856.029928</v>
      </c>
      <c r="W1268" s="56" t="n">
        <f aca="false">((I1268+J1268)/2)*O1268</f>
        <v>1237.359414</v>
      </c>
      <c r="X1268" s="56" t="n">
        <f aca="false">H1268*O1268</f>
        <v>650.8644</v>
      </c>
    </row>
    <row r="1269" customFormat="false" ht="32.8" hidden="false" customHeight="false" outlineLevel="0" collapsed="false">
      <c r="A1269" s="76" t="s">
        <v>2063</v>
      </c>
      <c r="B1269" s="62" t="s">
        <v>3881</v>
      </c>
      <c r="C1269" s="62" t="s">
        <v>1619</v>
      </c>
      <c r="D1269" s="62" t="s">
        <v>2101</v>
      </c>
      <c r="E1269" s="78" t="s">
        <v>3474</v>
      </c>
      <c r="F1269" s="64" t="s">
        <v>2170</v>
      </c>
      <c r="G1269" s="62" t="s">
        <v>2097</v>
      </c>
      <c r="H1269" s="65" t="n">
        <v>1137</v>
      </c>
      <c r="I1269" s="65" t="n">
        <v>660.86</v>
      </c>
      <c r="J1269" s="65" t="n">
        <v>1982.58</v>
      </c>
      <c r="K1269" s="66" t="n">
        <v>2500</v>
      </c>
      <c r="L1269" s="67" t="n">
        <v>17</v>
      </c>
      <c r="M1269" s="68" t="n">
        <v>61.5</v>
      </c>
      <c r="N1269" s="65" t="n">
        <v>45.942112</v>
      </c>
      <c r="O1269" s="69" t="n">
        <v>7.71</v>
      </c>
      <c r="P1269" s="65" t="n">
        <v>-845.58</v>
      </c>
      <c r="Q1269" s="62" t="s">
        <v>2103</v>
      </c>
      <c r="R1269" s="62" t="s">
        <v>3882</v>
      </c>
      <c r="S1269" s="67" t="n">
        <v>0.5</v>
      </c>
      <c r="T1269" s="65" t="n">
        <v>2500</v>
      </c>
      <c r="U1269" s="56" t="n">
        <f aca="false">I1269*O1269</f>
        <v>5095.2306</v>
      </c>
      <c r="V1269" s="56" t="n">
        <f aca="false">J1269*O1269</f>
        <v>15285.6918</v>
      </c>
      <c r="W1269" s="56" t="n">
        <f aca="false">((I1269+J1269)/2)*O1269</f>
        <v>10190.4612</v>
      </c>
      <c r="X1269" s="56" t="n">
        <f aca="false">H1269*O1269</f>
        <v>8766.27</v>
      </c>
    </row>
    <row r="1270" customFormat="false" ht="15" hidden="false" customHeight="false" outlineLevel="0" collapsed="false">
      <c r="A1270" s="76" t="s">
        <v>2063</v>
      </c>
      <c r="B1270" s="7" t="s">
        <v>3883</v>
      </c>
      <c r="C1270" s="7" t="s">
        <v>3884</v>
      </c>
      <c r="D1270" s="7" t="s">
        <v>2101</v>
      </c>
      <c r="E1270" s="50" t="s">
        <v>2096</v>
      </c>
      <c r="F1270" s="7" t="s">
        <v>2097</v>
      </c>
      <c r="G1270" s="7" t="s">
        <v>2097</v>
      </c>
      <c r="H1270" s="9" t="n">
        <v>596</v>
      </c>
      <c r="I1270" s="9" t="n">
        <v>189.01</v>
      </c>
      <c r="J1270" s="9" t="n">
        <v>567.03</v>
      </c>
      <c r="K1270" s="52" t="n">
        <v>567.03</v>
      </c>
      <c r="L1270" s="58" t="n">
        <v>14.7</v>
      </c>
      <c r="M1270" s="59" t="n">
        <v>66.7</v>
      </c>
      <c r="N1270" s="9" t="n">
        <v>25.715699</v>
      </c>
      <c r="O1270" s="8" t="n">
        <v>2.244</v>
      </c>
      <c r="P1270" s="9" t="n">
        <v>28.97</v>
      </c>
      <c r="Q1270" s="7" t="s">
        <v>2098</v>
      </c>
      <c r="R1270" s="7" t="s">
        <v>2099</v>
      </c>
      <c r="S1270" s="58" t="n">
        <v>0.5</v>
      </c>
      <c r="T1270" s="9" t="n">
        <v>1</v>
      </c>
      <c r="U1270" s="56" t="n">
        <f aca="false">I1270*O1270</f>
        <v>424.13844</v>
      </c>
      <c r="V1270" s="56" t="n">
        <f aca="false">J1270*O1270</f>
        <v>1272.41532</v>
      </c>
      <c r="W1270" s="56" t="n">
        <f aca="false">((I1270+J1270)/2)*O1270</f>
        <v>848.27688</v>
      </c>
      <c r="X1270" s="56" t="n">
        <f aca="false">H1270*O1270</f>
        <v>1337.424</v>
      </c>
    </row>
    <row r="1271" customFormat="false" ht="32.8" hidden="false" customHeight="false" outlineLevel="0" collapsed="false">
      <c r="A1271" s="76" t="s">
        <v>2063</v>
      </c>
      <c r="B1271" s="62" t="s">
        <v>3885</v>
      </c>
      <c r="C1271" s="62" t="s">
        <v>1785</v>
      </c>
      <c r="D1271" s="62" t="s">
        <v>2101</v>
      </c>
      <c r="E1271" s="78" t="s">
        <v>3474</v>
      </c>
      <c r="F1271" s="64" t="s">
        <v>2170</v>
      </c>
      <c r="G1271" s="62" t="s">
        <v>2097</v>
      </c>
      <c r="H1271" s="65" t="n">
        <v>360</v>
      </c>
      <c r="I1271" s="65" t="n">
        <v>186.57</v>
      </c>
      <c r="J1271" s="65" t="n">
        <v>559.7</v>
      </c>
      <c r="K1271" s="66" t="n">
        <v>559.7</v>
      </c>
      <c r="L1271" s="67" t="n">
        <v>21.7</v>
      </c>
      <c r="M1271" s="68" t="n">
        <v>53.3</v>
      </c>
      <c r="N1271" s="65" t="n">
        <v>14.479824</v>
      </c>
      <c r="O1271" s="69" t="n">
        <v>8.684</v>
      </c>
      <c r="P1271" s="65" t="n">
        <v>-199.7</v>
      </c>
      <c r="Q1271" s="62" t="s">
        <v>2103</v>
      </c>
      <c r="R1271" s="62" t="s">
        <v>3886</v>
      </c>
      <c r="S1271" s="67" t="n">
        <v>0.5</v>
      </c>
      <c r="T1271" s="65" t="n">
        <v>1</v>
      </c>
      <c r="U1271" s="56" t="n">
        <f aca="false">I1271*O1271</f>
        <v>1620.17388</v>
      </c>
      <c r="V1271" s="56" t="n">
        <f aca="false">J1271*O1271</f>
        <v>4860.4348</v>
      </c>
      <c r="W1271" s="56" t="n">
        <f aca="false">((I1271+J1271)/2)*O1271</f>
        <v>3240.30434</v>
      </c>
      <c r="X1271" s="56" t="n">
        <f aca="false">H1271*O1271</f>
        <v>3126.24</v>
      </c>
    </row>
    <row r="1272" customFormat="false" ht="22.35" hidden="false" customHeight="false" outlineLevel="0" collapsed="false">
      <c r="A1272" s="76" t="s">
        <v>2063</v>
      </c>
      <c r="B1272" s="7" t="s">
        <v>3887</v>
      </c>
      <c r="C1272" s="7" t="s">
        <v>3888</v>
      </c>
      <c r="D1272" s="7" t="s">
        <v>2101</v>
      </c>
      <c r="E1272" s="57" t="s">
        <v>2102</v>
      </c>
      <c r="F1272" s="7" t="s">
        <v>2097</v>
      </c>
      <c r="G1272" s="7" t="s">
        <v>2097</v>
      </c>
      <c r="H1272" s="9" t="n">
        <v>1920</v>
      </c>
      <c r="I1272" s="9" t="n">
        <v>893.79</v>
      </c>
      <c r="J1272" s="9" t="n">
        <v>2681.36</v>
      </c>
      <c r="K1272" s="52" t="n">
        <v>4500</v>
      </c>
      <c r="L1272" s="58" t="n">
        <v>23.8</v>
      </c>
      <c r="M1272" s="59" t="n">
        <v>85.7</v>
      </c>
      <c r="N1272" s="9" t="n">
        <v>75.108029</v>
      </c>
      <c r="O1272" s="8" t="n">
        <v>3.42</v>
      </c>
      <c r="P1272" s="9" t="n">
        <v>-761.36</v>
      </c>
      <c r="Q1272" s="7" t="s">
        <v>2103</v>
      </c>
      <c r="R1272" s="7" t="s">
        <v>2099</v>
      </c>
      <c r="S1272" s="58" t="n">
        <v>0.5</v>
      </c>
      <c r="T1272" s="9" t="n">
        <v>4500</v>
      </c>
      <c r="U1272" s="56" t="n">
        <f aca="false">I1272*O1272</f>
        <v>3056.7618</v>
      </c>
      <c r="V1272" s="56" t="n">
        <f aca="false">J1272*O1272</f>
        <v>9170.2512</v>
      </c>
      <c r="W1272" s="56" t="n">
        <f aca="false">((I1272+J1272)/2)*O1272</f>
        <v>6113.5065</v>
      </c>
      <c r="X1272" s="56" t="n">
        <f aca="false">H1272*O1272</f>
        <v>6566.4</v>
      </c>
    </row>
    <row r="1273" customFormat="false" ht="22.35" hidden="false" customHeight="false" outlineLevel="0" collapsed="false">
      <c r="A1273" s="76" t="s">
        <v>2063</v>
      </c>
      <c r="B1273" s="49" t="s">
        <v>3889</v>
      </c>
      <c r="C1273" s="49" t="s">
        <v>1848</v>
      </c>
      <c r="D1273" s="49" t="s">
        <v>2101</v>
      </c>
      <c r="E1273" s="57" t="s">
        <v>2102</v>
      </c>
      <c r="F1273" s="49" t="s">
        <v>2097</v>
      </c>
      <c r="G1273" s="49" t="s">
        <v>2097</v>
      </c>
      <c r="H1273" s="51" t="n">
        <v>796</v>
      </c>
      <c r="I1273" s="51" t="n">
        <v>298.31</v>
      </c>
      <c r="J1273" s="51" t="n">
        <v>894.93</v>
      </c>
      <c r="K1273" s="52" t="n">
        <v>922</v>
      </c>
      <c r="L1273" s="53" t="n">
        <v>24</v>
      </c>
      <c r="M1273" s="54" t="n">
        <v>65.4</v>
      </c>
      <c r="N1273" s="51" t="n">
        <v>24.859166</v>
      </c>
      <c r="O1273" s="55" t="n">
        <v>1.88</v>
      </c>
      <c r="P1273" s="51" t="n">
        <v>-98.93</v>
      </c>
      <c r="Q1273" s="49" t="s">
        <v>2103</v>
      </c>
      <c r="R1273" s="49" t="s">
        <v>2099</v>
      </c>
      <c r="S1273" s="53" t="n">
        <v>0.5</v>
      </c>
      <c r="T1273" s="51" t="n">
        <v>461</v>
      </c>
      <c r="U1273" s="56" t="n">
        <f aca="false">I1273*O1273</f>
        <v>560.8228</v>
      </c>
      <c r="V1273" s="56" t="n">
        <f aca="false">J1273*O1273</f>
        <v>1682.4684</v>
      </c>
      <c r="W1273" s="56" t="n">
        <f aca="false">((I1273+J1273)/2)*O1273</f>
        <v>1121.6456</v>
      </c>
      <c r="X1273" s="56" t="n">
        <f aca="false">H1273*O1273</f>
        <v>1496.48</v>
      </c>
    </row>
    <row r="1274" customFormat="false" ht="22.35" hidden="false" customHeight="false" outlineLevel="0" collapsed="false">
      <c r="A1274" s="76" t="s">
        <v>2063</v>
      </c>
      <c r="B1274" s="7" t="s">
        <v>3890</v>
      </c>
      <c r="C1274" s="7" t="s">
        <v>2473</v>
      </c>
      <c r="D1274" s="7" t="s">
        <v>2101</v>
      </c>
      <c r="E1274" s="57" t="s">
        <v>2102</v>
      </c>
      <c r="F1274" s="7" t="s">
        <v>2097</v>
      </c>
      <c r="G1274" s="7" t="s">
        <v>2097</v>
      </c>
      <c r="H1274" s="9" t="n">
        <v>996</v>
      </c>
      <c r="I1274" s="9" t="n">
        <v>379.29</v>
      </c>
      <c r="J1274" s="9" t="n">
        <v>1137.87</v>
      </c>
      <c r="K1274" s="52" t="n">
        <v>1800</v>
      </c>
      <c r="L1274" s="58" t="n">
        <v>22.5</v>
      </c>
      <c r="M1274" s="59" t="n">
        <v>76.9</v>
      </c>
      <c r="N1274" s="9" t="n">
        <v>33.714726</v>
      </c>
      <c r="O1274" s="8" t="n">
        <v>3.79</v>
      </c>
      <c r="P1274" s="9" t="n">
        <v>-141.87</v>
      </c>
      <c r="Q1274" s="7" t="s">
        <v>2103</v>
      </c>
      <c r="R1274" s="7" t="s">
        <v>2099</v>
      </c>
      <c r="S1274" s="58" t="n">
        <v>0.5</v>
      </c>
      <c r="T1274" s="9" t="n">
        <v>1800</v>
      </c>
      <c r="U1274" s="56" t="n">
        <f aca="false">I1274*O1274</f>
        <v>1437.5091</v>
      </c>
      <c r="V1274" s="56" t="n">
        <f aca="false">J1274*O1274</f>
        <v>4312.5273</v>
      </c>
      <c r="W1274" s="56" t="n">
        <f aca="false">((I1274+J1274)/2)*O1274</f>
        <v>2875.0182</v>
      </c>
      <c r="X1274" s="56" t="n">
        <f aca="false">H1274*O1274</f>
        <v>3774.84</v>
      </c>
    </row>
    <row r="1275" customFormat="false" ht="22.35" hidden="false" customHeight="false" outlineLevel="0" collapsed="false">
      <c r="A1275" s="76" t="s">
        <v>2063</v>
      </c>
      <c r="B1275" s="49" t="s">
        <v>3891</v>
      </c>
      <c r="C1275" s="49" t="s">
        <v>3892</v>
      </c>
      <c r="D1275" s="49" t="s">
        <v>2101</v>
      </c>
      <c r="E1275" s="57" t="s">
        <v>2102</v>
      </c>
      <c r="F1275" s="49" t="s">
        <v>2097</v>
      </c>
      <c r="G1275" s="49" t="s">
        <v>2097</v>
      </c>
      <c r="H1275" s="51" t="n">
        <v>80</v>
      </c>
      <c r="I1275" s="51" t="n">
        <v>27.79</v>
      </c>
      <c r="J1275" s="51" t="n">
        <v>83.37</v>
      </c>
      <c r="K1275" s="52" t="n">
        <v>474</v>
      </c>
      <c r="L1275" s="53" t="n">
        <v>11.6</v>
      </c>
      <c r="M1275" s="54" t="n">
        <v>60</v>
      </c>
      <c r="N1275" s="51" t="n">
        <v>4.791671</v>
      </c>
      <c r="O1275" s="55" t="n">
        <v>3.18</v>
      </c>
      <c r="P1275" s="51" t="n">
        <v>-3.37</v>
      </c>
      <c r="Q1275" s="49" t="s">
        <v>2103</v>
      </c>
      <c r="R1275" s="49" t="s">
        <v>2099</v>
      </c>
      <c r="S1275" s="53" t="n">
        <v>0.5</v>
      </c>
      <c r="T1275" s="51" t="n">
        <v>474</v>
      </c>
      <c r="U1275" s="56" t="n">
        <f aca="false">I1275*O1275</f>
        <v>88.3722</v>
      </c>
      <c r="V1275" s="56" t="n">
        <f aca="false">J1275*O1275</f>
        <v>265.1166</v>
      </c>
      <c r="W1275" s="56" t="n">
        <f aca="false">((I1275+J1275)/2)*O1275</f>
        <v>176.7444</v>
      </c>
      <c r="X1275" s="56" t="n">
        <f aca="false">H1275*O1275</f>
        <v>254.4</v>
      </c>
    </row>
    <row r="1276" customFormat="false" ht="22.35" hidden="false" customHeight="false" outlineLevel="0" collapsed="false">
      <c r="A1276" s="76" t="s">
        <v>2063</v>
      </c>
      <c r="B1276" s="7" t="s">
        <v>3893</v>
      </c>
      <c r="C1276" s="7" t="s">
        <v>1992</v>
      </c>
      <c r="D1276" s="7" t="s">
        <v>2101</v>
      </c>
      <c r="E1276" s="57" t="s">
        <v>2102</v>
      </c>
      <c r="F1276" s="7" t="s">
        <v>2097</v>
      </c>
      <c r="G1276" s="7" t="s">
        <v>2097</v>
      </c>
      <c r="H1276" s="9" t="n">
        <v>973</v>
      </c>
      <c r="I1276" s="9" t="n">
        <v>1304.66</v>
      </c>
      <c r="J1276" s="9" t="n">
        <v>3913.97</v>
      </c>
      <c r="K1276" s="52" t="n">
        <v>4500</v>
      </c>
      <c r="L1276" s="58" t="n">
        <v>45.4</v>
      </c>
      <c r="M1276" s="59" t="n">
        <v>69</v>
      </c>
      <c r="N1276" s="9" t="n">
        <v>57.473895</v>
      </c>
      <c r="O1276" s="8" t="n">
        <v>6.39</v>
      </c>
      <c r="P1276" s="9" t="n">
        <v>-2940.97</v>
      </c>
      <c r="Q1276" s="7" t="s">
        <v>2103</v>
      </c>
      <c r="R1276" s="7" t="s">
        <v>2099</v>
      </c>
      <c r="S1276" s="58" t="n">
        <v>0.5</v>
      </c>
      <c r="T1276" s="9" t="n">
        <v>2250</v>
      </c>
      <c r="U1276" s="56" t="n">
        <f aca="false">I1276*O1276</f>
        <v>8336.7774</v>
      </c>
      <c r="V1276" s="56" t="n">
        <f aca="false">J1276*O1276</f>
        <v>25010.2683</v>
      </c>
      <c r="W1276" s="56" t="n">
        <f aca="false">((I1276+J1276)/2)*O1276</f>
        <v>16673.52285</v>
      </c>
      <c r="X1276" s="56" t="n">
        <f aca="false">H1276*O1276</f>
        <v>6217.47</v>
      </c>
    </row>
    <row r="1277" customFormat="false" ht="22.35" hidden="false" customHeight="false" outlineLevel="0" collapsed="false">
      <c r="A1277" s="76" t="s">
        <v>2063</v>
      </c>
      <c r="B1277" s="49" t="s">
        <v>3894</v>
      </c>
      <c r="C1277" s="49" t="s">
        <v>2473</v>
      </c>
      <c r="D1277" s="49" t="s">
        <v>2095</v>
      </c>
      <c r="E1277" s="61" t="s">
        <v>2113</v>
      </c>
      <c r="F1277" s="49" t="s">
        <v>2097</v>
      </c>
      <c r="G1277" s="49" t="s">
        <v>2097</v>
      </c>
      <c r="H1277" s="51" t="n">
        <v>3729</v>
      </c>
      <c r="I1277" s="51" t="n">
        <v>15200.58</v>
      </c>
      <c r="J1277" s="51" t="n">
        <v>30401.16</v>
      </c>
      <c r="K1277" s="52" t="n">
        <v>30500</v>
      </c>
      <c r="L1277" s="53" t="n">
        <v>68.2</v>
      </c>
      <c r="M1277" s="54" t="n">
        <v>78.6</v>
      </c>
      <c r="N1277" s="51" t="n">
        <v>222.882411</v>
      </c>
      <c r="O1277" s="55" t="n">
        <v>2.875</v>
      </c>
      <c r="P1277" s="51" t="n">
        <v>-26672.16</v>
      </c>
      <c r="Q1277" s="49" t="s">
        <v>2103</v>
      </c>
      <c r="R1277" s="49" t="s">
        <v>2099</v>
      </c>
      <c r="S1277" s="53" t="n">
        <v>1</v>
      </c>
      <c r="T1277" s="51" t="n">
        <v>500</v>
      </c>
      <c r="U1277" s="56" t="n">
        <f aca="false">I1277*O1277</f>
        <v>43701.6675</v>
      </c>
      <c r="V1277" s="56" t="n">
        <f aca="false">J1277*O1277</f>
        <v>87403.335</v>
      </c>
      <c r="W1277" s="56" t="n">
        <f aca="false">((I1277+J1277)/2)*O1277</f>
        <v>65552.50125</v>
      </c>
      <c r="X1277" s="56" t="n">
        <f aca="false">H1277*O1277</f>
        <v>10720.875</v>
      </c>
    </row>
    <row r="1278" customFormat="false" ht="22.35" hidden="false" customHeight="false" outlineLevel="0" collapsed="false">
      <c r="A1278" s="76" t="s">
        <v>2063</v>
      </c>
      <c r="B1278" s="4" t="s">
        <v>3895</v>
      </c>
      <c r="C1278" s="4" t="s">
        <v>1785</v>
      </c>
      <c r="D1278" s="4" t="s">
        <v>2101</v>
      </c>
      <c r="E1278" s="70" t="s">
        <v>2193</v>
      </c>
      <c r="F1278" s="4" t="s">
        <v>2097</v>
      </c>
      <c r="G1278" s="71" t="s">
        <v>2194</v>
      </c>
      <c r="H1278" s="6" t="n">
        <v>102</v>
      </c>
      <c r="I1278" s="6" t="n">
        <v>0</v>
      </c>
      <c r="J1278" s="6" t="n">
        <v>0</v>
      </c>
      <c r="K1278" s="52" t="n">
        <v>0</v>
      </c>
      <c r="L1278" s="72" t="n">
        <v>9</v>
      </c>
      <c r="M1278" s="73" t="n">
        <v>66.7</v>
      </c>
      <c r="N1278" s="6" t="n">
        <v>4.318671</v>
      </c>
      <c r="O1278" s="5" t="n">
        <v>3.73</v>
      </c>
      <c r="P1278" s="6" t="n">
        <v>102</v>
      </c>
      <c r="Q1278" s="4" t="s">
        <v>2098</v>
      </c>
      <c r="R1278" s="4" t="s">
        <v>2195</v>
      </c>
      <c r="S1278" s="72" t="n">
        <v>0</v>
      </c>
      <c r="T1278" s="6" t="n">
        <v>1</v>
      </c>
      <c r="U1278" s="56" t="n">
        <f aca="false">I1278*O1278</f>
        <v>0</v>
      </c>
      <c r="V1278" s="56" t="n">
        <f aca="false">J1278*O1278</f>
        <v>0</v>
      </c>
      <c r="W1278" s="56" t="n">
        <f aca="false">((I1278+J1278)/2)*O1278</f>
        <v>0</v>
      </c>
      <c r="X1278" s="56" t="n">
        <f aca="false">H1278*O1278</f>
        <v>380.46</v>
      </c>
    </row>
    <row r="1279" customFormat="false" ht="22.35" hidden="false" customHeight="false" outlineLevel="0" collapsed="false">
      <c r="A1279" s="76" t="s">
        <v>2063</v>
      </c>
      <c r="B1279" s="49" t="s">
        <v>3896</v>
      </c>
      <c r="C1279" s="49" t="s">
        <v>2473</v>
      </c>
      <c r="D1279" s="49" t="s">
        <v>2101</v>
      </c>
      <c r="E1279" s="57" t="s">
        <v>2102</v>
      </c>
      <c r="F1279" s="49" t="s">
        <v>2097</v>
      </c>
      <c r="G1279" s="49" t="s">
        <v>2097</v>
      </c>
      <c r="H1279" s="51" t="n">
        <v>387</v>
      </c>
      <c r="I1279" s="51" t="n">
        <v>130.85</v>
      </c>
      <c r="J1279" s="51" t="n">
        <v>392.55</v>
      </c>
      <c r="K1279" s="52" t="n">
        <v>392.55</v>
      </c>
      <c r="L1279" s="53" t="n">
        <v>19.2</v>
      </c>
      <c r="M1279" s="54" t="n">
        <v>40</v>
      </c>
      <c r="N1279" s="51" t="n">
        <v>13.629973</v>
      </c>
      <c r="O1279" s="55" t="n">
        <v>30.57</v>
      </c>
      <c r="P1279" s="51" t="n">
        <v>-5.55</v>
      </c>
      <c r="Q1279" s="49" t="s">
        <v>2103</v>
      </c>
      <c r="R1279" s="49" t="s">
        <v>2099</v>
      </c>
      <c r="S1279" s="53" t="n">
        <v>0.5</v>
      </c>
      <c r="T1279" s="51" t="n">
        <v>1</v>
      </c>
      <c r="U1279" s="56" t="n">
        <f aca="false">I1279*O1279</f>
        <v>4000.0845</v>
      </c>
      <c r="V1279" s="56" t="n">
        <f aca="false">J1279*O1279</f>
        <v>12000.2535</v>
      </c>
      <c r="W1279" s="56" t="n">
        <f aca="false">((I1279+J1279)/2)*O1279</f>
        <v>8000.169</v>
      </c>
      <c r="X1279" s="56" t="n">
        <f aca="false">H1279*O1279</f>
        <v>11830.59</v>
      </c>
    </row>
    <row r="1280" customFormat="false" ht="22.35" hidden="false" customHeight="false" outlineLevel="0" collapsed="false">
      <c r="A1280" s="76" t="s">
        <v>2063</v>
      </c>
      <c r="B1280" s="7" t="s">
        <v>3897</v>
      </c>
      <c r="C1280" s="7" t="s">
        <v>1619</v>
      </c>
      <c r="D1280" s="7" t="s">
        <v>2101</v>
      </c>
      <c r="E1280" s="57" t="s">
        <v>2102</v>
      </c>
      <c r="F1280" s="7" t="s">
        <v>2097</v>
      </c>
      <c r="G1280" s="7" t="s">
        <v>2097</v>
      </c>
      <c r="H1280" s="9" t="n">
        <v>1175</v>
      </c>
      <c r="I1280" s="9" t="n">
        <v>1097.12</v>
      </c>
      <c r="J1280" s="9" t="n">
        <v>3291.35</v>
      </c>
      <c r="K1280" s="52" t="n">
        <v>3528</v>
      </c>
      <c r="L1280" s="58" t="n">
        <v>49.6</v>
      </c>
      <c r="M1280" s="59" t="n">
        <v>66.7</v>
      </c>
      <c r="N1280" s="9" t="n">
        <v>44.238603</v>
      </c>
      <c r="O1280" s="8" t="n">
        <v>4.73</v>
      </c>
      <c r="P1280" s="9" t="n">
        <v>-2116.35</v>
      </c>
      <c r="Q1280" s="7" t="s">
        <v>2103</v>
      </c>
      <c r="R1280" s="7" t="s">
        <v>2099</v>
      </c>
      <c r="S1280" s="58" t="n">
        <v>0.5</v>
      </c>
      <c r="T1280" s="9" t="n">
        <v>1764</v>
      </c>
      <c r="U1280" s="56" t="n">
        <f aca="false">I1280*O1280</f>
        <v>5189.3776</v>
      </c>
      <c r="V1280" s="56" t="n">
        <f aca="false">J1280*O1280</f>
        <v>15568.0855</v>
      </c>
      <c r="W1280" s="56" t="n">
        <f aca="false">((I1280+J1280)/2)*O1280</f>
        <v>10378.73155</v>
      </c>
      <c r="X1280" s="56" t="n">
        <f aca="false">H1280*O1280</f>
        <v>5557.75</v>
      </c>
    </row>
    <row r="1281" customFormat="false" ht="15" hidden="false" customHeight="false" outlineLevel="0" collapsed="false">
      <c r="A1281" s="76" t="s">
        <v>2063</v>
      </c>
      <c r="B1281" s="49" t="s">
        <v>3898</v>
      </c>
      <c r="C1281" s="49" t="s">
        <v>2473</v>
      </c>
      <c r="D1281" s="49" t="s">
        <v>2101</v>
      </c>
      <c r="E1281" s="50" t="s">
        <v>2096</v>
      </c>
      <c r="F1281" s="49" t="s">
        <v>2097</v>
      </c>
      <c r="G1281" s="49" t="s">
        <v>2097</v>
      </c>
      <c r="H1281" s="51" t="n">
        <v>40</v>
      </c>
      <c r="I1281" s="51" t="n">
        <v>6.56</v>
      </c>
      <c r="J1281" s="51" t="n">
        <v>19.68</v>
      </c>
      <c r="K1281" s="52" t="n">
        <v>19.68</v>
      </c>
      <c r="L1281" s="53" t="n">
        <v>66.2</v>
      </c>
      <c r="M1281" s="54" t="n">
        <v>50</v>
      </c>
      <c r="N1281" s="51" t="n">
        <v>0.198151</v>
      </c>
      <c r="O1281" s="55" t="n">
        <v>8.304</v>
      </c>
      <c r="P1281" s="51" t="n">
        <v>20.32</v>
      </c>
      <c r="Q1281" s="49" t="s">
        <v>2098</v>
      </c>
      <c r="R1281" s="49" t="s">
        <v>2099</v>
      </c>
      <c r="S1281" s="53" t="n">
        <v>0.5</v>
      </c>
      <c r="T1281" s="51" t="n">
        <v>1</v>
      </c>
      <c r="U1281" s="56" t="n">
        <f aca="false">I1281*O1281</f>
        <v>54.47424</v>
      </c>
      <c r="V1281" s="56" t="n">
        <f aca="false">J1281*O1281</f>
        <v>163.42272</v>
      </c>
      <c r="W1281" s="56" t="n">
        <f aca="false">((I1281+J1281)/2)*O1281</f>
        <v>108.94848</v>
      </c>
      <c r="X1281" s="56" t="n">
        <f aca="false">H1281*O1281</f>
        <v>332.16</v>
      </c>
    </row>
    <row r="1282" customFormat="false" ht="22.35" hidden="false" customHeight="false" outlineLevel="0" collapsed="false">
      <c r="A1282" s="76" t="s">
        <v>2063</v>
      </c>
      <c r="B1282" s="7" t="s">
        <v>3899</v>
      </c>
      <c r="C1282" s="7" t="s">
        <v>1992</v>
      </c>
      <c r="D1282" s="7" t="s">
        <v>2101</v>
      </c>
      <c r="E1282" s="57" t="s">
        <v>2102</v>
      </c>
      <c r="F1282" s="7" t="s">
        <v>2097</v>
      </c>
      <c r="G1282" s="7" t="s">
        <v>2097</v>
      </c>
      <c r="H1282" s="9" t="n">
        <v>2839</v>
      </c>
      <c r="I1282" s="9" t="n">
        <v>2915.21</v>
      </c>
      <c r="J1282" s="9" t="n">
        <v>8745.62</v>
      </c>
      <c r="K1282" s="52" t="n">
        <v>8800</v>
      </c>
      <c r="L1282" s="58" t="n">
        <v>49.1</v>
      </c>
      <c r="M1282" s="59" t="n">
        <v>70.5</v>
      </c>
      <c r="N1282" s="9" t="n">
        <v>118.745636</v>
      </c>
      <c r="O1282" s="8" t="n">
        <v>4.17</v>
      </c>
      <c r="P1282" s="9" t="n">
        <v>-5906.62</v>
      </c>
      <c r="Q1282" s="7" t="s">
        <v>2103</v>
      </c>
      <c r="R1282" s="7" t="s">
        <v>2099</v>
      </c>
      <c r="S1282" s="58" t="n">
        <v>0.5</v>
      </c>
      <c r="T1282" s="9" t="n">
        <v>2200</v>
      </c>
      <c r="U1282" s="56" t="n">
        <f aca="false">I1282*O1282</f>
        <v>12156.4257</v>
      </c>
      <c r="V1282" s="56" t="n">
        <f aca="false">J1282*O1282</f>
        <v>36469.2354</v>
      </c>
      <c r="W1282" s="56" t="n">
        <f aca="false">((I1282+J1282)/2)*O1282</f>
        <v>24312.83055</v>
      </c>
      <c r="X1282" s="56" t="n">
        <f aca="false">H1282*O1282</f>
        <v>11838.63</v>
      </c>
    </row>
    <row r="1283" customFormat="false" ht="22.35" hidden="false" customHeight="false" outlineLevel="0" collapsed="false">
      <c r="A1283" s="76" t="s">
        <v>2063</v>
      </c>
      <c r="B1283" s="49" t="s">
        <v>3900</v>
      </c>
      <c r="C1283" s="49" t="s">
        <v>3901</v>
      </c>
      <c r="D1283" s="49" t="s">
        <v>2095</v>
      </c>
      <c r="E1283" s="61" t="s">
        <v>2113</v>
      </c>
      <c r="F1283" s="49" t="s">
        <v>2097</v>
      </c>
      <c r="G1283" s="49" t="s">
        <v>2097</v>
      </c>
      <c r="H1283" s="51" t="n">
        <v>6872</v>
      </c>
      <c r="I1283" s="51" t="n">
        <v>6126.18</v>
      </c>
      <c r="J1283" s="51" t="n">
        <v>12252.36</v>
      </c>
      <c r="K1283" s="52" t="n">
        <v>18000</v>
      </c>
      <c r="L1283" s="53" t="n">
        <v>24.8</v>
      </c>
      <c r="M1283" s="54" t="n">
        <v>79.5</v>
      </c>
      <c r="N1283" s="51" t="n">
        <v>247.02337</v>
      </c>
      <c r="O1283" s="55" t="n">
        <v>4.038</v>
      </c>
      <c r="P1283" s="51" t="n">
        <v>-5380.36</v>
      </c>
      <c r="Q1283" s="49" t="s">
        <v>2103</v>
      </c>
      <c r="R1283" s="49" t="s">
        <v>2099</v>
      </c>
      <c r="S1283" s="53" t="n">
        <v>1</v>
      </c>
      <c r="T1283" s="51" t="n">
        <v>6000</v>
      </c>
      <c r="U1283" s="56" t="n">
        <f aca="false">I1283*O1283</f>
        <v>24737.51484</v>
      </c>
      <c r="V1283" s="56" t="n">
        <f aca="false">J1283*O1283</f>
        <v>49475.02968</v>
      </c>
      <c r="W1283" s="56" t="n">
        <f aca="false">((I1283+J1283)/2)*O1283</f>
        <v>37106.27226</v>
      </c>
      <c r="X1283" s="56" t="n">
        <f aca="false">H1283*O1283</f>
        <v>27749.136</v>
      </c>
    </row>
    <row r="1284" customFormat="false" ht="22.35" hidden="false" customHeight="false" outlineLevel="0" collapsed="false">
      <c r="A1284" s="76" t="s">
        <v>2063</v>
      </c>
      <c r="B1284" s="7" t="s">
        <v>3902</v>
      </c>
      <c r="C1284" s="7" t="s">
        <v>3901</v>
      </c>
      <c r="D1284" s="7" t="s">
        <v>2101</v>
      </c>
      <c r="E1284" s="57" t="s">
        <v>2102</v>
      </c>
      <c r="F1284" s="7" t="s">
        <v>2097</v>
      </c>
      <c r="G1284" s="7" t="s">
        <v>2097</v>
      </c>
      <c r="H1284" s="9" t="n">
        <v>2520</v>
      </c>
      <c r="I1284" s="9" t="n">
        <v>1131.37</v>
      </c>
      <c r="J1284" s="9" t="n">
        <v>3394.11</v>
      </c>
      <c r="K1284" s="52" t="n">
        <v>4068</v>
      </c>
      <c r="L1284" s="58" t="n">
        <v>23.9</v>
      </c>
      <c r="M1284" s="59" t="n">
        <v>84</v>
      </c>
      <c r="N1284" s="9" t="n">
        <v>94.675425</v>
      </c>
      <c r="O1284" s="8" t="n">
        <v>5.624</v>
      </c>
      <c r="P1284" s="9" t="n">
        <v>-874.11</v>
      </c>
      <c r="Q1284" s="7" t="s">
        <v>2103</v>
      </c>
      <c r="R1284" s="7" t="s">
        <v>2099</v>
      </c>
      <c r="S1284" s="58" t="n">
        <v>0.5</v>
      </c>
      <c r="T1284" s="9" t="n">
        <v>4068</v>
      </c>
      <c r="U1284" s="56" t="n">
        <f aca="false">I1284*O1284</f>
        <v>6362.82488</v>
      </c>
      <c r="V1284" s="56" t="n">
        <f aca="false">J1284*O1284</f>
        <v>19088.47464</v>
      </c>
      <c r="W1284" s="56" t="n">
        <f aca="false">((I1284+J1284)/2)*O1284</f>
        <v>12725.64976</v>
      </c>
      <c r="X1284" s="56" t="n">
        <f aca="false">H1284*O1284</f>
        <v>14172.48</v>
      </c>
    </row>
    <row r="1285" customFormat="false" ht="22.35" hidden="false" customHeight="false" outlineLevel="0" collapsed="false">
      <c r="A1285" s="76" t="s">
        <v>2063</v>
      </c>
      <c r="B1285" s="49" t="s">
        <v>3903</v>
      </c>
      <c r="C1285" s="49" t="s">
        <v>2473</v>
      </c>
      <c r="D1285" s="49" t="s">
        <v>2095</v>
      </c>
      <c r="E1285" s="61" t="s">
        <v>2113</v>
      </c>
      <c r="F1285" s="49" t="s">
        <v>2097</v>
      </c>
      <c r="G1285" s="49" t="s">
        <v>2097</v>
      </c>
      <c r="H1285" s="51" t="n">
        <v>2065</v>
      </c>
      <c r="I1285" s="51" t="n">
        <v>6180.36</v>
      </c>
      <c r="J1285" s="51" t="n">
        <v>12360.72</v>
      </c>
      <c r="K1285" s="52" t="n">
        <v>12360.72</v>
      </c>
      <c r="L1285" s="53" t="n">
        <v>42.9</v>
      </c>
      <c r="M1285" s="54" t="n">
        <v>80.6</v>
      </c>
      <c r="N1285" s="51" t="n">
        <v>144.064355</v>
      </c>
      <c r="O1285" s="55" t="n">
        <v>1.45</v>
      </c>
      <c r="P1285" s="51" t="n">
        <v>-10295.72</v>
      </c>
      <c r="Q1285" s="49" t="s">
        <v>2103</v>
      </c>
      <c r="R1285" s="49" t="s">
        <v>2099</v>
      </c>
      <c r="S1285" s="53" t="n">
        <v>1</v>
      </c>
      <c r="T1285" s="51" t="n">
        <v>1</v>
      </c>
      <c r="U1285" s="56" t="n">
        <f aca="false">I1285*O1285</f>
        <v>8961.522</v>
      </c>
      <c r="V1285" s="56" t="n">
        <f aca="false">J1285*O1285</f>
        <v>17923.044</v>
      </c>
      <c r="W1285" s="56" t="n">
        <f aca="false">((I1285+J1285)/2)*O1285</f>
        <v>13442.283</v>
      </c>
      <c r="X1285" s="56" t="n">
        <f aca="false">H1285*O1285</f>
        <v>2994.25</v>
      </c>
    </row>
    <row r="1286" customFormat="false" ht="22.35" hidden="false" customHeight="false" outlineLevel="0" collapsed="false">
      <c r="A1286" s="76" t="s">
        <v>2063</v>
      </c>
      <c r="B1286" s="7" t="s">
        <v>2460</v>
      </c>
      <c r="C1286" s="7" t="s">
        <v>2461</v>
      </c>
      <c r="D1286" s="7" t="s">
        <v>2101</v>
      </c>
      <c r="E1286" s="57" t="s">
        <v>2102</v>
      </c>
      <c r="F1286" s="7" t="s">
        <v>2097</v>
      </c>
      <c r="G1286" s="7" t="s">
        <v>2097</v>
      </c>
      <c r="H1286" s="9" t="n">
        <v>106</v>
      </c>
      <c r="I1286" s="9" t="n">
        <v>68.45</v>
      </c>
      <c r="J1286" s="9" t="n">
        <v>205.34</v>
      </c>
      <c r="K1286" s="52" t="n">
        <v>510</v>
      </c>
      <c r="L1286" s="58" t="n">
        <v>28.8</v>
      </c>
      <c r="M1286" s="59" t="n">
        <v>87</v>
      </c>
      <c r="N1286" s="9" t="n">
        <v>4.753274</v>
      </c>
      <c r="O1286" s="8" t="n">
        <v>3.85</v>
      </c>
      <c r="P1286" s="9" t="n">
        <v>-99.34</v>
      </c>
      <c r="Q1286" s="7" t="s">
        <v>2103</v>
      </c>
      <c r="R1286" s="7" t="s">
        <v>2099</v>
      </c>
      <c r="S1286" s="58" t="n">
        <v>0.5</v>
      </c>
      <c r="T1286" s="9" t="n">
        <v>510</v>
      </c>
      <c r="U1286" s="56" t="n">
        <f aca="false">I1286*O1286</f>
        <v>263.5325</v>
      </c>
      <c r="V1286" s="56" t="n">
        <f aca="false">J1286*O1286</f>
        <v>790.559</v>
      </c>
      <c r="W1286" s="56" t="n">
        <f aca="false">((I1286+J1286)/2)*O1286</f>
        <v>527.04575</v>
      </c>
      <c r="X1286" s="56" t="n">
        <f aca="false">H1286*O1286</f>
        <v>408.1</v>
      </c>
    </row>
    <row r="1287" customFormat="false" ht="22.35" hidden="false" customHeight="false" outlineLevel="0" collapsed="false">
      <c r="A1287" s="76" t="s">
        <v>2063</v>
      </c>
      <c r="B1287" s="49" t="s">
        <v>3904</v>
      </c>
      <c r="C1287" s="49" t="s">
        <v>3905</v>
      </c>
      <c r="D1287" s="49" t="s">
        <v>2101</v>
      </c>
      <c r="E1287" s="57" t="s">
        <v>2102</v>
      </c>
      <c r="F1287" s="49" t="s">
        <v>2097</v>
      </c>
      <c r="G1287" s="49" t="s">
        <v>2097</v>
      </c>
      <c r="H1287" s="51" t="n">
        <v>257</v>
      </c>
      <c r="I1287" s="51" t="n">
        <v>108.69</v>
      </c>
      <c r="J1287" s="51" t="n">
        <v>326.07</v>
      </c>
      <c r="K1287" s="52" t="n">
        <v>430</v>
      </c>
      <c r="L1287" s="53" t="n">
        <v>35.6</v>
      </c>
      <c r="M1287" s="54" t="n">
        <v>45.5</v>
      </c>
      <c r="N1287" s="51" t="n">
        <v>6.10611</v>
      </c>
      <c r="O1287" s="55" t="n">
        <v>4.906</v>
      </c>
      <c r="P1287" s="51" t="n">
        <v>-69.07</v>
      </c>
      <c r="Q1287" s="49" t="s">
        <v>2103</v>
      </c>
      <c r="R1287" s="49" t="s">
        <v>2099</v>
      </c>
      <c r="S1287" s="53" t="n">
        <v>0.5</v>
      </c>
      <c r="T1287" s="51" t="n">
        <v>430</v>
      </c>
      <c r="U1287" s="56" t="n">
        <f aca="false">I1287*O1287</f>
        <v>533.23314</v>
      </c>
      <c r="V1287" s="56" t="n">
        <f aca="false">J1287*O1287</f>
        <v>1599.69942</v>
      </c>
      <c r="W1287" s="56" t="n">
        <f aca="false">((I1287+J1287)/2)*O1287</f>
        <v>1066.46628</v>
      </c>
      <c r="X1287" s="56" t="n">
        <f aca="false">H1287*O1287</f>
        <v>1260.842</v>
      </c>
    </row>
    <row r="1288" customFormat="false" ht="22.35" hidden="false" customHeight="false" outlineLevel="0" collapsed="false">
      <c r="A1288" s="76" t="s">
        <v>2063</v>
      </c>
      <c r="B1288" s="7" t="s">
        <v>2462</v>
      </c>
      <c r="C1288" s="7" t="s">
        <v>2463</v>
      </c>
      <c r="D1288" s="7" t="s">
        <v>2095</v>
      </c>
      <c r="E1288" s="61" t="s">
        <v>2113</v>
      </c>
      <c r="F1288" s="7" t="s">
        <v>2097</v>
      </c>
      <c r="G1288" s="7" t="s">
        <v>2097</v>
      </c>
      <c r="H1288" s="9" t="n">
        <v>218</v>
      </c>
      <c r="I1288" s="9" t="n">
        <v>435.58</v>
      </c>
      <c r="J1288" s="9" t="n">
        <v>871.16</v>
      </c>
      <c r="K1288" s="52" t="n">
        <v>882</v>
      </c>
      <c r="L1288" s="58" t="n">
        <v>32.4</v>
      </c>
      <c r="M1288" s="59" t="n">
        <v>53.6</v>
      </c>
      <c r="N1288" s="9" t="n">
        <v>13.44388</v>
      </c>
      <c r="O1288" s="8" t="n">
        <v>3.621</v>
      </c>
      <c r="P1288" s="9" t="n">
        <v>-653.16</v>
      </c>
      <c r="Q1288" s="7" t="s">
        <v>2103</v>
      </c>
      <c r="R1288" s="7" t="s">
        <v>2099</v>
      </c>
      <c r="S1288" s="58" t="n">
        <v>1</v>
      </c>
      <c r="T1288" s="9" t="n">
        <v>441</v>
      </c>
      <c r="U1288" s="56" t="n">
        <f aca="false">I1288*O1288</f>
        <v>1577.23518</v>
      </c>
      <c r="V1288" s="56" t="n">
        <f aca="false">J1288*O1288</f>
        <v>3154.47036</v>
      </c>
      <c r="W1288" s="56" t="n">
        <f aca="false">((I1288+J1288)/2)*O1288</f>
        <v>2365.85277</v>
      </c>
      <c r="X1288" s="56" t="n">
        <f aca="false">H1288*O1288</f>
        <v>789.378</v>
      </c>
    </row>
    <row r="1289" customFormat="false" ht="22.35" hidden="false" customHeight="false" outlineLevel="0" collapsed="false">
      <c r="A1289" s="76" t="s">
        <v>2063</v>
      </c>
      <c r="B1289" s="49" t="s">
        <v>2464</v>
      </c>
      <c r="C1289" s="49" t="s">
        <v>1904</v>
      </c>
      <c r="D1289" s="49" t="s">
        <v>2095</v>
      </c>
      <c r="E1289" s="61" t="s">
        <v>2113</v>
      </c>
      <c r="F1289" s="49" t="s">
        <v>2097</v>
      </c>
      <c r="G1289" s="49" t="s">
        <v>2097</v>
      </c>
      <c r="H1289" s="51" t="n">
        <v>682</v>
      </c>
      <c r="I1289" s="51" t="n">
        <v>1346.59</v>
      </c>
      <c r="J1289" s="51" t="n">
        <v>2693.18</v>
      </c>
      <c r="K1289" s="52" t="n">
        <v>3968</v>
      </c>
      <c r="L1289" s="53" t="n">
        <v>52</v>
      </c>
      <c r="M1289" s="54" t="n">
        <v>72.3</v>
      </c>
      <c r="N1289" s="51" t="n">
        <v>25.895892</v>
      </c>
      <c r="O1289" s="55" t="n">
        <v>2.4784</v>
      </c>
      <c r="P1289" s="51" t="n">
        <v>-2011.18</v>
      </c>
      <c r="Q1289" s="49" t="s">
        <v>2103</v>
      </c>
      <c r="R1289" s="49" t="s">
        <v>2099</v>
      </c>
      <c r="S1289" s="53" t="n">
        <v>1</v>
      </c>
      <c r="T1289" s="51" t="n">
        <v>1984</v>
      </c>
      <c r="U1289" s="56" t="n">
        <f aca="false">I1289*O1289</f>
        <v>3337.388656</v>
      </c>
      <c r="V1289" s="56" t="n">
        <f aca="false">J1289*O1289</f>
        <v>6674.777312</v>
      </c>
      <c r="W1289" s="56" t="n">
        <f aca="false">((I1289+J1289)/2)*O1289</f>
        <v>5006.082984</v>
      </c>
      <c r="X1289" s="56" t="n">
        <f aca="false">H1289*O1289</f>
        <v>1690.2688</v>
      </c>
    </row>
    <row r="1290" customFormat="false" ht="22.35" hidden="false" customHeight="false" outlineLevel="0" collapsed="false">
      <c r="A1290" s="76" t="s">
        <v>2063</v>
      </c>
      <c r="B1290" s="7" t="s">
        <v>3906</v>
      </c>
      <c r="C1290" s="7" t="s">
        <v>2005</v>
      </c>
      <c r="D1290" s="7" t="s">
        <v>2101</v>
      </c>
      <c r="E1290" s="57" t="s">
        <v>2102</v>
      </c>
      <c r="F1290" s="7" t="s">
        <v>2097</v>
      </c>
      <c r="G1290" s="7" t="s">
        <v>2097</v>
      </c>
      <c r="H1290" s="9" t="n">
        <v>265</v>
      </c>
      <c r="I1290" s="9" t="n">
        <v>108.2</v>
      </c>
      <c r="J1290" s="9" t="n">
        <v>324.59</v>
      </c>
      <c r="K1290" s="52" t="n">
        <v>490</v>
      </c>
      <c r="L1290" s="58" t="n">
        <v>17</v>
      </c>
      <c r="M1290" s="59" t="n">
        <v>66.7</v>
      </c>
      <c r="N1290" s="9" t="n">
        <v>12.728849</v>
      </c>
      <c r="O1290" s="8" t="n">
        <v>5.0471</v>
      </c>
      <c r="P1290" s="9" t="n">
        <v>-59.59</v>
      </c>
      <c r="Q1290" s="7" t="s">
        <v>2103</v>
      </c>
      <c r="R1290" s="7" t="s">
        <v>2099</v>
      </c>
      <c r="S1290" s="58" t="n">
        <v>0.5</v>
      </c>
      <c r="T1290" s="9" t="n">
        <v>490</v>
      </c>
      <c r="U1290" s="56" t="n">
        <f aca="false">I1290*O1290</f>
        <v>546.09622</v>
      </c>
      <c r="V1290" s="56" t="n">
        <f aca="false">J1290*O1290</f>
        <v>1638.238189</v>
      </c>
      <c r="W1290" s="56" t="n">
        <f aca="false">((I1290+J1290)/2)*O1290</f>
        <v>1092.1672045</v>
      </c>
      <c r="X1290" s="56" t="n">
        <f aca="false">H1290*O1290</f>
        <v>1337.4815</v>
      </c>
    </row>
    <row r="1291" customFormat="false" ht="15" hidden="false" customHeight="false" outlineLevel="0" collapsed="false">
      <c r="A1291" s="76" t="s">
        <v>2063</v>
      </c>
      <c r="B1291" s="49" t="s">
        <v>3907</v>
      </c>
      <c r="C1291" s="49" t="s">
        <v>3908</v>
      </c>
      <c r="D1291" s="49" t="s">
        <v>2101</v>
      </c>
      <c r="E1291" s="50" t="s">
        <v>2096</v>
      </c>
      <c r="F1291" s="49" t="s">
        <v>2097</v>
      </c>
      <c r="G1291" s="49" t="s">
        <v>2097</v>
      </c>
      <c r="H1291" s="51" t="n">
        <v>2207</v>
      </c>
      <c r="I1291" s="51" t="n">
        <v>614.2</v>
      </c>
      <c r="J1291" s="51" t="n">
        <v>1842.6</v>
      </c>
      <c r="K1291" s="52" t="n">
        <v>1984</v>
      </c>
      <c r="L1291" s="53" t="n">
        <v>17.1</v>
      </c>
      <c r="M1291" s="54" t="n">
        <v>78.6</v>
      </c>
      <c r="N1291" s="51" t="n">
        <v>71.836548</v>
      </c>
      <c r="O1291" s="55" t="n">
        <v>3.2626</v>
      </c>
      <c r="P1291" s="51" t="n">
        <v>364.4</v>
      </c>
      <c r="Q1291" s="49" t="s">
        <v>2098</v>
      </c>
      <c r="R1291" s="49" t="s">
        <v>2099</v>
      </c>
      <c r="S1291" s="53" t="n">
        <v>0.5</v>
      </c>
      <c r="T1291" s="51" t="n">
        <v>496</v>
      </c>
      <c r="U1291" s="56" t="n">
        <f aca="false">I1291*O1291</f>
        <v>2003.88892</v>
      </c>
      <c r="V1291" s="56" t="n">
        <f aca="false">J1291*O1291</f>
        <v>6011.66676</v>
      </c>
      <c r="W1291" s="56" t="n">
        <f aca="false">((I1291+J1291)/2)*O1291</f>
        <v>4007.77784</v>
      </c>
      <c r="X1291" s="56" t="n">
        <f aca="false">H1291*O1291</f>
        <v>7200.5582</v>
      </c>
    </row>
    <row r="1292" customFormat="false" ht="22.35" hidden="false" customHeight="false" outlineLevel="0" collapsed="false">
      <c r="A1292" s="76" t="s">
        <v>2063</v>
      </c>
      <c r="B1292" s="7" t="s">
        <v>3909</v>
      </c>
      <c r="C1292" s="7" t="s">
        <v>1904</v>
      </c>
      <c r="D1292" s="7" t="s">
        <v>2101</v>
      </c>
      <c r="E1292" s="57" t="s">
        <v>2102</v>
      </c>
      <c r="F1292" s="7" t="s">
        <v>2097</v>
      </c>
      <c r="G1292" s="7" t="s">
        <v>2097</v>
      </c>
      <c r="H1292" s="9" t="n">
        <v>4065</v>
      </c>
      <c r="I1292" s="9" t="n">
        <v>3491.5</v>
      </c>
      <c r="J1292" s="9" t="n">
        <v>10474.49</v>
      </c>
      <c r="K1292" s="52" t="n">
        <v>10474.49</v>
      </c>
      <c r="L1292" s="58" t="n">
        <v>56.1</v>
      </c>
      <c r="M1292" s="59" t="n">
        <v>55.3</v>
      </c>
      <c r="N1292" s="9" t="n">
        <v>124.474</v>
      </c>
      <c r="O1292" s="8" t="n">
        <v>2.4818</v>
      </c>
      <c r="P1292" s="9" t="n">
        <v>-6409.49</v>
      </c>
      <c r="Q1292" s="7" t="s">
        <v>2103</v>
      </c>
      <c r="R1292" s="7" t="s">
        <v>2099</v>
      </c>
      <c r="S1292" s="58" t="n">
        <v>0.5</v>
      </c>
      <c r="T1292" s="9" t="n">
        <v>1</v>
      </c>
      <c r="U1292" s="56" t="n">
        <f aca="false">I1292*O1292</f>
        <v>8665.2047</v>
      </c>
      <c r="V1292" s="56" t="n">
        <f aca="false">J1292*O1292</f>
        <v>25995.589282</v>
      </c>
      <c r="W1292" s="56" t="n">
        <f aca="false">((I1292+J1292)/2)*O1292</f>
        <v>17330.396991</v>
      </c>
      <c r="X1292" s="56" t="n">
        <f aca="false">H1292*O1292</f>
        <v>10088.517</v>
      </c>
    </row>
    <row r="1293" customFormat="false" ht="15" hidden="false" customHeight="false" outlineLevel="0" collapsed="false">
      <c r="A1293" s="76" t="s">
        <v>2063</v>
      </c>
      <c r="B1293" s="49" t="s">
        <v>3910</v>
      </c>
      <c r="C1293" s="49" t="s">
        <v>3911</v>
      </c>
      <c r="D1293" s="49" t="s">
        <v>2101</v>
      </c>
      <c r="E1293" s="50" t="s">
        <v>2096</v>
      </c>
      <c r="F1293" s="49" t="s">
        <v>2097</v>
      </c>
      <c r="G1293" s="49" t="s">
        <v>2097</v>
      </c>
      <c r="H1293" s="51" t="n">
        <v>80</v>
      </c>
      <c r="I1293" s="51" t="n">
        <v>21.18</v>
      </c>
      <c r="J1293" s="51" t="n">
        <v>63.55</v>
      </c>
      <c r="K1293" s="52" t="n">
        <v>390</v>
      </c>
      <c r="L1293" s="53" t="n">
        <v>18.2</v>
      </c>
      <c r="M1293" s="54" t="n">
        <v>77.8</v>
      </c>
      <c r="N1293" s="51" t="n">
        <v>2.327918</v>
      </c>
      <c r="O1293" s="55" t="n">
        <v>1.841</v>
      </c>
      <c r="P1293" s="51" t="n">
        <v>16.45</v>
      </c>
      <c r="Q1293" s="49" t="s">
        <v>2098</v>
      </c>
      <c r="R1293" s="49" t="s">
        <v>2099</v>
      </c>
      <c r="S1293" s="53" t="n">
        <v>0.5</v>
      </c>
      <c r="T1293" s="51" t="n">
        <v>390</v>
      </c>
      <c r="U1293" s="56" t="n">
        <f aca="false">I1293*O1293</f>
        <v>38.99238</v>
      </c>
      <c r="V1293" s="56" t="n">
        <f aca="false">J1293*O1293</f>
        <v>116.99555</v>
      </c>
      <c r="W1293" s="56" t="n">
        <f aca="false">((I1293+J1293)/2)*O1293</f>
        <v>77.993965</v>
      </c>
      <c r="X1293" s="56" t="n">
        <f aca="false">H1293*O1293</f>
        <v>147.28</v>
      </c>
    </row>
    <row r="1294" customFormat="false" ht="22.35" hidden="false" customHeight="false" outlineLevel="0" collapsed="false">
      <c r="A1294" s="76" t="s">
        <v>2063</v>
      </c>
      <c r="B1294" s="7" t="s">
        <v>2467</v>
      </c>
      <c r="C1294" s="7" t="s">
        <v>2468</v>
      </c>
      <c r="D1294" s="7" t="s">
        <v>2095</v>
      </c>
      <c r="E1294" s="61" t="s">
        <v>2113</v>
      </c>
      <c r="F1294" s="7" t="s">
        <v>2097</v>
      </c>
      <c r="G1294" s="7" t="s">
        <v>2097</v>
      </c>
      <c r="H1294" s="9" t="n">
        <v>924</v>
      </c>
      <c r="I1294" s="9" t="n">
        <v>1218.47</v>
      </c>
      <c r="J1294" s="9" t="n">
        <v>2436.94</v>
      </c>
      <c r="K1294" s="52" t="n">
        <v>2436.94</v>
      </c>
      <c r="L1294" s="58" t="n">
        <v>26.5</v>
      </c>
      <c r="M1294" s="59" t="n">
        <v>84.1</v>
      </c>
      <c r="N1294" s="9" t="n">
        <v>45.979959</v>
      </c>
      <c r="O1294" s="8" t="n">
        <v>1.887</v>
      </c>
      <c r="P1294" s="9" t="n">
        <v>-1512.94</v>
      </c>
      <c r="Q1294" s="7" t="s">
        <v>2103</v>
      </c>
      <c r="R1294" s="7" t="s">
        <v>2099</v>
      </c>
      <c r="S1294" s="58" t="n">
        <v>1</v>
      </c>
      <c r="T1294" s="9" t="n">
        <v>1</v>
      </c>
      <c r="U1294" s="56" t="n">
        <f aca="false">I1294*O1294</f>
        <v>2299.25289</v>
      </c>
      <c r="V1294" s="56" t="n">
        <f aca="false">J1294*O1294</f>
        <v>4598.50578</v>
      </c>
      <c r="W1294" s="56" t="n">
        <f aca="false">((I1294+J1294)/2)*O1294</f>
        <v>3448.879335</v>
      </c>
      <c r="X1294" s="56" t="n">
        <f aca="false">H1294*O1294</f>
        <v>1743.588</v>
      </c>
    </row>
    <row r="1295" customFormat="false" ht="22.35" hidden="false" customHeight="false" outlineLevel="0" collapsed="false">
      <c r="A1295" s="76" t="s">
        <v>2063</v>
      </c>
      <c r="B1295" s="49" t="s">
        <v>2469</v>
      </c>
      <c r="C1295" s="49" t="s">
        <v>1992</v>
      </c>
      <c r="D1295" s="49" t="s">
        <v>2095</v>
      </c>
      <c r="E1295" s="61" t="s">
        <v>2113</v>
      </c>
      <c r="F1295" s="49" t="s">
        <v>2097</v>
      </c>
      <c r="G1295" s="49" t="s">
        <v>2097</v>
      </c>
      <c r="H1295" s="51" t="n">
        <v>1744</v>
      </c>
      <c r="I1295" s="51" t="n">
        <v>3730.36</v>
      </c>
      <c r="J1295" s="51" t="n">
        <v>7460.72</v>
      </c>
      <c r="K1295" s="52" t="n">
        <v>8000</v>
      </c>
      <c r="L1295" s="53" t="n">
        <v>23.4</v>
      </c>
      <c r="M1295" s="54" t="n">
        <v>63.5</v>
      </c>
      <c r="N1295" s="51" t="n">
        <v>159.417199</v>
      </c>
      <c r="O1295" s="55" t="n">
        <v>3.17</v>
      </c>
      <c r="P1295" s="51" t="n">
        <v>-5716.72</v>
      </c>
      <c r="Q1295" s="49" t="s">
        <v>2103</v>
      </c>
      <c r="R1295" s="49" t="s">
        <v>2099</v>
      </c>
      <c r="S1295" s="53" t="n">
        <v>1</v>
      </c>
      <c r="T1295" s="51" t="n">
        <v>2000</v>
      </c>
      <c r="U1295" s="56" t="n">
        <f aca="false">I1295*O1295</f>
        <v>11825.2412</v>
      </c>
      <c r="V1295" s="56" t="n">
        <f aca="false">J1295*O1295</f>
        <v>23650.4824</v>
      </c>
      <c r="W1295" s="56" t="n">
        <f aca="false">((I1295+J1295)/2)*O1295</f>
        <v>17737.8618</v>
      </c>
      <c r="X1295" s="56" t="n">
        <f aca="false">H1295*O1295</f>
        <v>5528.48</v>
      </c>
    </row>
    <row r="1296" customFormat="false" ht="22.35" hidden="false" customHeight="false" outlineLevel="0" collapsed="false">
      <c r="A1296" s="76" t="s">
        <v>2063</v>
      </c>
      <c r="B1296" s="7" t="s">
        <v>3912</v>
      </c>
      <c r="C1296" s="7" t="s">
        <v>3913</v>
      </c>
      <c r="D1296" s="7" t="s">
        <v>2095</v>
      </c>
      <c r="E1296" s="61" t="s">
        <v>2113</v>
      </c>
      <c r="F1296" s="7" t="s">
        <v>2097</v>
      </c>
      <c r="G1296" s="7" t="s">
        <v>2097</v>
      </c>
      <c r="H1296" s="9" t="n">
        <v>3229</v>
      </c>
      <c r="I1296" s="9" t="n">
        <v>2209.13</v>
      </c>
      <c r="J1296" s="9" t="n">
        <v>4418.26</v>
      </c>
      <c r="K1296" s="52" t="n">
        <v>6615</v>
      </c>
      <c r="L1296" s="58" t="n">
        <v>15.4</v>
      </c>
      <c r="M1296" s="59" t="n">
        <v>77.8</v>
      </c>
      <c r="N1296" s="9" t="n">
        <v>143.449885</v>
      </c>
      <c r="O1296" s="8" t="n">
        <v>2.9995</v>
      </c>
      <c r="P1296" s="9" t="n">
        <v>-1189.26</v>
      </c>
      <c r="Q1296" s="7" t="s">
        <v>2103</v>
      </c>
      <c r="R1296" s="7" t="s">
        <v>2099</v>
      </c>
      <c r="S1296" s="58" t="n">
        <v>1</v>
      </c>
      <c r="T1296" s="9" t="n">
        <v>2205</v>
      </c>
      <c r="U1296" s="56" t="n">
        <f aca="false">I1296*O1296</f>
        <v>6626.285435</v>
      </c>
      <c r="V1296" s="56" t="n">
        <f aca="false">J1296*O1296</f>
        <v>13252.57087</v>
      </c>
      <c r="W1296" s="56" t="n">
        <f aca="false">((I1296+J1296)/2)*O1296</f>
        <v>9939.4281525</v>
      </c>
      <c r="X1296" s="56" t="n">
        <f aca="false">H1296*O1296</f>
        <v>9685.3855</v>
      </c>
    </row>
    <row r="1297" customFormat="false" ht="15" hidden="false" customHeight="false" outlineLevel="0" collapsed="false">
      <c r="A1297" s="76" t="s">
        <v>2063</v>
      </c>
      <c r="B1297" s="49" t="s">
        <v>3914</v>
      </c>
      <c r="C1297" s="49" t="s">
        <v>1785</v>
      </c>
      <c r="D1297" s="49" t="s">
        <v>2101</v>
      </c>
      <c r="E1297" s="50" t="s">
        <v>2096</v>
      </c>
      <c r="F1297" s="49" t="s">
        <v>2097</v>
      </c>
      <c r="G1297" s="49" t="s">
        <v>2097</v>
      </c>
      <c r="H1297" s="51" t="n">
        <v>848</v>
      </c>
      <c r="I1297" s="51" t="n">
        <v>143.57</v>
      </c>
      <c r="J1297" s="51" t="n">
        <v>430.71</v>
      </c>
      <c r="K1297" s="52" t="n">
        <v>474</v>
      </c>
      <c r="L1297" s="53" t="n">
        <v>19.2</v>
      </c>
      <c r="M1297" s="54" t="n">
        <v>63.2</v>
      </c>
      <c r="N1297" s="51" t="n">
        <v>14.955137</v>
      </c>
      <c r="O1297" s="55" t="n">
        <v>3.81</v>
      </c>
      <c r="P1297" s="51" t="n">
        <v>417.29</v>
      </c>
      <c r="Q1297" s="49" t="s">
        <v>2098</v>
      </c>
      <c r="R1297" s="49" t="s">
        <v>2099</v>
      </c>
      <c r="S1297" s="53" t="n">
        <v>0.5</v>
      </c>
      <c r="T1297" s="51" t="n">
        <v>474</v>
      </c>
      <c r="U1297" s="56" t="n">
        <f aca="false">I1297*O1297</f>
        <v>547.0017</v>
      </c>
      <c r="V1297" s="56" t="n">
        <f aca="false">J1297*O1297</f>
        <v>1641.0051</v>
      </c>
      <c r="W1297" s="56" t="n">
        <f aca="false">((I1297+J1297)/2)*O1297</f>
        <v>1094.0034</v>
      </c>
      <c r="X1297" s="56" t="n">
        <f aca="false">H1297*O1297</f>
        <v>3230.88</v>
      </c>
    </row>
    <row r="1298" customFormat="false" ht="22.35" hidden="false" customHeight="false" outlineLevel="0" collapsed="false">
      <c r="A1298" s="76" t="s">
        <v>2063</v>
      </c>
      <c r="B1298" s="7" t="s">
        <v>2475</v>
      </c>
      <c r="C1298" s="7" t="s">
        <v>2476</v>
      </c>
      <c r="D1298" s="7" t="s">
        <v>2095</v>
      </c>
      <c r="E1298" s="61" t="s">
        <v>2113</v>
      </c>
      <c r="F1298" s="7" t="s">
        <v>2097</v>
      </c>
      <c r="G1298" s="7" t="s">
        <v>2097</v>
      </c>
      <c r="H1298" s="9" t="n">
        <v>196</v>
      </c>
      <c r="I1298" s="9" t="n">
        <v>884.93</v>
      </c>
      <c r="J1298" s="9" t="n">
        <v>1769.86</v>
      </c>
      <c r="K1298" s="52" t="n">
        <v>1800</v>
      </c>
      <c r="L1298" s="58" t="n">
        <v>28.4</v>
      </c>
      <c r="M1298" s="59" t="n">
        <v>88.4</v>
      </c>
      <c r="N1298" s="9" t="n">
        <v>31.159479</v>
      </c>
      <c r="O1298" s="8" t="n">
        <v>3.55</v>
      </c>
      <c r="P1298" s="9" t="n">
        <v>-1573.86</v>
      </c>
      <c r="Q1298" s="7" t="s">
        <v>2103</v>
      </c>
      <c r="R1298" s="7" t="s">
        <v>2099</v>
      </c>
      <c r="S1298" s="58" t="n">
        <v>1</v>
      </c>
      <c r="T1298" s="9" t="n">
        <v>450</v>
      </c>
      <c r="U1298" s="56" t="n">
        <f aca="false">I1298*O1298</f>
        <v>3141.5015</v>
      </c>
      <c r="V1298" s="56" t="n">
        <f aca="false">J1298*O1298</f>
        <v>6283.003</v>
      </c>
      <c r="W1298" s="56" t="n">
        <f aca="false">((I1298+J1298)/2)*O1298</f>
        <v>4712.25225</v>
      </c>
      <c r="X1298" s="56" t="n">
        <f aca="false">H1298*O1298</f>
        <v>695.8</v>
      </c>
    </row>
    <row r="1299" customFormat="false" ht="22.35" hidden="false" customHeight="false" outlineLevel="0" collapsed="false">
      <c r="A1299" s="76" t="s">
        <v>2063</v>
      </c>
      <c r="B1299" s="4" t="s">
        <v>3915</v>
      </c>
      <c r="C1299" s="4" t="s">
        <v>3884</v>
      </c>
      <c r="D1299" s="4" t="s">
        <v>2101</v>
      </c>
      <c r="E1299" s="70" t="s">
        <v>2193</v>
      </c>
      <c r="F1299" s="4" t="s">
        <v>2097</v>
      </c>
      <c r="G1299" s="71" t="s">
        <v>2194</v>
      </c>
      <c r="H1299" s="6" t="n">
        <v>212</v>
      </c>
      <c r="I1299" s="6" t="n">
        <v>0</v>
      </c>
      <c r="J1299" s="6" t="n">
        <v>0</v>
      </c>
      <c r="K1299" s="52" t="n">
        <v>0</v>
      </c>
      <c r="L1299" s="72" t="n">
        <v>22.3</v>
      </c>
      <c r="M1299" s="73" t="n">
        <v>66.7</v>
      </c>
      <c r="N1299" s="6" t="n">
        <v>2.18626</v>
      </c>
      <c r="O1299" s="5" t="n">
        <v>5.0221</v>
      </c>
      <c r="P1299" s="6" t="n">
        <v>212</v>
      </c>
      <c r="Q1299" s="4" t="s">
        <v>2098</v>
      </c>
      <c r="R1299" s="4" t="s">
        <v>2195</v>
      </c>
      <c r="S1299" s="72" t="n">
        <v>0</v>
      </c>
      <c r="T1299" s="6" t="n">
        <v>1</v>
      </c>
      <c r="U1299" s="56" t="n">
        <f aca="false">I1299*O1299</f>
        <v>0</v>
      </c>
      <c r="V1299" s="56" t="n">
        <f aca="false">J1299*O1299</f>
        <v>0</v>
      </c>
      <c r="W1299" s="56" t="n">
        <f aca="false">((I1299+J1299)/2)*O1299</f>
        <v>0</v>
      </c>
      <c r="X1299" s="56" t="n">
        <f aca="false">H1299*O1299</f>
        <v>1064.6852</v>
      </c>
    </row>
    <row r="1300" customFormat="false" ht="22.35" hidden="false" customHeight="false" outlineLevel="0" collapsed="false">
      <c r="A1300" s="76" t="s">
        <v>2063</v>
      </c>
      <c r="B1300" s="62" t="s">
        <v>3916</v>
      </c>
      <c r="C1300" s="62" t="s">
        <v>1992</v>
      </c>
      <c r="D1300" s="62" t="s">
        <v>2101</v>
      </c>
      <c r="E1300" s="63" t="s">
        <v>2169</v>
      </c>
      <c r="F1300" s="64" t="s">
        <v>2170</v>
      </c>
      <c r="G1300" s="62" t="s">
        <v>2097</v>
      </c>
      <c r="H1300" s="65" t="n">
        <v>420</v>
      </c>
      <c r="I1300" s="65" t="n">
        <v>60.35</v>
      </c>
      <c r="J1300" s="65" t="n">
        <v>181.05</v>
      </c>
      <c r="K1300" s="66" t="n">
        <v>450</v>
      </c>
      <c r="L1300" s="67" t="n">
        <v>16.8</v>
      </c>
      <c r="M1300" s="68" t="n">
        <v>85.7</v>
      </c>
      <c r="N1300" s="65" t="n">
        <v>17.24287</v>
      </c>
      <c r="O1300" s="69" t="n">
        <v>4.21</v>
      </c>
      <c r="P1300" s="65" t="n">
        <v>238.95</v>
      </c>
      <c r="Q1300" s="62" t="s">
        <v>2098</v>
      </c>
      <c r="R1300" s="62" t="s">
        <v>2294</v>
      </c>
      <c r="S1300" s="67" t="n">
        <v>0.5</v>
      </c>
      <c r="T1300" s="65" t="n">
        <v>450</v>
      </c>
      <c r="U1300" s="56" t="n">
        <f aca="false">I1300*O1300</f>
        <v>254.0735</v>
      </c>
      <c r="V1300" s="56" t="n">
        <f aca="false">J1300*O1300</f>
        <v>762.2205</v>
      </c>
      <c r="W1300" s="56" t="n">
        <f aca="false">((I1300+J1300)/2)*O1300</f>
        <v>508.147</v>
      </c>
      <c r="X1300" s="56" t="n">
        <f aca="false">H1300*O1300</f>
        <v>1768.2</v>
      </c>
    </row>
    <row r="1301" customFormat="false" ht="22.35" hidden="false" customHeight="false" outlineLevel="0" collapsed="false">
      <c r="A1301" s="76" t="s">
        <v>2063</v>
      </c>
      <c r="B1301" s="49" t="s">
        <v>2477</v>
      </c>
      <c r="C1301" s="49" t="s">
        <v>2478</v>
      </c>
      <c r="D1301" s="49" t="s">
        <v>2095</v>
      </c>
      <c r="E1301" s="61" t="s">
        <v>2113</v>
      </c>
      <c r="F1301" s="49" t="s">
        <v>2097</v>
      </c>
      <c r="G1301" s="49" t="s">
        <v>2097</v>
      </c>
      <c r="H1301" s="51" t="n">
        <v>3997</v>
      </c>
      <c r="I1301" s="51" t="n">
        <v>6237.38</v>
      </c>
      <c r="J1301" s="51" t="n">
        <v>12474.76</v>
      </c>
      <c r="K1301" s="52" t="n">
        <v>12789</v>
      </c>
      <c r="L1301" s="53" t="n">
        <v>45.1</v>
      </c>
      <c r="M1301" s="54" t="n">
        <v>69.6</v>
      </c>
      <c r="N1301" s="51" t="n">
        <v>138.301113</v>
      </c>
      <c r="O1301" s="55" t="n">
        <v>7.7</v>
      </c>
      <c r="P1301" s="51" t="n">
        <v>-8477.76</v>
      </c>
      <c r="Q1301" s="49" t="s">
        <v>2103</v>
      </c>
      <c r="R1301" s="49" t="s">
        <v>2099</v>
      </c>
      <c r="S1301" s="53" t="n">
        <v>1</v>
      </c>
      <c r="T1301" s="51" t="n">
        <v>441</v>
      </c>
      <c r="U1301" s="56" t="n">
        <f aca="false">I1301*O1301</f>
        <v>48027.826</v>
      </c>
      <c r="V1301" s="56" t="n">
        <f aca="false">J1301*O1301</f>
        <v>96055.652</v>
      </c>
      <c r="W1301" s="56" t="n">
        <f aca="false">((I1301+J1301)/2)*O1301</f>
        <v>72041.739</v>
      </c>
      <c r="X1301" s="56" t="n">
        <f aca="false">H1301*O1301</f>
        <v>30776.9</v>
      </c>
    </row>
    <row r="1302" customFormat="false" ht="32.8" hidden="false" customHeight="false" outlineLevel="0" collapsed="false">
      <c r="A1302" s="76" t="s">
        <v>2063</v>
      </c>
      <c r="B1302" s="62" t="s">
        <v>3917</v>
      </c>
      <c r="C1302" s="62" t="s">
        <v>3918</v>
      </c>
      <c r="D1302" s="62" t="s">
        <v>2101</v>
      </c>
      <c r="E1302" s="78" t="s">
        <v>3474</v>
      </c>
      <c r="F1302" s="64" t="s">
        <v>2170</v>
      </c>
      <c r="G1302" s="62" t="s">
        <v>2097</v>
      </c>
      <c r="H1302" s="65" t="n">
        <v>223</v>
      </c>
      <c r="I1302" s="65" t="n">
        <v>189.93</v>
      </c>
      <c r="J1302" s="65" t="n">
        <v>569.79</v>
      </c>
      <c r="K1302" s="66" t="n">
        <v>840</v>
      </c>
      <c r="L1302" s="67" t="n">
        <v>19.7</v>
      </c>
      <c r="M1302" s="68" t="n">
        <v>90.9</v>
      </c>
      <c r="N1302" s="65" t="n">
        <v>9.449199</v>
      </c>
      <c r="O1302" s="69" t="n">
        <v>1.761</v>
      </c>
      <c r="P1302" s="65" t="n">
        <v>-346.79</v>
      </c>
      <c r="Q1302" s="62" t="s">
        <v>2103</v>
      </c>
      <c r="R1302" s="62" t="s">
        <v>3919</v>
      </c>
      <c r="S1302" s="67" t="n">
        <v>0.5</v>
      </c>
      <c r="T1302" s="65" t="n">
        <v>420</v>
      </c>
      <c r="U1302" s="56" t="n">
        <f aca="false">I1302*O1302</f>
        <v>334.46673</v>
      </c>
      <c r="V1302" s="56" t="n">
        <f aca="false">J1302*O1302</f>
        <v>1003.40019</v>
      </c>
      <c r="W1302" s="56" t="n">
        <f aca="false">((I1302+J1302)/2)*O1302</f>
        <v>668.93346</v>
      </c>
      <c r="X1302" s="56" t="n">
        <f aca="false">H1302*O1302</f>
        <v>392.703</v>
      </c>
    </row>
    <row r="1303" customFormat="false" ht="22.35" hidden="false" customHeight="false" outlineLevel="0" collapsed="false">
      <c r="A1303" s="76" t="s">
        <v>2063</v>
      </c>
      <c r="B1303" s="49" t="s">
        <v>2479</v>
      </c>
      <c r="C1303" s="49" t="s">
        <v>1904</v>
      </c>
      <c r="D1303" s="49" t="s">
        <v>2095</v>
      </c>
      <c r="E1303" s="61" t="s">
        <v>2113</v>
      </c>
      <c r="F1303" s="49" t="s">
        <v>2097</v>
      </c>
      <c r="G1303" s="49" t="s">
        <v>2097</v>
      </c>
      <c r="H1303" s="51" t="n">
        <v>216</v>
      </c>
      <c r="I1303" s="51" t="n">
        <v>453.97</v>
      </c>
      <c r="J1303" s="51" t="n">
        <v>907.94</v>
      </c>
      <c r="K1303" s="52" t="n">
        <v>19600</v>
      </c>
      <c r="L1303" s="53" t="n">
        <v>52.9</v>
      </c>
      <c r="M1303" s="54" t="n">
        <v>76.5</v>
      </c>
      <c r="N1303" s="51" t="n">
        <v>8.581667</v>
      </c>
      <c r="O1303" s="55" t="n">
        <v>5.15</v>
      </c>
      <c r="P1303" s="51" t="n">
        <v>-691.94</v>
      </c>
      <c r="Q1303" s="49" t="s">
        <v>2103</v>
      </c>
      <c r="R1303" s="49" t="s">
        <v>2099</v>
      </c>
      <c r="S1303" s="53" t="n">
        <v>1</v>
      </c>
      <c r="T1303" s="51" t="n">
        <v>19600</v>
      </c>
      <c r="U1303" s="56" t="n">
        <f aca="false">I1303*O1303</f>
        <v>2337.9455</v>
      </c>
      <c r="V1303" s="56" t="n">
        <f aca="false">J1303*O1303</f>
        <v>4675.891</v>
      </c>
      <c r="W1303" s="56" t="n">
        <f aca="false">((I1303+J1303)/2)*O1303</f>
        <v>3506.91825</v>
      </c>
      <c r="X1303" s="56" t="n">
        <f aca="false">H1303*O1303</f>
        <v>1112.4</v>
      </c>
    </row>
    <row r="1304" customFormat="false" ht="22.35" hidden="false" customHeight="false" outlineLevel="0" collapsed="false">
      <c r="A1304" s="76" t="s">
        <v>2063</v>
      </c>
      <c r="B1304" s="7" t="s">
        <v>3920</v>
      </c>
      <c r="C1304" s="7" t="s">
        <v>2478</v>
      </c>
      <c r="D1304" s="7" t="s">
        <v>2095</v>
      </c>
      <c r="E1304" s="61" t="s">
        <v>2113</v>
      </c>
      <c r="F1304" s="7" t="s">
        <v>2097</v>
      </c>
      <c r="G1304" s="7" t="s">
        <v>2097</v>
      </c>
      <c r="H1304" s="9" t="n">
        <v>8296</v>
      </c>
      <c r="I1304" s="9" t="n">
        <v>9906.15</v>
      </c>
      <c r="J1304" s="9" t="n">
        <v>19812.3</v>
      </c>
      <c r="K1304" s="52" t="n">
        <v>19845</v>
      </c>
      <c r="L1304" s="58" t="n">
        <v>34.3</v>
      </c>
      <c r="M1304" s="59" t="n">
        <v>80.9</v>
      </c>
      <c r="N1304" s="9" t="n">
        <v>288.809179</v>
      </c>
      <c r="O1304" s="8" t="n">
        <v>6.12</v>
      </c>
      <c r="P1304" s="9" t="n">
        <v>-11516.3</v>
      </c>
      <c r="Q1304" s="7" t="s">
        <v>2103</v>
      </c>
      <c r="R1304" s="7" t="s">
        <v>2099</v>
      </c>
      <c r="S1304" s="58" t="n">
        <v>1</v>
      </c>
      <c r="T1304" s="9" t="n">
        <v>441</v>
      </c>
      <c r="U1304" s="56" t="n">
        <f aca="false">I1304*O1304</f>
        <v>60625.638</v>
      </c>
      <c r="V1304" s="56" t="n">
        <f aca="false">J1304*O1304</f>
        <v>121251.276</v>
      </c>
      <c r="W1304" s="56" t="n">
        <f aca="false">((I1304+J1304)/2)*O1304</f>
        <v>90938.457</v>
      </c>
      <c r="X1304" s="56" t="n">
        <f aca="false">H1304*O1304</f>
        <v>50771.52</v>
      </c>
    </row>
    <row r="1305" customFormat="false" ht="22.35" hidden="false" customHeight="false" outlineLevel="0" collapsed="false">
      <c r="A1305" s="76" t="s">
        <v>2063</v>
      </c>
      <c r="B1305" s="49" t="s">
        <v>3921</v>
      </c>
      <c r="C1305" s="49" t="s">
        <v>3913</v>
      </c>
      <c r="D1305" s="49" t="s">
        <v>2109</v>
      </c>
      <c r="E1305" s="60" t="s">
        <v>2110</v>
      </c>
      <c r="F1305" s="49" t="s">
        <v>2097</v>
      </c>
      <c r="G1305" s="49" t="s">
        <v>2097</v>
      </c>
      <c r="H1305" s="51" t="n">
        <v>50000</v>
      </c>
      <c r="I1305" s="51" t="n">
        <v>170286.75</v>
      </c>
      <c r="J1305" s="51" t="n">
        <v>283811.25</v>
      </c>
      <c r="K1305" s="52" t="n">
        <v>317520</v>
      </c>
      <c r="L1305" s="53" t="n">
        <v>35.3</v>
      </c>
      <c r="M1305" s="54" t="n">
        <v>83</v>
      </c>
      <c r="N1305" s="51" t="n">
        <v>3215.991577</v>
      </c>
      <c r="O1305" s="55" t="n">
        <v>2.804</v>
      </c>
      <c r="P1305" s="51" t="n">
        <v>-233811.25</v>
      </c>
      <c r="Q1305" s="49" t="s">
        <v>2103</v>
      </c>
      <c r="R1305" s="49" t="s">
        <v>2099</v>
      </c>
      <c r="S1305" s="53" t="n">
        <v>1.5</v>
      </c>
      <c r="T1305" s="51" t="n">
        <v>39690</v>
      </c>
      <c r="U1305" s="56" t="n">
        <f aca="false">I1305*O1305</f>
        <v>477484.047</v>
      </c>
      <c r="V1305" s="56" t="n">
        <f aca="false">J1305*O1305</f>
        <v>795806.745</v>
      </c>
      <c r="W1305" s="56" t="n">
        <f aca="false">((I1305+J1305)/2)*O1305</f>
        <v>636645.396</v>
      </c>
      <c r="X1305" s="56" t="n">
        <f aca="false">H1305*O1305</f>
        <v>140200</v>
      </c>
    </row>
    <row r="1306" customFormat="false" ht="22.35" hidden="false" customHeight="false" outlineLevel="0" collapsed="false">
      <c r="A1306" s="76" t="s">
        <v>2063</v>
      </c>
      <c r="B1306" s="7" t="s">
        <v>2480</v>
      </c>
      <c r="C1306" s="7" t="s">
        <v>2476</v>
      </c>
      <c r="D1306" s="7" t="s">
        <v>2109</v>
      </c>
      <c r="E1306" s="60" t="s">
        <v>2110</v>
      </c>
      <c r="F1306" s="7" t="s">
        <v>2097</v>
      </c>
      <c r="G1306" s="7" t="s">
        <v>2097</v>
      </c>
      <c r="H1306" s="9" t="n">
        <v>35109</v>
      </c>
      <c r="I1306" s="9" t="n">
        <v>71619.36</v>
      </c>
      <c r="J1306" s="9" t="n">
        <v>119365.6</v>
      </c>
      <c r="K1306" s="52" t="n">
        <v>138600</v>
      </c>
      <c r="L1306" s="58" t="n">
        <v>33.2</v>
      </c>
      <c r="M1306" s="59" t="n">
        <v>73.3</v>
      </c>
      <c r="N1306" s="9" t="n">
        <v>1438.139692</v>
      </c>
      <c r="O1306" s="8" t="n">
        <v>1.55</v>
      </c>
      <c r="P1306" s="9" t="n">
        <v>-84256.6</v>
      </c>
      <c r="Q1306" s="7" t="s">
        <v>2103</v>
      </c>
      <c r="R1306" s="7" t="s">
        <v>2099</v>
      </c>
      <c r="S1306" s="58" t="n">
        <v>1.5</v>
      </c>
      <c r="T1306" s="9" t="n">
        <v>19800</v>
      </c>
      <c r="U1306" s="56" t="n">
        <f aca="false">I1306*O1306</f>
        <v>111010.008</v>
      </c>
      <c r="V1306" s="56" t="n">
        <f aca="false">J1306*O1306</f>
        <v>185016.68</v>
      </c>
      <c r="W1306" s="56" t="n">
        <f aca="false">((I1306+J1306)/2)*O1306</f>
        <v>148013.344</v>
      </c>
      <c r="X1306" s="56" t="n">
        <f aca="false">H1306*O1306</f>
        <v>54418.95</v>
      </c>
    </row>
    <row r="1307" customFormat="false" ht="22.35" hidden="false" customHeight="false" outlineLevel="0" collapsed="false">
      <c r="A1307" s="76" t="s">
        <v>2063</v>
      </c>
      <c r="B1307" s="49" t="s">
        <v>2482</v>
      </c>
      <c r="C1307" s="49" t="s">
        <v>2473</v>
      </c>
      <c r="D1307" s="49" t="s">
        <v>2109</v>
      </c>
      <c r="E1307" s="60" t="s">
        <v>2110</v>
      </c>
      <c r="F1307" s="49" t="s">
        <v>2097</v>
      </c>
      <c r="G1307" s="49" t="s">
        <v>2097</v>
      </c>
      <c r="H1307" s="51" t="n">
        <v>6800</v>
      </c>
      <c r="I1307" s="51" t="n">
        <v>20051.35</v>
      </c>
      <c r="J1307" s="51" t="n">
        <v>33418.92</v>
      </c>
      <c r="K1307" s="52" t="n">
        <v>36000</v>
      </c>
      <c r="L1307" s="53" t="n">
        <v>29.9</v>
      </c>
      <c r="M1307" s="54" t="n">
        <v>87.9</v>
      </c>
      <c r="N1307" s="51" t="n">
        <v>447.07591</v>
      </c>
      <c r="O1307" s="55" t="n">
        <v>1.651</v>
      </c>
      <c r="P1307" s="51" t="n">
        <v>-26618.92</v>
      </c>
      <c r="Q1307" s="49" t="s">
        <v>2103</v>
      </c>
      <c r="R1307" s="49" t="s">
        <v>2099</v>
      </c>
      <c r="S1307" s="53" t="n">
        <v>1.5</v>
      </c>
      <c r="T1307" s="51" t="n">
        <v>12000</v>
      </c>
      <c r="U1307" s="56" t="n">
        <f aca="false">I1307*O1307</f>
        <v>33104.77885</v>
      </c>
      <c r="V1307" s="56" t="n">
        <f aca="false">J1307*O1307</f>
        <v>55174.63692</v>
      </c>
      <c r="W1307" s="56" t="n">
        <f aca="false">((I1307+J1307)/2)*O1307</f>
        <v>44139.707885</v>
      </c>
      <c r="X1307" s="56" t="n">
        <f aca="false">H1307*O1307</f>
        <v>11226.8</v>
      </c>
    </row>
    <row r="1308" customFormat="false" ht="22.35" hidden="false" customHeight="false" outlineLevel="0" collapsed="false">
      <c r="A1308" s="76" t="s">
        <v>2063</v>
      </c>
      <c r="B1308" s="7" t="s">
        <v>3922</v>
      </c>
      <c r="C1308" s="7" t="s">
        <v>3923</v>
      </c>
      <c r="D1308" s="7" t="s">
        <v>2095</v>
      </c>
      <c r="E1308" s="61" t="s">
        <v>2113</v>
      </c>
      <c r="F1308" s="7" t="s">
        <v>2097</v>
      </c>
      <c r="G1308" s="7" t="s">
        <v>2097</v>
      </c>
      <c r="H1308" s="9" t="n">
        <v>9669</v>
      </c>
      <c r="I1308" s="9" t="n">
        <v>7738.27</v>
      </c>
      <c r="J1308" s="9" t="n">
        <v>15476.54</v>
      </c>
      <c r="K1308" s="52" t="n">
        <v>15476.54</v>
      </c>
      <c r="L1308" s="58" t="n">
        <v>16</v>
      </c>
      <c r="M1308" s="59" t="n">
        <v>87.3</v>
      </c>
      <c r="N1308" s="9" t="n">
        <v>483.641986</v>
      </c>
      <c r="O1308" s="8" t="n">
        <v>1.0833</v>
      </c>
      <c r="P1308" s="9" t="n">
        <v>-5807.54</v>
      </c>
      <c r="Q1308" s="7" t="s">
        <v>2103</v>
      </c>
      <c r="R1308" s="7" t="s">
        <v>2099</v>
      </c>
      <c r="S1308" s="58" t="n">
        <v>1</v>
      </c>
      <c r="T1308" s="9" t="n">
        <v>1</v>
      </c>
      <c r="U1308" s="56" t="n">
        <f aca="false">I1308*O1308</f>
        <v>8382.867891</v>
      </c>
      <c r="V1308" s="56" t="n">
        <f aca="false">J1308*O1308</f>
        <v>16765.735782</v>
      </c>
      <c r="W1308" s="56" t="n">
        <f aca="false">((I1308+J1308)/2)*O1308</f>
        <v>12574.3018365</v>
      </c>
      <c r="X1308" s="56" t="n">
        <f aca="false">H1308*O1308</f>
        <v>10474.4277</v>
      </c>
    </row>
    <row r="1309" customFormat="false" ht="22.35" hidden="false" customHeight="false" outlineLevel="0" collapsed="false">
      <c r="A1309" s="76" t="s">
        <v>2063</v>
      </c>
      <c r="B1309" s="4" t="s">
        <v>3924</v>
      </c>
      <c r="C1309" s="4" t="s">
        <v>3925</v>
      </c>
      <c r="D1309" s="4" t="s">
        <v>2101</v>
      </c>
      <c r="E1309" s="70" t="s">
        <v>2193</v>
      </c>
      <c r="F1309" s="4" t="s">
        <v>2097</v>
      </c>
      <c r="G1309" s="71" t="s">
        <v>2194</v>
      </c>
      <c r="H1309" s="6" t="n">
        <v>147</v>
      </c>
      <c r="I1309" s="6" t="n">
        <v>0</v>
      </c>
      <c r="J1309" s="6" t="n">
        <v>0</v>
      </c>
      <c r="K1309" s="52" t="n">
        <v>0</v>
      </c>
      <c r="L1309" s="72" t="n">
        <v>15.8</v>
      </c>
      <c r="M1309" s="73" t="n">
        <v>50</v>
      </c>
      <c r="N1309" s="6" t="n">
        <v>3.742438</v>
      </c>
      <c r="O1309" s="5" t="n">
        <v>21.2835</v>
      </c>
      <c r="P1309" s="6" t="n">
        <v>147</v>
      </c>
      <c r="Q1309" s="4" t="s">
        <v>2098</v>
      </c>
      <c r="R1309" s="4" t="s">
        <v>2195</v>
      </c>
      <c r="S1309" s="72" t="n">
        <v>0</v>
      </c>
      <c r="T1309" s="6" t="n">
        <v>1</v>
      </c>
      <c r="U1309" s="56" t="n">
        <f aca="false">I1309*O1309</f>
        <v>0</v>
      </c>
      <c r="V1309" s="56" t="n">
        <f aca="false">J1309*O1309</f>
        <v>0</v>
      </c>
      <c r="W1309" s="56" t="n">
        <f aca="false">((I1309+J1309)/2)*O1309</f>
        <v>0</v>
      </c>
      <c r="X1309" s="56" t="n">
        <f aca="false">H1309*O1309</f>
        <v>3128.6745</v>
      </c>
    </row>
    <row r="1310" customFormat="false" ht="22.35" hidden="false" customHeight="false" outlineLevel="0" collapsed="false">
      <c r="A1310" s="76" t="s">
        <v>2063</v>
      </c>
      <c r="B1310" s="7" t="s">
        <v>2485</v>
      </c>
      <c r="C1310" s="7" t="s">
        <v>2486</v>
      </c>
      <c r="D1310" s="7" t="s">
        <v>2095</v>
      </c>
      <c r="E1310" s="61" t="s">
        <v>2113</v>
      </c>
      <c r="F1310" s="7" t="s">
        <v>2097</v>
      </c>
      <c r="G1310" s="7" t="s">
        <v>2097</v>
      </c>
      <c r="H1310" s="9" t="n">
        <v>5505</v>
      </c>
      <c r="I1310" s="9" t="n">
        <v>4787.63</v>
      </c>
      <c r="J1310" s="9" t="n">
        <v>9575.26</v>
      </c>
      <c r="K1310" s="52" t="n">
        <v>11016</v>
      </c>
      <c r="L1310" s="58" t="n">
        <v>24.1</v>
      </c>
      <c r="M1310" s="59" t="n">
        <v>76.1</v>
      </c>
      <c r="N1310" s="9" t="n">
        <v>198.656835</v>
      </c>
      <c r="O1310" s="8" t="n">
        <v>2.78</v>
      </c>
      <c r="P1310" s="9" t="n">
        <v>-4070.26</v>
      </c>
      <c r="Q1310" s="7" t="s">
        <v>2103</v>
      </c>
      <c r="R1310" s="7" t="s">
        <v>2099</v>
      </c>
      <c r="S1310" s="58" t="n">
        <v>1</v>
      </c>
      <c r="T1310" s="9" t="n">
        <v>3672</v>
      </c>
      <c r="U1310" s="56" t="n">
        <f aca="false">I1310*O1310</f>
        <v>13309.6114</v>
      </c>
      <c r="V1310" s="56" t="n">
        <f aca="false">J1310*O1310</f>
        <v>26619.2228</v>
      </c>
      <c r="W1310" s="56" t="n">
        <f aca="false">((I1310+J1310)/2)*O1310</f>
        <v>19964.4171</v>
      </c>
      <c r="X1310" s="56" t="n">
        <f aca="false">H1310*O1310</f>
        <v>15303.9</v>
      </c>
    </row>
    <row r="1311" customFormat="false" ht="22.35" hidden="false" customHeight="false" outlineLevel="0" collapsed="false">
      <c r="A1311" s="76" t="s">
        <v>2063</v>
      </c>
      <c r="B1311" s="49" t="s">
        <v>2487</v>
      </c>
      <c r="C1311" s="49" t="s">
        <v>1749</v>
      </c>
      <c r="D1311" s="49" t="s">
        <v>2095</v>
      </c>
      <c r="E1311" s="61" t="s">
        <v>2113</v>
      </c>
      <c r="F1311" s="49" t="s">
        <v>2097</v>
      </c>
      <c r="G1311" s="49" t="s">
        <v>2097</v>
      </c>
      <c r="H1311" s="51" t="n">
        <v>2836</v>
      </c>
      <c r="I1311" s="51" t="n">
        <v>2286.54</v>
      </c>
      <c r="J1311" s="51" t="n">
        <v>4573.08</v>
      </c>
      <c r="K1311" s="52" t="n">
        <v>4950</v>
      </c>
      <c r="L1311" s="53" t="n">
        <v>20.9</v>
      </c>
      <c r="M1311" s="54" t="n">
        <v>83.3</v>
      </c>
      <c r="N1311" s="51" t="n">
        <v>109.403841</v>
      </c>
      <c r="O1311" s="55" t="n">
        <v>4.78</v>
      </c>
      <c r="P1311" s="51" t="n">
        <v>-1737.08</v>
      </c>
      <c r="Q1311" s="49" t="s">
        <v>2103</v>
      </c>
      <c r="R1311" s="49" t="s">
        <v>2099</v>
      </c>
      <c r="S1311" s="53" t="n">
        <v>1</v>
      </c>
      <c r="T1311" s="51" t="n">
        <v>450</v>
      </c>
      <c r="U1311" s="56" t="n">
        <f aca="false">I1311*O1311</f>
        <v>10929.6612</v>
      </c>
      <c r="V1311" s="56" t="n">
        <f aca="false">J1311*O1311</f>
        <v>21859.3224</v>
      </c>
      <c r="W1311" s="56" t="n">
        <f aca="false">((I1311+J1311)/2)*O1311</f>
        <v>16394.4918</v>
      </c>
      <c r="X1311" s="56" t="n">
        <f aca="false">H1311*O1311</f>
        <v>13556.08</v>
      </c>
    </row>
    <row r="1312" customFormat="false" ht="22.35" hidden="false" customHeight="false" outlineLevel="0" collapsed="false">
      <c r="A1312" s="76" t="s">
        <v>2063</v>
      </c>
      <c r="B1312" s="62" t="s">
        <v>3926</v>
      </c>
      <c r="C1312" s="62" t="s">
        <v>2005</v>
      </c>
      <c r="D1312" s="62" t="s">
        <v>2101</v>
      </c>
      <c r="E1312" s="63" t="s">
        <v>2169</v>
      </c>
      <c r="F1312" s="64" t="s">
        <v>2170</v>
      </c>
      <c r="G1312" s="62" t="s">
        <v>2097</v>
      </c>
      <c r="H1312" s="65" t="n">
        <v>197</v>
      </c>
      <c r="I1312" s="65" t="n">
        <v>30.07</v>
      </c>
      <c r="J1312" s="65" t="n">
        <v>90.22</v>
      </c>
      <c r="K1312" s="66" t="n">
        <v>441</v>
      </c>
      <c r="L1312" s="67" t="n">
        <v>26.3</v>
      </c>
      <c r="M1312" s="68" t="n">
        <v>45.5</v>
      </c>
      <c r="N1312" s="65" t="n">
        <v>6.940192</v>
      </c>
      <c r="O1312" s="69" t="n">
        <v>6.05</v>
      </c>
      <c r="P1312" s="65" t="n">
        <v>106.78</v>
      </c>
      <c r="Q1312" s="62" t="s">
        <v>2098</v>
      </c>
      <c r="R1312" s="62" t="s">
        <v>3628</v>
      </c>
      <c r="S1312" s="67" t="n">
        <v>0.5</v>
      </c>
      <c r="T1312" s="65" t="n">
        <v>441</v>
      </c>
      <c r="U1312" s="56" t="n">
        <f aca="false">I1312*O1312</f>
        <v>181.9235</v>
      </c>
      <c r="V1312" s="56" t="n">
        <f aca="false">J1312*O1312</f>
        <v>545.831</v>
      </c>
      <c r="W1312" s="56" t="n">
        <f aca="false">((I1312+J1312)/2)*O1312</f>
        <v>363.87725</v>
      </c>
      <c r="X1312" s="56" t="n">
        <f aca="false">H1312*O1312</f>
        <v>1191.85</v>
      </c>
    </row>
    <row r="1313" customFormat="false" ht="22.35" hidden="false" customHeight="false" outlineLevel="0" collapsed="false">
      <c r="A1313" s="76" t="s">
        <v>2063</v>
      </c>
      <c r="B1313" s="49" t="s">
        <v>2488</v>
      </c>
      <c r="C1313" s="49" t="s">
        <v>2398</v>
      </c>
      <c r="D1313" s="49" t="s">
        <v>2109</v>
      </c>
      <c r="E1313" s="60" t="s">
        <v>2110</v>
      </c>
      <c r="F1313" s="49" t="s">
        <v>2097</v>
      </c>
      <c r="G1313" s="49" t="s">
        <v>2097</v>
      </c>
      <c r="H1313" s="51" t="n">
        <v>6096</v>
      </c>
      <c r="I1313" s="51" t="n">
        <v>13214.67</v>
      </c>
      <c r="J1313" s="51" t="n">
        <v>22024.45</v>
      </c>
      <c r="K1313" s="52" t="n">
        <v>22080</v>
      </c>
      <c r="L1313" s="53" t="n">
        <v>36.3</v>
      </c>
      <c r="M1313" s="54" t="n">
        <v>65.4</v>
      </c>
      <c r="N1313" s="51" t="n">
        <v>242.693753</v>
      </c>
      <c r="O1313" s="55" t="n">
        <v>2.22</v>
      </c>
      <c r="P1313" s="51" t="n">
        <v>-15928.45</v>
      </c>
      <c r="Q1313" s="49" t="s">
        <v>2103</v>
      </c>
      <c r="R1313" s="49" t="s">
        <v>2099</v>
      </c>
      <c r="S1313" s="53" t="n">
        <v>1.5</v>
      </c>
      <c r="T1313" s="51" t="n">
        <v>1380</v>
      </c>
      <c r="U1313" s="56" t="n">
        <f aca="false">I1313*O1313</f>
        <v>29336.5674</v>
      </c>
      <c r="V1313" s="56" t="n">
        <f aca="false">J1313*O1313</f>
        <v>48894.279</v>
      </c>
      <c r="W1313" s="56" t="n">
        <f aca="false">((I1313+J1313)/2)*O1313</f>
        <v>39115.4232</v>
      </c>
      <c r="X1313" s="56" t="n">
        <f aca="false">H1313*O1313</f>
        <v>13533.12</v>
      </c>
    </row>
    <row r="1314" customFormat="false" ht="22.35" hidden="false" customHeight="false" outlineLevel="0" collapsed="false">
      <c r="A1314" s="76" t="s">
        <v>2063</v>
      </c>
      <c r="B1314" s="7" t="s">
        <v>3927</v>
      </c>
      <c r="C1314" s="7" t="s">
        <v>3928</v>
      </c>
      <c r="D1314" s="7" t="s">
        <v>2095</v>
      </c>
      <c r="E1314" s="61" t="s">
        <v>2113</v>
      </c>
      <c r="F1314" s="7" t="s">
        <v>2097</v>
      </c>
      <c r="G1314" s="7" t="s">
        <v>2097</v>
      </c>
      <c r="H1314" s="9" t="n">
        <v>2964</v>
      </c>
      <c r="I1314" s="9" t="n">
        <v>4783.31</v>
      </c>
      <c r="J1314" s="9" t="n">
        <v>9566.62</v>
      </c>
      <c r="K1314" s="52" t="n">
        <v>9680</v>
      </c>
      <c r="L1314" s="58" t="n">
        <v>31.2</v>
      </c>
      <c r="M1314" s="59" t="n">
        <v>77.1</v>
      </c>
      <c r="N1314" s="9" t="n">
        <v>153.311314</v>
      </c>
      <c r="O1314" s="8" t="n">
        <v>5.81</v>
      </c>
      <c r="P1314" s="9" t="n">
        <v>-6602.62</v>
      </c>
      <c r="Q1314" s="7" t="s">
        <v>2103</v>
      </c>
      <c r="R1314" s="7" t="s">
        <v>2099</v>
      </c>
      <c r="S1314" s="58" t="n">
        <v>1</v>
      </c>
      <c r="T1314" s="9" t="n">
        <v>440</v>
      </c>
      <c r="U1314" s="56" t="n">
        <f aca="false">I1314*O1314</f>
        <v>27791.0311</v>
      </c>
      <c r="V1314" s="56" t="n">
        <f aca="false">J1314*O1314</f>
        <v>55582.0622</v>
      </c>
      <c r="W1314" s="56" t="n">
        <f aca="false">((I1314+J1314)/2)*O1314</f>
        <v>41686.54665</v>
      </c>
      <c r="X1314" s="56" t="n">
        <f aca="false">H1314*O1314</f>
        <v>17220.84</v>
      </c>
    </row>
    <row r="1315" customFormat="false" ht="22.35" hidden="false" customHeight="false" outlineLevel="0" collapsed="false">
      <c r="A1315" s="76" t="s">
        <v>2063</v>
      </c>
      <c r="B1315" s="49" t="s">
        <v>3929</v>
      </c>
      <c r="C1315" s="49" t="s">
        <v>3930</v>
      </c>
      <c r="D1315" s="49" t="s">
        <v>2095</v>
      </c>
      <c r="E1315" s="61" t="s">
        <v>2113</v>
      </c>
      <c r="F1315" s="49" t="s">
        <v>2097</v>
      </c>
      <c r="G1315" s="49" t="s">
        <v>2097</v>
      </c>
      <c r="H1315" s="51" t="n">
        <v>10224</v>
      </c>
      <c r="I1315" s="51" t="n">
        <v>19571.05</v>
      </c>
      <c r="J1315" s="51" t="n">
        <v>39142.1</v>
      </c>
      <c r="K1315" s="52" t="n">
        <v>41225</v>
      </c>
      <c r="L1315" s="53" t="n">
        <v>55.1</v>
      </c>
      <c r="M1315" s="54" t="n">
        <v>58.1</v>
      </c>
      <c r="N1315" s="51" t="n">
        <v>355.191448</v>
      </c>
      <c r="O1315" s="55" t="n">
        <v>5.19</v>
      </c>
      <c r="P1315" s="51" t="n">
        <v>-28918.1</v>
      </c>
      <c r="Q1315" s="49" t="s">
        <v>2103</v>
      </c>
      <c r="R1315" s="49" t="s">
        <v>2099</v>
      </c>
      <c r="S1315" s="53" t="n">
        <v>1</v>
      </c>
      <c r="T1315" s="51" t="n">
        <v>2425</v>
      </c>
      <c r="U1315" s="56" t="n">
        <f aca="false">I1315*O1315</f>
        <v>101573.7495</v>
      </c>
      <c r="V1315" s="56" t="n">
        <f aca="false">J1315*O1315</f>
        <v>203147.499</v>
      </c>
      <c r="W1315" s="56" t="n">
        <f aca="false">((I1315+J1315)/2)*O1315</f>
        <v>152360.62425</v>
      </c>
      <c r="X1315" s="56" t="n">
        <f aca="false">H1315*O1315</f>
        <v>53062.56</v>
      </c>
    </row>
    <row r="1316" customFormat="false" ht="22.35" hidden="false" customHeight="false" outlineLevel="0" collapsed="false">
      <c r="A1316" s="76" t="s">
        <v>2063</v>
      </c>
      <c r="B1316" s="7" t="s">
        <v>3931</v>
      </c>
      <c r="C1316" s="7" t="s">
        <v>3932</v>
      </c>
      <c r="D1316" s="7" t="s">
        <v>2095</v>
      </c>
      <c r="E1316" s="61" t="s">
        <v>2113</v>
      </c>
      <c r="F1316" s="7" t="s">
        <v>2097</v>
      </c>
      <c r="G1316" s="7" t="s">
        <v>2097</v>
      </c>
      <c r="H1316" s="9" t="n">
        <v>592</v>
      </c>
      <c r="I1316" s="9" t="n">
        <v>2246.36</v>
      </c>
      <c r="J1316" s="9" t="n">
        <v>4492.72</v>
      </c>
      <c r="K1316" s="52" t="n">
        <v>4492.72</v>
      </c>
      <c r="L1316" s="58" t="n">
        <v>29.8</v>
      </c>
      <c r="M1316" s="59" t="n">
        <v>72.2</v>
      </c>
      <c r="N1316" s="9" t="n">
        <v>75.381375</v>
      </c>
      <c r="O1316" s="8" t="n">
        <v>3.88</v>
      </c>
      <c r="P1316" s="9" t="n">
        <v>-3900.72</v>
      </c>
      <c r="Q1316" s="7" t="s">
        <v>2103</v>
      </c>
      <c r="R1316" s="7" t="s">
        <v>2099</v>
      </c>
      <c r="S1316" s="58" t="n">
        <v>1</v>
      </c>
      <c r="T1316" s="9" t="n">
        <v>1</v>
      </c>
      <c r="U1316" s="56" t="n">
        <f aca="false">I1316*O1316</f>
        <v>8715.8768</v>
      </c>
      <c r="V1316" s="56" t="n">
        <f aca="false">J1316*O1316</f>
        <v>17431.7536</v>
      </c>
      <c r="W1316" s="56" t="n">
        <f aca="false">((I1316+J1316)/2)*O1316</f>
        <v>13073.8152</v>
      </c>
      <c r="X1316" s="56" t="n">
        <f aca="false">H1316*O1316</f>
        <v>2296.96</v>
      </c>
    </row>
    <row r="1317" customFormat="false" ht="15" hidden="false" customHeight="false" outlineLevel="0" collapsed="false">
      <c r="A1317" s="76" t="s">
        <v>2063</v>
      </c>
      <c r="B1317" s="49" t="s">
        <v>2489</v>
      </c>
      <c r="C1317" s="49" t="s">
        <v>2490</v>
      </c>
      <c r="D1317" s="49" t="s">
        <v>2101</v>
      </c>
      <c r="E1317" s="50" t="s">
        <v>2096</v>
      </c>
      <c r="F1317" s="49" t="s">
        <v>2097</v>
      </c>
      <c r="G1317" s="49" t="s">
        <v>2097</v>
      </c>
      <c r="H1317" s="51" t="n">
        <v>80</v>
      </c>
      <c r="I1317" s="51" t="n">
        <v>26.37</v>
      </c>
      <c r="J1317" s="51" t="n">
        <v>79.11</v>
      </c>
      <c r="K1317" s="52" t="n">
        <v>496</v>
      </c>
      <c r="L1317" s="53" t="n">
        <v>16.2</v>
      </c>
      <c r="M1317" s="54" t="n">
        <v>88.9</v>
      </c>
      <c r="N1317" s="51" t="n">
        <v>3.255348</v>
      </c>
      <c r="O1317" s="55" t="n">
        <v>22.4709</v>
      </c>
      <c r="P1317" s="51" t="n">
        <v>0.89</v>
      </c>
      <c r="Q1317" s="49" t="s">
        <v>2098</v>
      </c>
      <c r="R1317" s="49" t="s">
        <v>2099</v>
      </c>
      <c r="S1317" s="53" t="n">
        <v>0.5</v>
      </c>
      <c r="T1317" s="51" t="n">
        <v>496</v>
      </c>
      <c r="U1317" s="56" t="n">
        <f aca="false">I1317*O1317</f>
        <v>592.557633</v>
      </c>
      <c r="V1317" s="56" t="n">
        <f aca="false">J1317*O1317</f>
        <v>1777.672899</v>
      </c>
      <c r="W1317" s="56" t="n">
        <f aca="false">((I1317+J1317)/2)*O1317</f>
        <v>1185.115266</v>
      </c>
      <c r="X1317" s="56" t="n">
        <f aca="false">H1317*O1317</f>
        <v>1797.672</v>
      </c>
    </row>
    <row r="1318" customFormat="false" ht="22.35" hidden="false" customHeight="false" outlineLevel="0" collapsed="false">
      <c r="A1318" s="76" t="s">
        <v>2063</v>
      </c>
      <c r="B1318" s="4" t="s">
        <v>3933</v>
      </c>
      <c r="C1318" s="4" t="s">
        <v>3934</v>
      </c>
      <c r="D1318" s="4" t="s">
        <v>2101</v>
      </c>
      <c r="E1318" s="70" t="s">
        <v>2193</v>
      </c>
      <c r="F1318" s="4" t="s">
        <v>2097</v>
      </c>
      <c r="G1318" s="71" t="s">
        <v>2194</v>
      </c>
      <c r="H1318" s="6" t="n">
        <v>40</v>
      </c>
      <c r="I1318" s="6" t="n">
        <v>0</v>
      </c>
      <c r="J1318" s="6" t="n">
        <v>0</v>
      </c>
      <c r="K1318" s="52" t="n">
        <v>0</v>
      </c>
      <c r="L1318" s="72" t="n">
        <v>8.5</v>
      </c>
      <c r="M1318" s="73" t="n">
        <v>50</v>
      </c>
      <c r="N1318" s="6" t="n">
        <v>1.672123</v>
      </c>
      <c r="O1318" s="5" t="n">
        <v>4.42</v>
      </c>
      <c r="P1318" s="6" t="n">
        <v>40</v>
      </c>
      <c r="Q1318" s="4" t="s">
        <v>2098</v>
      </c>
      <c r="R1318" s="4" t="s">
        <v>2195</v>
      </c>
      <c r="S1318" s="72" t="n">
        <v>0</v>
      </c>
      <c r="T1318" s="6" t="n">
        <v>1</v>
      </c>
      <c r="U1318" s="56" t="n">
        <f aca="false">I1318*O1318</f>
        <v>0</v>
      </c>
      <c r="V1318" s="56" t="n">
        <f aca="false">J1318*O1318</f>
        <v>0</v>
      </c>
      <c r="W1318" s="56" t="n">
        <f aca="false">((I1318+J1318)/2)*O1318</f>
        <v>0</v>
      </c>
      <c r="X1318" s="56" t="n">
        <f aca="false">H1318*O1318</f>
        <v>176.8</v>
      </c>
    </row>
    <row r="1319" customFormat="false" ht="22.35" hidden="false" customHeight="false" outlineLevel="0" collapsed="false">
      <c r="A1319" s="76" t="s">
        <v>2063</v>
      </c>
      <c r="B1319" s="49" t="s">
        <v>3935</v>
      </c>
      <c r="C1319" s="49" t="s">
        <v>3936</v>
      </c>
      <c r="D1319" s="49" t="s">
        <v>2095</v>
      </c>
      <c r="E1319" s="61" t="s">
        <v>2113</v>
      </c>
      <c r="F1319" s="49" t="s">
        <v>2097</v>
      </c>
      <c r="G1319" s="49" t="s">
        <v>2097</v>
      </c>
      <c r="H1319" s="51" t="n">
        <v>7292</v>
      </c>
      <c r="I1319" s="51" t="n">
        <v>19349.45</v>
      </c>
      <c r="J1319" s="51" t="n">
        <v>38698.9</v>
      </c>
      <c r="K1319" s="52" t="n">
        <v>38800</v>
      </c>
      <c r="L1319" s="53" t="n">
        <v>65.3</v>
      </c>
      <c r="M1319" s="54" t="n">
        <v>72.7</v>
      </c>
      <c r="N1319" s="51" t="n">
        <v>296.316164</v>
      </c>
      <c r="O1319" s="55" t="n">
        <v>2.82</v>
      </c>
      <c r="P1319" s="51" t="n">
        <v>-31406.9</v>
      </c>
      <c r="Q1319" s="49" t="s">
        <v>2103</v>
      </c>
      <c r="R1319" s="49" t="s">
        <v>2099</v>
      </c>
      <c r="S1319" s="53" t="n">
        <v>1</v>
      </c>
      <c r="T1319" s="51" t="n">
        <v>485</v>
      </c>
      <c r="U1319" s="56" t="n">
        <f aca="false">I1319*O1319</f>
        <v>54565.449</v>
      </c>
      <c r="V1319" s="56" t="n">
        <f aca="false">J1319*O1319</f>
        <v>109130.898</v>
      </c>
      <c r="W1319" s="56" t="n">
        <f aca="false">((I1319+J1319)/2)*O1319</f>
        <v>81848.1735</v>
      </c>
      <c r="X1319" s="56" t="n">
        <f aca="false">H1319*O1319</f>
        <v>20563.44</v>
      </c>
    </row>
    <row r="1320" customFormat="false" ht="15" hidden="false" customHeight="false" outlineLevel="0" collapsed="false">
      <c r="A1320" s="76" t="s">
        <v>2063</v>
      </c>
      <c r="B1320" s="7" t="s">
        <v>3937</v>
      </c>
      <c r="C1320" s="7" t="s">
        <v>2005</v>
      </c>
      <c r="D1320" s="7" t="s">
        <v>2101</v>
      </c>
      <c r="E1320" s="50" t="s">
        <v>2096</v>
      </c>
      <c r="F1320" s="7" t="s">
        <v>2097</v>
      </c>
      <c r="G1320" s="7" t="s">
        <v>2097</v>
      </c>
      <c r="H1320" s="9" t="n">
        <v>640</v>
      </c>
      <c r="I1320" s="9" t="n">
        <v>156.29</v>
      </c>
      <c r="J1320" s="9" t="n">
        <v>468.86</v>
      </c>
      <c r="K1320" s="52" t="n">
        <v>3800</v>
      </c>
      <c r="L1320" s="58" t="n">
        <v>17.4</v>
      </c>
      <c r="M1320" s="59" t="n">
        <v>40</v>
      </c>
      <c r="N1320" s="9" t="n">
        <v>17.963945</v>
      </c>
      <c r="O1320" s="8" t="n">
        <v>2.67</v>
      </c>
      <c r="P1320" s="9" t="n">
        <v>171.14</v>
      </c>
      <c r="Q1320" s="7" t="s">
        <v>2098</v>
      </c>
      <c r="R1320" s="7" t="s">
        <v>2099</v>
      </c>
      <c r="S1320" s="58" t="n">
        <v>0.5</v>
      </c>
      <c r="T1320" s="9" t="n">
        <v>3800</v>
      </c>
      <c r="U1320" s="56" t="n">
        <f aca="false">I1320*O1320</f>
        <v>417.2943</v>
      </c>
      <c r="V1320" s="56" t="n">
        <f aca="false">J1320*O1320</f>
        <v>1251.8562</v>
      </c>
      <c r="W1320" s="56" t="n">
        <f aca="false">((I1320+J1320)/2)*O1320</f>
        <v>834.57525</v>
      </c>
      <c r="X1320" s="56" t="n">
        <f aca="false">H1320*O1320</f>
        <v>1708.8</v>
      </c>
    </row>
    <row r="1321" customFormat="false" ht="22.35" hidden="false" customHeight="false" outlineLevel="0" collapsed="false">
      <c r="A1321" s="76" t="s">
        <v>2063</v>
      </c>
      <c r="B1321" s="49" t="s">
        <v>3938</v>
      </c>
      <c r="C1321" s="49" t="s">
        <v>1992</v>
      </c>
      <c r="D1321" s="49" t="s">
        <v>2101</v>
      </c>
      <c r="E1321" s="57" t="s">
        <v>2102</v>
      </c>
      <c r="F1321" s="49" t="s">
        <v>2097</v>
      </c>
      <c r="G1321" s="49" t="s">
        <v>2097</v>
      </c>
      <c r="H1321" s="51" t="n">
        <v>271</v>
      </c>
      <c r="I1321" s="51" t="n">
        <v>150.23</v>
      </c>
      <c r="J1321" s="51" t="n">
        <v>450.69</v>
      </c>
      <c r="K1321" s="52" t="n">
        <v>837.8</v>
      </c>
      <c r="L1321" s="53" t="n">
        <v>22</v>
      </c>
      <c r="M1321" s="54" t="n">
        <v>73.3</v>
      </c>
      <c r="N1321" s="51" t="n">
        <v>13.657137</v>
      </c>
      <c r="O1321" s="55" t="n">
        <v>4.79</v>
      </c>
      <c r="P1321" s="51" t="n">
        <v>-179.69</v>
      </c>
      <c r="Q1321" s="49" t="s">
        <v>2103</v>
      </c>
      <c r="R1321" s="49" t="s">
        <v>2099</v>
      </c>
      <c r="S1321" s="53" t="n">
        <v>0.5</v>
      </c>
      <c r="T1321" s="51" t="n">
        <v>418.9</v>
      </c>
      <c r="U1321" s="56" t="n">
        <f aca="false">I1321*O1321</f>
        <v>719.6017</v>
      </c>
      <c r="V1321" s="56" t="n">
        <f aca="false">J1321*O1321</f>
        <v>2158.8051</v>
      </c>
      <c r="W1321" s="56" t="n">
        <f aca="false">((I1321+J1321)/2)*O1321</f>
        <v>1439.2034</v>
      </c>
      <c r="X1321" s="56" t="n">
        <f aca="false">H1321*O1321</f>
        <v>1298.09</v>
      </c>
    </row>
    <row r="1322" customFormat="false" ht="22.35" hidden="false" customHeight="false" outlineLevel="0" collapsed="false">
      <c r="A1322" s="76" t="s">
        <v>2063</v>
      </c>
      <c r="B1322" s="7" t="s">
        <v>3939</v>
      </c>
      <c r="C1322" s="7" t="s">
        <v>1848</v>
      </c>
      <c r="D1322" s="7" t="s">
        <v>2095</v>
      </c>
      <c r="E1322" s="61" t="s">
        <v>2113</v>
      </c>
      <c r="F1322" s="7" t="s">
        <v>2097</v>
      </c>
      <c r="G1322" s="7" t="s">
        <v>2097</v>
      </c>
      <c r="H1322" s="9" t="n">
        <v>2440</v>
      </c>
      <c r="I1322" s="9" t="n">
        <v>5817.39</v>
      </c>
      <c r="J1322" s="9" t="n">
        <v>11634.78</v>
      </c>
      <c r="K1322" s="52" t="n">
        <v>11634.78</v>
      </c>
      <c r="L1322" s="58" t="n">
        <v>34.7</v>
      </c>
      <c r="M1322" s="59" t="n">
        <v>73</v>
      </c>
      <c r="N1322" s="9" t="n">
        <v>167.648022</v>
      </c>
      <c r="O1322" s="8" t="n">
        <v>2.847</v>
      </c>
      <c r="P1322" s="9" t="n">
        <v>-9194.78</v>
      </c>
      <c r="Q1322" s="7" t="s">
        <v>2103</v>
      </c>
      <c r="R1322" s="7" t="s">
        <v>2099</v>
      </c>
      <c r="S1322" s="58" t="n">
        <v>1</v>
      </c>
      <c r="T1322" s="9" t="n">
        <v>1</v>
      </c>
      <c r="U1322" s="56" t="n">
        <f aca="false">I1322*O1322</f>
        <v>16562.10933</v>
      </c>
      <c r="V1322" s="56" t="n">
        <f aca="false">J1322*O1322</f>
        <v>33124.21866</v>
      </c>
      <c r="W1322" s="56" t="n">
        <f aca="false">((I1322+J1322)/2)*O1322</f>
        <v>24843.163995</v>
      </c>
      <c r="X1322" s="56" t="n">
        <f aca="false">H1322*O1322</f>
        <v>6946.68</v>
      </c>
    </row>
    <row r="1323" customFormat="false" ht="22.35" hidden="false" customHeight="false" outlineLevel="0" collapsed="false">
      <c r="A1323" s="76" t="s">
        <v>2063</v>
      </c>
      <c r="B1323" s="49" t="s">
        <v>2493</v>
      </c>
      <c r="C1323" s="49" t="s">
        <v>1744</v>
      </c>
      <c r="D1323" s="49" t="s">
        <v>2095</v>
      </c>
      <c r="E1323" s="61" t="s">
        <v>2113</v>
      </c>
      <c r="F1323" s="49" t="s">
        <v>2097</v>
      </c>
      <c r="G1323" s="49" t="s">
        <v>2097</v>
      </c>
      <c r="H1323" s="51" t="n">
        <v>1764</v>
      </c>
      <c r="I1323" s="51" t="n">
        <v>2085.31</v>
      </c>
      <c r="J1323" s="51" t="n">
        <v>4170.62</v>
      </c>
      <c r="K1323" s="52" t="n">
        <v>4440</v>
      </c>
      <c r="L1323" s="53" t="n">
        <v>24.2</v>
      </c>
      <c r="M1323" s="54" t="n">
        <v>90.9</v>
      </c>
      <c r="N1323" s="51" t="n">
        <v>86.169891</v>
      </c>
      <c r="O1323" s="55" t="n">
        <v>3.65</v>
      </c>
      <c r="P1323" s="51" t="n">
        <v>-2406.62</v>
      </c>
      <c r="Q1323" s="49" t="s">
        <v>2103</v>
      </c>
      <c r="R1323" s="49" t="s">
        <v>2099</v>
      </c>
      <c r="S1323" s="53" t="n">
        <v>1</v>
      </c>
      <c r="T1323" s="51" t="n">
        <v>4440</v>
      </c>
      <c r="U1323" s="56" t="n">
        <f aca="false">I1323*O1323</f>
        <v>7611.3815</v>
      </c>
      <c r="V1323" s="56" t="n">
        <f aca="false">J1323*O1323</f>
        <v>15222.763</v>
      </c>
      <c r="W1323" s="56" t="n">
        <f aca="false">((I1323+J1323)/2)*O1323</f>
        <v>11417.07225</v>
      </c>
      <c r="X1323" s="56" t="n">
        <f aca="false">H1323*O1323</f>
        <v>6438.6</v>
      </c>
    </row>
    <row r="1324" customFormat="false" ht="22.35" hidden="false" customHeight="false" outlineLevel="0" collapsed="false">
      <c r="A1324" s="76" t="s">
        <v>2063</v>
      </c>
      <c r="B1324" s="7" t="s">
        <v>3940</v>
      </c>
      <c r="C1324" s="7" t="s">
        <v>3941</v>
      </c>
      <c r="D1324" s="7" t="s">
        <v>2095</v>
      </c>
      <c r="E1324" s="61" t="s">
        <v>2113</v>
      </c>
      <c r="F1324" s="7" t="s">
        <v>2097</v>
      </c>
      <c r="G1324" s="7" t="s">
        <v>2097</v>
      </c>
      <c r="H1324" s="9" t="n">
        <v>2190</v>
      </c>
      <c r="I1324" s="9" t="n">
        <v>2960.99</v>
      </c>
      <c r="J1324" s="9" t="n">
        <v>5921.98</v>
      </c>
      <c r="K1324" s="52" t="n">
        <v>6900</v>
      </c>
      <c r="L1324" s="58" t="n">
        <v>23.7</v>
      </c>
      <c r="M1324" s="59" t="n">
        <v>84.4</v>
      </c>
      <c r="N1324" s="9" t="n">
        <v>124.936218</v>
      </c>
      <c r="O1324" s="8" t="n">
        <v>4.14</v>
      </c>
      <c r="P1324" s="9" t="n">
        <v>-3731.98</v>
      </c>
      <c r="Q1324" s="7" t="s">
        <v>2103</v>
      </c>
      <c r="R1324" s="7" t="s">
        <v>2099</v>
      </c>
      <c r="S1324" s="58" t="n">
        <v>1</v>
      </c>
      <c r="T1324" s="9" t="n">
        <v>2300</v>
      </c>
      <c r="U1324" s="56" t="n">
        <f aca="false">I1324*O1324</f>
        <v>12258.4986</v>
      </c>
      <c r="V1324" s="56" t="n">
        <f aca="false">J1324*O1324</f>
        <v>24516.9972</v>
      </c>
      <c r="W1324" s="56" t="n">
        <f aca="false">((I1324+J1324)/2)*O1324</f>
        <v>18387.7479</v>
      </c>
      <c r="X1324" s="56" t="n">
        <f aca="false">H1324*O1324</f>
        <v>9066.6</v>
      </c>
    </row>
    <row r="1325" customFormat="false" ht="22.35" hidden="false" customHeight="false" outlineLevel="0" collapsed="false">
      <c r="A1325" s="76" t="s">
        <v>2063</v>
      </c>
      <c r="B1325" s="49" t="s">
        <v>3942</v>
      </c>
      <c r="C1325" s="49" t="s">
        <v>3943</v>
      </c>
      <c r="D1325" s="49" t="s">
        <v>2101</v>
      </c>
      <c r="E1325" s="57" t="s">
        <v>2102</v>
      </c>
      <c r="F1325" s="49" t="s">
        <v>2097</v>
      </c>
      <c r="G1325" s="49" t="s">
        <v>2097</v>
      </c>
      <c r="H1325" s="51" t="n">
        <v>134</v>
      </c>
      <c r="I1325" s="51" t="n">
        <v>89.6</v>
      </c>
      <c r="J1325" s="51" t="n">
        <v>268.79</v>
      </c>
      <c r="K1325" s="52" t="n">
        <v>487</v>
      </c>
      <c r="L1325" s="53" t="n">
        <v>22.5</v>
      </c>
      <c r="M1325" s="54" t="n">
        <v>75</v>
      </c>
      <c r="N1325" s="51" t="n">
        <v>7.964105</v>
      </c>
      <c r="O1325" s="55" t="n">
        <v>4.91</v>
      </c>
      <c r="P1325" s="51" t="n">
        <v>-134.79</v>
      </c>
      <c r="Q1325" s="49" t="s">
        <v>2103</v>
      </c>
      <c r="R1325" s="49" t="s">
        <v>2099</v>
      </c>
      <c r="S1325" s="53" t="n">
        <v>0.5</v>
      </c>
      <c r="T1325" s="51" t="n">
        <v>487</v>
      </c>
      <c r="U1325" s="56" t="n">
        <f aca="false">I1325*O1325</f>
        <v>439.936</v>
      </c>
      <c r="V1325" s="56" t="n">
        <f aca="false">J1325*O1325</f>
        <v>1319.7589</v>
      </c>
      <c r="W1325" s="56" t="n">
        <f aca="false">((I1325+J1325)/2)*O1325</f>
        <v>879.84745</v>
      </c>
      <c r="X1325" s="56" t="n">
        <f aca="false">H1325*O1325</f>
        <v>657.94</v>
      </c>
    </row>
    <row r="1326" customFormat="false" ht="22.35" hidden="false" customHeight="false" outlineLevel="0" collapsed="false">
      <c r="A1326" s="76" t="s">
        <v>2063</v>
      </c>
      <c r="B1326" s="7" t="s">
        <v>3944</v>
      </c>
      <c r="C1326" s="7" t="s">
        <v>3945</v>
      </c>
      <c r="D1326" s="7" t="s">
        <v>2101</v>
      </c>
      <c r="E1326" s="57" t="s">
        <v>2102</v>
      </c>
      <c r="F1326" s="7" t="s">
        <v>2097</v>
      </c>
      <c r="G1326" s="7" t="s">
        <v>2097</v>
      </c>
      <c r="H1326" s="9" t="n">
        <v>4114</v>
      </c>
      <c r="I1326" s="9" t="n">
        <v>2578.32</v>
      </c>
      <c r="J1326" s="9" t="n">
        <v>7734.96</v>
      </c>
      <c r="K1326" s="52" t="n">
        <v>8400</v>
      </c>
      <c r="L1326" s="58" t="n">
        <v>38.4</v>
      </c>
      <c r="M1326" s="59" t="n">
        <v>88.9</v>
      </c>
      <c r="N1326" s="9" t="n">
        <v>134.287469</v>
      </c>
      <c r="O1326" s="8" t="n">
        <v>2.2357</v>
      </c>
      <c r="P1326" s="9" t="n">
        <v>-3620.96</v>
      </c>
      <c r="Q1326" s="7" t="s">
        <v>2103</v>
      </c>
      <c r="R1326" s="7" t="s">
        <v>2099</v>
      </c>
      <c r="S1326" s="58" t="n">
        <v>0.5</v>
      </c>
      <c r="T1326" s="9" t="n">
        <v>2100</v>
      </c>
      <c r="U1326" s="56" t="n">
        <f aca="false">I1326*O1326</f>
        <v>5764.350024</v>
      </c>
      <c r="V1326" s="56" t="n">
        <f aca="false">J1326*O1326</f>
        <v>17293.050072</v>
      </c>
      <c r="W1326" s="56" t="n">
        <f aca="false">((I1326+J1326)/2)*O1326</f>
        <v>11528.700048</v>
      </c>
      <c r="X1326" s="56" t="n">
        <f aca="false">H1326*O1326</f>
        <v>9197.6698</v>
      </c>
    </row>
    <row r="1327" customFormat="false" ht="22.35" hidden="false" customHeight="false" outlineLevel="0" collapsed="false">
      <c r="A1327" s="76" t="s">
        <v>2063</v>
      </c>
      <c r="B1327" s="49" t="s">
        <v>3946</v>
      </c>
      <c r="C1327" s="49" t="s">
        <v>3947</v>
      </c>
      <c r="D1327" s="49" t="s">
        <v>2101</v>
      </c>
      <c r="E1327" s="57" t="s">
        <v>2102</v>
      </c>
      <c r="F1327" s="49" t="s">
        <v>2097</v>
      </c>
      <c r="G1327" s="49" t="s">
        <v>2097</v>
      </c>
      <c r="H1327" s="51" t="n">
        <v>573</v>
      </c>
      <c r="I1327" s="51" t="n">
        <v>242.89</v>
      </c>
      <c r="J1327" s="51" t="n">
        <v>728.66</v>
      </c>
      <c r="K1327" s="52" t="n">
        <v>1800</v>
      </c>
      <c r="L1327" s="53" t="n">
        <v>31.9</v>
      </c>
      <c r="M1327" s="54" t="n">
        <v>62.5</v>
      </c>
      <c r="N1327" s="51" t="n">
        <v>15.227992</v>
      </c>
      <c r="O1327" s="55" t="n">
        <v>9.13</v>
      </c>
      <c r="P1327" s="51" t="n">
        <v>-155.66</v>
      </c>
      <c r="Q1327" s="49" t="s">
        <v>2103</v>
      </c>
      <c r="R1327" s="49" t="s">
        <v>2099</v>
      </c>
      <c r="S1327" s="53" t="n">
        <v>0.5</v>
      </c>
      <c r="T1327" s="51" t="n">
        <v>1800</v>
      </c>
      <c r="U1327" s="56" t="n">
        <f aca="false">I1327*O1327</f>
        <v>2217.5857</v>
      </c>
      <c r="V1327" s="56" t="n">
        <f aca="false">J1327*O1327</f>
        <v>6652.6658</v>
      </c>
      <c r="W1327" s="56" t="n">
        <f aca="false">((I1327+J1327)/2)*O1327</f>
        <v>4435.12575</v>
      </c>
      <c r="X1327" s="56" t="n">
        <f aca="false">H1327*O1327</f>
        <v>5231.49</v>
      </c>
    </row>
    <row r="1328" customFormat="false" ht="15" hidden="false" customHeight="false" outlineLevel="0" collapsed="false">
      <c r="A1328" s="76" t="s">
        <v>2063</v>
      </c>
      <c r="B1328" s="7" t="s">
        <v>3948</v>
      </c>
      <c r="C1328" s="7" t="s">
        <v>3949</v>
      </c>
      <c r="D1328" s="7" t="s">
        <v>2101</v>
      </c>
      <c r="E1328" s="50" t="s">
        <v>2096</v>
      </c>
      <c r="F1328" s="7" t="s">
        <v>2097</v>
      </c>
      <c r="G1328" s="7" t="s">
        <v>2097</v>
      </c>
      <c r="H1328" s="9" t="n">
        <v>3675</v>
      </c>
      <c r="I1328" s="9" t="n">
        <v>1210.47</v>
      </c>
      <c r="J1328" s="9" t="n">
        <v>3631.4</v>
      </c>
      <c r="K1328" s="52" t="n">
        <v>3631.4</v>
      </c>
      <c r="L1328" s="58" t="n">
        <v>25.1</v>
      </c>
      <c r="M1328" s="59" t="n">
        <v>42.9</v>
      </c>
      <c r="N1328" s="9" t="n">
        <v>96.45142</v>
      </c>
      <c r="O1328" s="8" t="n">
        <v>5.28</v>
      </c>
      <c r="P1328" s="9" t="n">
        <v>43.6</v>
      </c>
      <c r="Q1328" s="7" t="s">
        <v>2098</v>
      </c>
      <c r="R1328" s="7" t="s">
        <v>2099</v>
      </c>
      <c r="S1328" s="58" t="n">
        <v>0.5</v>
      </c>
      <c r="T1328" s="9" t="n">
        <v>1</v>
      </c>
      <c r="U1328" s="56" t="n">
        <f aca="false">I1328*O1328</f>
        <v>6391.2816</v>
      </c>
      <c r="V1328" s="56" t="n">
        <f aca="false">J1328*O1328</f>
        <v>19173.792</v>
      </c>
      <c r="W1328" s="56" t="n">
        <f aca="false">((I1328+J1328)/2)*O1328</f>
        <v>12782.5368</v>
      </c>
      <c r="X1328" s="56" t="n">
        <f aca="false">H1328*O1328</f>
        <v>19404</v>
      </c>
    </row>
    <row r="1329" customFormat="false" ht="22.35" hidden="false" customHeight="false" outlineLevel="0" collapsed="false">
      <c r="A1329" s="76" t="s">
        <v>2063</v>
      </c>
      <c r="B1329" s="49" t="s">
        <v>3950</v>
      </c>
      <c r="C1329" s="49" t="s">
        <v>3951</v>
      </c>
      <c r="D1329" s="49" t="s">
        <v>2101</v>
      </c>
      <c r="E1329" s="57" t="s">
        <v>2102</v>
      </c>
      <c r="F1329" s="49" t="s">
        <v>2097</v>
      </c>
      <c r="G1329" s="49" t="s">
        <v>2097</v>
      </c>
      <c r="H1329" s="51" t="n">
        <v>1696</v>
      </c>
      <c r="I1329" s="51" t="n">
        <v>685.5</v>
      </c>
      <c r="J1329" s="51" t="n">
        <v>2056.51</v>
      </c>
      <c r="K1329" s="52" t="n">
        <v>3528</v>
      </c>
      <c r="L1329" s="53" t="n">
        <v>29.8</v>
      </c>
      <c r="M1329" s="54" t="n">
        <v>70</v>
      </c>
      <c r="N1329" s="51" t="n">
        <v>46.00695</v>
      </c>
      <c r="O1329" s="55" t="n">
        <v>7.21</v>
      </c>
      <c r="P1329" s="51" t="n">
        <v>-360.51</v>
      </c>
      <c r="Q1329" s="49" t="s">
        <v>2103</v>
      </c>
      <c r="R1329" s="49" t="s">
        <v>2099</v>
      </c>
      <c r="S1329" s="53" t="n">
        <v>0.5</v>
      </c>
      <c r="T1329" s="51" t="n">
        <v>1764</v>
      </c>
      <c r="U1329" s="56" t="n">
        <f aca="false">I1329*O1329</f>
        <v>4942.455</v>
      </c>
      <c r="V1329" s="56" t="n">
        <f aca="false">J1329*O1329</f>
        <v>14827.4371</v>
      </c>
      <c r="W1329" s="56" t="n">
        <f aca="false">((I1329+J1329)/2)*O1329</f>
        <v>9884.94605</v>
      </c>
      <c r="X1329" s="56" t="n">
        <f aca="false">H1329*O1329</f>
        <v>12228.16</v>
      </c>
    </row>
    <row r="1330" customFormat="false" ht="22.35" hidden="false" customHeight="false" outlineLevel="0" collapsed="false">
      <c r="A1330" s="76" t="s">
        <v>2063</v>
      </c>
      <c r="B1330" s="7" t="s">
        <v>3952</v>
      </c>
      <c r="C1330" s="7" t="s">
        <v>2473</v>
      </c>
      <c r="D1330" s="7" t="s">
        <v>2101</v>
      </c>
      <c r="E1330" s="57" t="s">
        <v>2102</v>
      </c>
      <c r="F1330" s="7" t="s">
        <v>2097</v>
      </c>
      <c r="G1330" s="7" t="s">
        <v>2097</v>
      </c>
      <c r="H1330" s="9" t="n">
        <v>827</v>
      </c>
      <c r="I1330" s="9" t="n">
        <v>454.45</v>
      </c>
      <c r="J1330" s="9" t="n">
        <v>1363.36</v>
      </c>
      <c r="K1330" s="52" t="n">
        <v>1800</v>
      </c>
      <c r="L1330" s="58" t="n">
        <v>36.3</v>
      </c>
      <c r="M1330" s="59" t="n">
        <v>73.3</v>
      </c>
      <c r="N1330" s="9" t="n">
        <v>25.038836</v>
      </c>
      <c r="O1330" s="8" t="n">
        <v>1.98</v>
      </c>
      <c r="P1330" s="9" t="n">
        <v>-536.36</v>
      </c>
      <c r="Q1330" s="7" t="s">
        <v>2103</v>
      </c>
      <c r="R1330" s="7" t="s">
        <v>2099</v>
      </c>
      <c r="S1330" s="58" t="n">
        <v>0.5</v>
      </c>
      <c r="T1330" s="9" t="n">
        <v>450</v>
      </c>
      <c r="U1330" s="56" t="n">
        <f aca="false">I1330*O1330</f>
        <v>899.811</v>
      </c>
      <c r="V1330" s="56" t="n">
        <f aca="false">J1330*O1330</f>
        <v>2699.4528</v>
      </c>
      <c r="W1330" s="56" t="n">
        <f aca="false">((I1330+J1330)/2)*O1330</f>
        <v>1799.6319</v>
      </c>
      <c r="X1330" s="56" t="n">
        <f aca="false">H1330*O1330</f>
        <v>1637.46</v>
      </c>
    </row>
    <row r="1331" customFormat="false" ht="22.35" hidden="false" customHeight="false" outlineLevel="0" collapsed="false">
      <c r="A1331" s="76" t="s">
        <v>2063</v>
      </c>
      <c r="B1331" s="49" t="s">
        <v>3953</v>
      </c>
      <c r="C1331" s="49" t="s">
        <v>2005</v>
      </c>
      <c r="D1331" s="49" t="s">
        <v>2101</v>
      </c>
      <c r="E1331" s="57" t="s">
        <v>2102</v>
      </c>
      <c r="F1331" s="49" t="s">
        <v>2097</v>
      </c>
      <c r="G1331" s="49" t="s">
        <v>2097</v>
      </c>
      <c r="H1331" s="51" t="n">
        <v>2875</v>
      </c>
      <c r="I1331" s="51" t="n">
        <v>1631.15</v>
      </c>
      <c r="J1331" s="51" t="n">
        <v>4893.45</v>
      </c>
      <c r="K1331" s="52" t="n">
        <v>4950</v>
      </c>
      <c r="L1331" s="53" t="n">
        <v>37.5</v>
      </c>
      <c r="M1331" s="54" t="n">
        <v>66.7</v>
      </c>
      <c r="N1331" s="51" t="n">
        <v>86.994604</v>
      </c>
      <c r="O1331" s="55" t="n">
        <v>2.9</v>
      </c>
      <c r="P1331" s="51" t="n">
        <v>-2018.45</v>
      </c>
      <c r="Q1331" s="49" t="s">
        <v>2103</v>
      </c>
      <c r="R1331" s="49" t="s">
        <v>2099</v>
      </c>
      <c r="S1331" s="53" t="n">
        <v>0.5</v>
      </c>
      <c r="T1331" s="51" t="n">
        <v>450</v>
      </c>
      <c r="U1331" s="56" t="n">
        <f aca="false">I1331*O1331</f>
        <v>4730.335</v>
      </c>
      <c r="V1331" s="56" t="n">
        <f aca="false">J1331*O1331</f>
        <v>14191.005</v>
      </c>
      <c r="W1331" s="56" t="n">
        <f aca="false">((I1331+J1331)/2)*O1331</f>
        <v>9460.67</v>
      </c>
      <c r="X1331" s="56" t="n">
        <f aca="false">H1331*O1331</f>
        <v>8337.5</v>
      </c>
    </row>
    <row r="1332" customFormat="false" ht="15" hidden="false" customHeight="false" outlineLevel="0" collapsed="false">
      <c r="A1332" s="76" t="s">
        <v>2063</v>
      </c>
      <c r="B1332" s="7" t="s">
        <v>3954</v>
      </c>
      <c r="C1332" s="7" t="s">
        <v>3955</v>
      </c>
      <c r="D1332" s="7" t="s">
        <v>2101</v>
      </c>
      <c r="E1332" s="50" t="s">
        <v>2096</v>
      </c>
      <c r="F1332" s="7" t="s">
        <v>2097</v>
      </c>
      <c r="G1332" s="7" t="s">
        <v>2097</v>
      </c>
      <c r="H1332" s="9" t="n">
        <v>7775</v>
      </c>
      <c r="I1332" s="9" t="n">
        <v>406.31</v>
      </c>
      <c r="J1332" s="9" t="n">
        <v>1218.94</v>
      </c>
      <c r="K1332" s="52" t="n">
        <v>3300</v>
      </c>
      <c r="L1332" s="58" t="n">
        <v>19.4</v>
      </c>
      <c r="M1332" s="59" t="n">
        <v>73.7</v>
      </c>
      <c r="N1332" s="9" t="n">
        <v>41.88789</v>
      </c>
      <c r="O1332" s="8" t="n">
        <v>2.41</v>
      </c>
      <c r="P1332" s="9" t="n">
        <v>6556.06</v>
      </c>
      <c r="Q1332" s="7" t="s">
        <v>2098</v>
      </c>
      <c r="R1332" s="7" t="s">
        <v>2099</v>
      </c>
      <c r="S1332" s="58" t="n">
        <v>0.5</v>
      </c>
      <c r="T1332" s="9" t="n">
        <v>3300</v>
      </c>
      <c r="U1332" s="56" t="n">
        <f aca="false">I1332*O1332</f>
        <v>979.2071</v>
      </c>
      <c r="V1332" s="56" t="n">
        <f aca="false">J1332*O1332</f>
        <v>2937.6454</v>
      </c>
      <c r="W1332" s="56" t="n">
        <f aca="false">((I1332+J1332)/2)*O1332</f>
        <v>1958.42625</v>
      </c>
      <c r="X1332" s="56" t="n">
        <f aca="false">H1332*O1332</f>
        <v>18737.75</v>
      </c>
    </row>
    <row r="1333" customFormat="false" ht="32.8" hidden="false" customHeight="false" outlineLevel="0" collapsed="false">
      <c r="A1333" s="76" t="s">
        <v>2063</v>
      </c>
      <c r="B1333" s="62" t="s">
        <v>3956</v>
      </c>
      <c r="C1333" s="62" t="s">
        <v>2473</v>
      </c>
      <c r="D1333" s="62" t="s">
        <v>2101</v>
      </c>
      <c r="E1333" s="78" t="s">
        <v>3474</v>
      </c>
      <c r="F1333" s="64" t="s">
        <v>2170</v>
      </c>
      <c r="G1333" s="62" t="s">
        <v>2097</v>
      </c>
      <c r="H1333" s="65" t="n">
        <v>208</v>
      </c>
      <c r="I1333" s="65" t="n">
        <v>101.59</v>
      </c>
      <c r="J1333" s="65" t="n">
        <v>304.78</v>
      </c>
      <c r="K1333" s="66" t="n">
        <v>463</v>
      </c>
      <c r="L1333" s="67" t="n">
        <v>20.5</v>
      </c>
      <c r="M1333" s="68" t="n">
        <v>63.2</v>
      </c>
      <c r="N1333" s="65" t="n">
        <v>10.453786</v>
      </c>
      <c r="O1333" s="69" t="n">
        <v>5.4497</v>
      </c>
      <c r="P1333" s="65" t="n">
        <v>-96.78</v>
      </c>
      <c r="Q1333" s="62" t="s">
        <v>2103</v>
      </c>
      <c r="R1333" s="62" t="s">
        <v>3680</v>
      </c>
      <c r="S1333" s="67" t="n">
        <v>0.5</v>
      </c>
      <c r="T1333" s="65" t="n">
        <v>463</v>
      </c>
      <c r="U1333" s="56" t="n">
        <f aca="false">I1333*O1333</f>
        <v>553.635023</v>
      </c>
      <c r="V1333" s="56" t="n">
        <f aca="false">J1333*O1333</f>
        <v>1660.959566</v>
      </c>
      <c r="W1333" s="56" t="n">
        <f aca="false">((I1333+J1333)/2)*O1333</f>
        <v>1107.2972945</v>
      </c>
      <c r="X1333" s="56" t="n">
        <f aca="false">H1333*O1333</f>
        <v>1133.5376</v>
      </c>
    </row>
    <row r="1334" customFormat="false" ht="22.35" hidden="false" customHeight="false" outlineLevel="0" collapsed="false">
      <c r="A1334" s="76" t="s">
        <v>2063</v>
      </c>
      <c r="B1334" s="7" t="s">
        <v>3957</v>
      </c>
      <c r="C1334" s="7" t="s">
        <v>1763</v>
      </c>
      <c r="D1334" s="7" t="s">
        <v>2101</v>
      </c>
      <c r="E1334" s="57" t="s">
        <v>2102</v>
      </c>
      <c r="F1334" s="7" t="s">
        <v>2097</v>
      </c>
      <c r="G1334" s="7" t="s">
        <v>2097</v>
      </c>
      <c r="H1334" s="9" t="n">
        <v>564</v>
      </c>
      <c r="I1334" s="9" t="n">
        <v>224.85</v>
      </c>
      <c r="J1334" s="9" t="n">
        <v>674.55</v>
      </c>
      <c r="K1334" s="52" t="n">
        <v>820</v>
      </c>
      <c r="L1334" s="58" t="n">
        <v>17.1</v>
      </c>
      <c r="M1334" s="59" t="n">
        <v>66.7</v>
      </c>
      <c r="N1334" s="9" t="n">
        <v>26.298336</v>
      </c>
      <c r="O1334" s="8" t="n">
        <v>1.7106</v>
      </c>
      <c r="P1334" s="9" t="n">
        <v>-110.55</v>
      </c>
      <c r="Q1334" s="7" t="s">
        <v>2103</v>
      </c>
      <c r="R1334" s="7" t="s">
        <v>2099</v>
      </c>
      <c r="S1334" s="58" t="n">
        <v>0.5</v>
      </c>
      <c r="T1334" s="9" t="n">
        <v>410</v>
      </c>
      <c r="U1334" s="56" t="n">
        <f aca="false">I1334*O1334</f>
        <v>384.62841</v>
      </c>
      <c r="V1334" s="56" t="n">
        <f aca="false">J1334*O1334</f>
        <v>1153.88523</v>
      </c>
      <c r="W1334" s="56" t="n">
        <f aca="false">((I1334+J1334)/2)*O1334</f>
        <v>769.25682</v>
      </c>
      <c r="X1334" s="56" t="n">
        <f aca="false">H1334*O1334</f>
        <v>964.7784</v>
      </c>
    </row>
    <row r="1335" customFormat="false" ht="22.35" hidden="false" customHeight="false" outlineLevel="0" collapsed="false">
      <c r="A1335" s="76" t="s">
        <v>2063</v>
      </c>
      <c r="B1335" s="49" t="s">
        <v>3958</v>
      </c>
      <c r="C1335" s="49" t="s">
        <v>3959</v>
      </c>
      <c r="D1335" s="49" t="s">
        <v>2101</v>
      </c>
      <c r="E1335" s="57" t="s">
        <v>2102</v>
      </c>
      <c r="F1335" s="49" t="s">
        <v>2097</v>
      </c>
      <c r="G1335" s="49" t="s">
        <v>2097</v>
      </c>
      <c r="H1335" s="51" t="n">
        <v>2128</v>
      </c>
      <c r="I1335" s="51" t="n">
        <v>2358.48</v>
      </c>
      <c r="J1335" s="51" t="n">
        <v>7075.45</v>
      </c>
      <c r="K1335" s="52" t="n">
        <v>7075.45</v>
      </c>
      <c r="L1335" s="53" t="n">
        <v>43.7</v>
      </c>
      <c r="M1335" s="54" t="n">
        <v>41.7</v>
      </c>
      <c r="N1335" s="51" t="n">
        <v>107.939726</v>
      </c>
      <c r="O1335" s="55" t="n">
        <v>2.1566</v>
      </c>
      <c r="P1335" s="51" t="n">
        <v>-4947.45</v>
      </c>
      <c r="Q1335" s="49" t="s">
        <v>2103</v>
      </c>
      <c r="R1335" s="49" t="s">
        <v>2099</v>
      </c>
      <c r="S1335" s="53" t="n">
        <v>0.5</v>
      </c>
      <c r="T1335" s="51" t="n">
        <v>1</v>
      </c>
      <c r="U1335" s="56" t="n">
        <f aca="false">I1335*O1335</f>
        <v>5086.297968</v>
      </c>
      <c r="V1335" s="56" t="n">
        <f aca="false">J1335*O1335</f>
        <v>15258.91547</v>
      </c>
      <c r="W1335" s="56" t="n">
        <f aca="false">((I1335+J1335)/2)*O1335</f>
        <v>10172.606719</v>
      </c>
      <c r="X1335" s="56" t="n">
        <f aca="false">H1335*O1335</f>
        <v>4589.2448</v>
      </c>
    </row>
    <row r="1336" customFormat="false" ht="22.35" hidden="false" customHeight="false" outlineLevel="0" collapsed="false">
      <c r="A1336" s="76" t="s">
        <v>2063</v>
      </c>
      <c r="B1336" s="7" t="s">
        <v>2504</v>
      </c>
      <c r="C1336" s="7" t="s">
        <v>2495</v>
      </c>
      <c r="D1336" s="7" t="s">
        <v>2095</v>
      </c>
      <c r="E1336" s="61" t="s">
        <v>2113</v>
      </c>
      <c r="F1336" s="7" t="s">
        <v>2097</v>
      </c>
      <c r="G1336" s="7" t="s">
        <v>2097</v>
      </c>
      <c r="H1336" s="9" t="n">
        <v>2427</v>
      </c>
      <c r="I1336" s="9" t="n">
        <v>3590.09</v>
      </c>
      <c r="J1336" s="9" t="n">
        <v>7180.18</v>
      </c>
      <c r="K1336" s="52" t="n">
        <v>7180.18</v>
      </c>
      <c r="L1336" s="58" t="n">
        <v>35.6</v>
      </c>
      <c r="M1336" s="59" t="n">
        <v>79.2</v>
      </c>
      <c r="N1336" s="9" t="n">
        <v>100.845235</v>
      </c>
      <c r="O1336" s="8" t="n">
        <v>1.828</v>
      </c>
      <c r="P1336" s="9" t="n">
        <v>-4753.18</v>
      </c>
      <c r="Q1336" s="7" t="s">
        <v>2103</v>
      </c>
      <c r="R1336" s="7" t="s">
        <v>2099</v>
      </c>
      <c r="S1336" s="58" t="n">
        <v>1</v>
      </c>
      <c r="T1336" s="9" t="n">
        <v>1</v>
      </c>
      <c r="U1336" s="56" t="n">
        <f aca="false">I1336*O1336</f>
        <v>6562.68452</v>
      </c>
      <c r="V1336" s="56" t="n">
        <f aca="false">J1336*O1336</f>
        <v>13125.36904</v>
      </c>
      <c r="W1336" s="56" t="n">
        <f aca="false">((I1336+J1336)/2)*O1336</f>
        <v>9844.02678</v>
      </c>
      <c r="X1336" s="56" t="n">
        <f aca="false">H1336*O1336</f>
        <v>4436.556</v>
      </c>
    </row>
    <row r="1337" customFormat="false" ht="22.35" hidden="false" customHeight="false" outlineLevel="0" collapsed="false">
      <c r="A1337" s="76" t="s">
        <v>2063</v>
      </c>
      <c r="B1337" s="49" t="s">
        <v>3960</v>
      </c>
      <c r="C1337" s="49" t="s">
        <v>3961</v>
      </c>
      <c r="D1337" s="49" t="s">
        <v>2570</v>
      </c>
      <c r="E1337" s="77" t="s">
        <v>2571</v>
      </c>
      <c r="F1337" s="49" t="s">
        <v>2097</v>
      </c>
      <c r="G1337" s="49" t="s">
        <v>2097</v>
      </c>
      <c r="H1337" s="51" t="n">
        <v>16</v>
      </c>
      <c r="I1337" s="51" t="n">
        <v>0</v>
      </c>
      <c r="J1337" s="51" t="n">
        <v>0</v>
      </c>
      <c r="K1337" s="52" t="n">
        <v>0</v>
      </c>
      <c r="L1337" s="53" t="n">
        <v>26.1</v>
      </c>
      <c r="M1337" s="54"/>
      <c r="N1337" s="51" t="n">
        <v>0.145205</v>
      </c>
      <c r="O1337" s="55" t="n">
        <v>0</v>
      </c>
      <c r="P1337" s="51" t="n">
        <v>16</v>
      </c>
      <c r="Q1337" s="49" t="s">
        <v>2098</v>
      </c>
      <c r="R1337" s="49" t="s">
        <v>2572</v>
      </c>
      <c r="S1337" s="53" t="n">
        <v>0</v>
      </c>
      <c r="T1337" s="51" t="n">
        <v>1</v>
      </c>
      <c r="U1337" s="56" t="n">
        <f aca="false">I1337*O1337</f>
        <v>0</v>
      </c>
      <c r="V1337" s="56" t="n">
        <f aca="false">J1337*O1337</f>
        <v>0</v>
      </c>
      <c r="W1337" s="56" t="n">
        <f aca="false">((I1337+J1337)/2)*O1337</f>
        <v>0</v>
      </c>
      <c r="X1337" s="56" t="n">
        <f aca="false">H1337*O1337</f>
        <v>0</v>
      </c>
    </row>
    <row r="1338" customFormat="false" ht="22.35" hidden="false" customHeight="false" outlineLevel="0" collapsed="false">
      <c r="A1338" s="76" t="s">
        <v>2063</v>
      </c>
      <c r="B1338" s="7" t="s">
        <v>3962</v>
      </c>
      <c r="C1338" s="7" t="s">
        <v>3963</v>
      </c>
      <c r="D1338" s="7" t="s">
        <v>2570</v>
      </c>
      <c r="E1338" s="77" t="s">
        <v>2571</v>
      </c>
      <c r="F1338" s="7" t="s">
        <v>2097</v>
      </c>
      <c r="G1338" s="7" t="s">
        <v>2097</v>
      </c>
      <c r="H1338" s="9" t="n">
        <v>64</v>
      </c>
      <c r="I1338" s="9" t="n">
        <v>0</v>
      </c>
      <c r="J1338" s="9" t="n">
        <v>0</v>
      </c>
      <c r="K1338" s="52" t="n">
        <v>0</v>
      </c>
      <c r="L1338" s="58" t="n">
        <v>26.1</v>
      </c>
      <c r="M1338" s="59"/>
      <c r="N1338" s="9" t="n">
        <v>0.553425</v>
      </c>
      <c r="O1338" s="8" t="n">
        <v>0</v>
      </c>
      <c r="P1338" s="9" t="n">
        <v>64</v>
      </c>
      <c r="Q1338" s="7" t="s">
        <v>2098</v>
      </c>
      <c r="R1338" s="7" t="s">
        <v>2572</v>
      </c>
      <c r="S1338" s="58" t="n">
        <v>0</v>
      </c>
      <c r="T1338" s="9" t="n">
        <v>1</v>
      </c>
      <c r="U1338" s="56" t="n">
        <f aca="false">I1338*O1338</f>
        <v>0</v>
      </c>
      <c r="V1338" s="56" t="n">
        <f aca="false">J1338*O1338</f>
        <v>0</v>
      </c>
      <c r="W1338" s="56" t="n">
        <f aca="false">((I1338+J1338)/2)*O1338</f>
        <v>0</v>
      </c>
      <c r="X1338" s="56" t="n">
        <f aca="false">H1338*O1338</f>
        <v>0</v>
      </c>
    </row>
    <row r="1339" customFormat="false" ht="22.35" hidden="false" customHeight="false" outlineLevel="0" collapsed="false">
      <c r="A1339" s="76" t="s">
        <v>2063</v>
      </c>
      <c r="B1339" s="49" t="s">
        <v>3964</v>
      </c>
      <c r="C1339" s="49" t="s">
        <v>3965</v>
      </c>
      <c r="D1339" s="49" t="s">
        <v>2570</v>
      </c>
      <c r="E1339" s="77" t="s">
        <v>2571</v>
      </c>
      <c r="F1339" s="49" t="s">
        <v>2097</v>
      </c>
      <c r="G1339" s="49" t="s">
        <v>2097</v>
      </c>
      <c r="H1339" s="51" t="n">
        <v>36</v>
      </c>
      <c r="I1339" s="51" t="n">
        <v>0</v>
      </c>
      <c r="J1339" s="51" t="n">
        <v>0</v>
      </c>
      <c r="K1339" s="52" t="n">
        <v>0</v>
      </c>
      <c r="L1339" s="53" t="n">
        <v>26.1</v>
      </c>
      <c r="M1339" s="54"/>
      <c r="N1339" s="51" t="n">
        <v>0.49863</v>
      </c>
      <c r="O1339" s="55" t="n">
        <v>0</v>
      </c>
      <c r="P1339" s="51" t="n">
        <v>36</v>
      </c>
      <c r="Q1339" s="49" t="s">
        <v>2098</v>
      </c>
      <c r="R1339" s="49" t="s">
        <v>2572</v>
      </c>
      <c r="S1339" s="53" t="n">
        <v>0</v>
      </c>
      <c r="T1339" s="51" t="n">
        <v>1</v>
      </c>
      <c r="U1339" s="56" t="n">
        <f aca="false">I1339*O1339</f>
        <v>0</v>
      </c>
      <c r="V1339" s="56" t="n">
        <f aca="false">J1339*O1339</f>
        <v>0</v>
      </c>
      <c r="W1339" s="56" t="n">
        <f aca="false">((I1339+J1339)/2)*O1339</f>
        <v>0</v>
      </c>
      <c r="X1339" s="56" t="n">
        <f aca="false">H1339*O1339</f>
        <v>0</v>
      </c>
    </row>
    <row r="1340" customFormat="false" ht="22.35" hidden="false" customHeight="false" outlineLevel="0" collapsed="false">
      <c r="A1340" s="76" t="s">
        <v>2063</v>
      </c>
      <c r="B1340" s="7" t="s">
        <v>3966</v>
      </c>
      <c r="C1340" s="7" t="s">
        <v>3967</v>
      </c>
      <c r="D1340" s="7" t="s">
        <v>2570</v>
      </c>
      <c r="E1340" s="77" t="s">
        <v>2571</v>
      </c>
      <c r="F1340" s="7" t="s">
        <v>2097</v>
      </c>
      <c r="G1340" s="7" t="s">
        <v>2097</v>
      </c>
      <c r="H1340" s="9" t="n">
        <v>54</v>
      </c>
      <c r="I1340" s="9" t="n">
        <v>0</v>
      </c>
      <c r="J1340" s="9" t="n">
        <v>0</v>
      </c>
      <c r="K1340" s="52" t="n">
        <v>0</v>
      </c>
      <c r="L1340" s="58" t="n">
        <v>26.1</v>
      </c>
      <c r="M1340" s="59"/>
      <c r="N1340" s="9" t="n">
        <v>0.510959</v>
      </c>
      <c r="O1340" s="8" t="n">
        <v>0</v>
      </c>
      <c r="P1340" s="9" t="n">
        <v>54</v>
      </c>
      <c r="Q1340" s="7" t="s">
        <v>2098</v>
      </c>
      <c r="R1340" s="7" t="s">
        <v>2572</v>
      </c>
      <c r="S1340" s="58" t="n">
        <v>0</v>
      </c>
      <c r="T1340" s="9" t="n">
        <v>1</v>
      </c>
      <c r="U1340" s="56" t="n">
        <f aca="false">I1340*O1340</f>
        <v>0</v>
      </c>
      <c r="V1340" s="56" t="n">
        <f aca="false">J1340*O1340</f>
        <v>0</v>
      </c>
      <c r="W1340" s="56" t="n">
        <f aca="false">((I1340+J1340)/2)*O1340</f>
        <v>0</v>
      </c>
      <c r="X1340" s="56" t="n">
        <f aca="false">H1340*O1340</f>
        <v>0</v>
      </c>
    </row>
    <row r="1341" customFormat="false" ht="22.35" hidden="false" customHeight="false" outlineLevel="0" collapsed="false">
      <c r="A1341" s="76" t="s">
        <v>2063</v>
      </c>
      <c r="B1341" s="49" t="s">
        <v>3968</v>
      </c>
      <c r="C1341" s="49" t="s">
        <v>3969</v>
      </c>
      <c r="D1341" s="49" t="s">
        <v>2570</v>
      </c>
      <c r="E1341" s="77" t="s">
        <v>2571</v>
      </c>
      <c r="F1341" s="49" t="s">
        <v>2097</v>
      </c>
      <c r="G1341" s="49" t="s">
        <v>2097</v>
      </c>
      <c r="H1341" s="51" t="n">
        <v>72</v>
      </c>
      <c r="I1341" s="51" t="n">
        <v>0</v>
      </c>
      <c r="J1341" s="51" t="n">
        <v>0</v>
      </c>
      <c r="K1341" s="52" t="n">
        <v>0</v>
      </c>
      <c r="L1341" s="53" t="n">
        <v>26.1</v>
      </c>
      <c r="M1341" s="54"/>
      <c r="N1341" s="51" t="n">
        <v>0.926027</v>
      </c>
      <c r="O1341" s="55" t="n">
        <v>0</v>
      </c>
      <c r="P1341" s="51" t="n">
        <v>72</v>
      </c>
      <c r="Q1341" s="49" t="s">
        <v>2098</v>
      </c>
      <c r="R1341" s="49" t="s">
        <v>2572</v>
      </c>
      <c r="S1341" s="53" t="n">
        <v>0</v>
      </c>
      <c r="T1341" s="51" t="n">
        <v>1</v>
      </c>
      <c r="U1341" s="56" t="n">
        <f aca="false">I1341*O1341</f>
        <v>0</v>
      </c>
      <c r="V1341" s="56" t="n">
        <f aca="false">J1341*O1341</f>
        <v>0</v>
      </c>
      <c r="W1341" s="56" t="n">
        <f aca="false">((I1341+J1341)/2)*O1341</f>
        <v>0</v>
      </c>
      <c r="X1341" s="56" t="n">
        <f aca="false">H1341*O1341</f>
        <v>0</v>
      </c>
    </row>
    <row r="1342" customFormat="false" ht="22.35" hidden="false" customHeight="false" outlineLevel="0" collapsed="false">
      <c r="A1342" s="76" t="s">
        <v>2063</v>
      </c>
      <c r="B1342" s="7" t="s">
        <v>3970</v>
      </c>
      <c r="C1342" s="7" t="s">
        <v>3971</v>
      </c>
      <c r="D1342" s="7" t="s">
        <v>2570</v>
      </c>
      <c r="E1342" s="77" t="s">
        <v>2571</v>
      </c>
      <c r="F1342" s="7" t="s">
        <v>2097</v>
      </c>
      <c r="G1342" s="7" t="s">
        <v>2097</v>
      </c>
      <c r="H1342" s="9" t="n">
        <v>144</v>
      </c>
      <c r="I1342" s="9" t="n">
        <v>0</v>
      </c>
      <c r="J1342" s="9" t="n">
        <v>0</v>
      </c>
      <c r="K1342" s="52" t="n">
        <v>0</v>
      </c>
      <c r="L1342" s="58" t="n">
        <v>26.1</v>
      </c>
      <c r="M1342" s="59"/>
      <c r="N1342" s="9" t="n">
        <v>2.008219</v>
      </c>
      <c r="O1342" s="8" t="n">
        <v>0</v>
      </c>
      <c r="P1342" s="9" t="n">
        <v>144</v>
      </c>
      <c r="Q1342" s="7" t="s">
        <v>2098</v>
      </c>
      <c r="R1342" s="7" t="s">
        <v>2572</v>
      </c>
      <c r="S1342" s="58" t="n">
        <v>0</v>
      </c>
      <c r="T1342" s="9" t="n">
        <v>1</v>
      </c>
      <c r="U1342" s="56" t="n">
        <f aca="false">I1342*O1342</f>
        <v>0</v>
      </c>
      <c r="V1342" s="56" t="n">
        <f aca="false">J1342*O1342</f>
        <v>0</v>
      </c>
      <c r="W1342" s="56" t="n">
        <f aca="false">((I1342+J1342)/2)*O1342</f>
        <v>0</v>
      </c>
      <c r="X1342" s="56" t="n">
        <f aca="false">H1342*O1342</f>
        <v>0</v>
      </c>
    </row>
    <row r="1343" customFormat="false" ht="22.35" hidden="false" customHeight="false" outlineLevel="0" collapsed="false">
      <c r="A1343" s="76" t="s">
        <v>2063</v>
      </c>
      <c r="B1343" s="49" t="s">
        <v>3972</v>
      </c>
      <c r="C1343" s="49" t="s">
        <v>3971</v>
      </c>
      <c r="D1343" s="49" t="s">
        <v>2570</v>
      </c>
      <c r="E1343" s="77" t="s">
        <v>2571</v>
      </c>
      <c r="F1343" s="49" t="s">
        <v>2097</v>
      </c>
      <c r="G1343" s="49" t="s">
        <v>2097</v>
      </c>
      <c r="H1343" s="51" t="n">
        <v>12</v>
      </c>
      <c r="I1343" s="51" t="n">
        <v>0</v>
      </c>
      <c r="J1343" s="51" t="n">
        <v>0</v>
      </c>
      <c r="K1343" s="52" t="n">
        <v>0</v>
      </c>
      <c r="L1343" s="53" t="n">
        <v>26.1</v>
      </c>
      <c r="M1343" s="54"/>
      <c r="N1343" s="51" t="n">
        <v>0.2</v>
      </c>
      <c r="O1343" s="55" t="n">
        <v>0</v>
      </c>
      <c r="P1343" s="51" t="n">
        <v>12</v>
      </c>
      <c r="Q1343" s="49" t="s">
        <v>2098</v>
      </c>
      <c r="R1343" s="49" t="s">
        <v>2572</v>
      </c>
      <c r="S1343" s="53" t="n">
        <v>0</v>
      </c>
      <c r="T1343" s="51" t="n">
        <v>1</v>
      </c>
      <c r="U1343" s="56" t="n">
        <f aca="false">I1343*O1343</f>
        <v>0</v>
      </c>
      <c r="V1343" s="56" t="n">
        <f aca="false">J1343*O1343</f>
        <v>0</v>
      </c>
      <c r="W1343" s="56" t="n">
        <f aca="false">((I1343+J1343)/2)*O1343</f>
        <v>0</v>
      </c>
      <c r="X1343" s="56" t="n">
        <f aca="false">H1343*O1343</f>
        <v>0</v>
      </c>
    </row>
    <row r="1344" customFormat="false" ht="22.35" hidden="false" customHeight="false" outlineLevel="0" collapsed="false">
      <c r="A1344" s="76" t="s">
        <v>2063</v>
      </c>
      <c r="B1344" s="7" t="s">
        <v>3973</v>
      </c>
      <c r="C1344" s="7" t="s">
        <v>3974</v>
      </c>
      <c r="D1344" s="7" t="s">
        <v>2570</v>
      </c>
      <c r="E1344" s="77" t="s">
        <v>2571</v>
      </c>
      <c r="F1344" s="7" t="s">
        <v>2097</v>
      </c>
      <c r="G1344" s="7" t="s">
        <v>2097</v>
      </c>
      <c r="H1344" s="9" t="n">
        <v>144</v>
      </c>
      <c r="I1344" s="9" t="n">
        <v>0</v>
      </c>
      <c r="J1344" s="9" t="n">
        <v>0</v>
      </c>
      <c r="K1344" s="52" t="n">
        <v>0</v>
      </c>
      <c r="L1344" s="58" t="n">
        <v>26.1</v>
      </c>
      <c r="M1344" s="59"/>
      <c r="N1344" s="9" t="n">
        <v>1.858904</v>
      </c>
      <c r="O1344" s="8" t="n">
        <v>0</v>
      </c>
      <c r="P1344" s="9" t="n">
        <v>144</v>
      </c>
      <c r="Q1344" s="7" t="s">
        <v>2098</v>
      </c>
      <c r="R1344" s="7" t="s">
        <v>2572</v>
      </c>
      <c r="S1344" s="58" t="n">
        <v>0</v>
      </c>
      <c r="T1344" s="9" t="n">
        <v>1</v>
      </c>
      <c r="U1344" s="56" t="n">
        <f aca="false">I1344*O1344</f>
        <v>0</v>
      </c>
      <c r="V1344" s="56" t="n">
        <f aca="false">J1344*O1344</f>
        <v>0</v>
      </c>
      <c r="W1344" s="56" t="n">
        <f aca="false">((I1344+J1344)/2)*O1344</f>
        <v>0</v>
      </c>
      <c r="X1344" s="56" t="n">
        <f aca="false">H1344*O1344</f>
        <v>0</v>
      </c>
    </row>
    <row r="1345" customFormat="false" ht="22.35" hidden="false" customHeight="false" outlineLevel="0" collapsed="false">
      <c r="A1345" s="76" t="s">
        <v>2063</v>
      </c>
      <c r="B1345" s="49" t="s">
        <v>3975</v>
      </c>
      <c r="C1345" s="49" t="s">
        <v>3976</v>
      </c>
      <c r="D1345" s="49" t="s">
        <v>2570</v>
      </c>
      <c r="E1345" s="77" t="s">
        <v>2571</v>
      </c>
      <c r="F1345" s="49" t="s">
        <v>2097</v>
      </c>
      <c r="G1345" s="49" t="s">
        <v>2097</v>
      </c>
      <c r="H1345" s="51" t="n">
        <v>288</v>
      </c>
      <c r="I1345" s="51" t="n">
        <v>0</v>
      </c>
      <c r="J1345" s="51" t="n">
        <v>0</v>
      </c>
      <c r="K1345" s="52" t="n">
        <v>0</v>
      </c>
      <c r="L1345" s="53" t="n">
        <v>26.1</v>
      </c>
      <c r="M1345" s="54"/>
      <c r="N1345" s="51" t="n">
        <v>2.643836</v>
      </c>
      <c r="O1345" s="55" t="n">
        <v>0</v>
      </c>
      <c r="P1345" s="51" t="n">
        <v>288</v>
      </c>
      <c r="Q1345" s="49" t="s">
        <v>2098</v>
      </c>
      <c r="R1345" s="49" t="s">
        <v>2572</v>
      </c>
      <c r="S1345" s="53" t="n">
        <v>0</v>
      </c>
      <c r="T1345" s="51" t="n">
        <v>1</v>
      </c>
      <c r="U1345" s="56" t="n">
        <f aca="false">I1345*O1345</f>
        <v>0</v>
      </c>
      <c r="V1345" s="56" t="n">
        <f aca="false">J1345*O1345</f>
        <v>0</v>
      </c>
      <c r="W1345" s="56" t="n">
        <f aca="false">((I1345+J1345)/2)*O1345</f>
        <v>0</v>
      </c>
      <c r="X1345" s="56" t="n">
        <f aca="false">H1345*O1345</f>
        <v>0</v>
      </c>
    </row>
    <row r="1346" customFormat="false" ht="22.35" hidden="false" customHeight="false" outlineLevel="0" collapsed="false">
      <c r="A1346" s="76" t="s">
        <v>2063</v>
      </c>
      <c r="B1346" s="7" t="s">
        <v>3977</v>
      </c>
      <c r="C1346" s="7" t="s">
        <v>3978</v>
      </c>
      <c r="D1346" s="7" t="s">
        <v>2570</v>
      </c>
      <c r="E1346" s="77" t="s">
        <v>2571</v>
      </c>
      <c r="F1346" s="7" t="s">
        <v>2097</v>
      </c>
      <c r="G1346" s="7" t="s">
        <v>2097</v>
      </c>
      <c r="H1346" s="9" t="n">
        <v>132</v>
      </c>
      <c r="I1346" s="9" t="n">
        <v>0</v>
      </c>
      <c r="J1346" s="9" t="n">
        <v>0</v>
      </c>
      <c r="K1346" s="52" t="n">
        <v>0</v>
      </c>
      <c r="L1346" s="58" t="n">
        <v>26.1</v>
      </c>
      <c r="M1346" s="59"/>
      <c r="N1346" s="9" t="n">
        <v>1.857534</v>
      </c>
      <c r="O1346" s="8" t="n">
        <v>0</v>
      </c>
      <c r="P1346" s="9" t="n">
        <v>132</v>
      </c>
      <c r="Q1346" s="7" t="s">
        <v>2098</v>
      </c>
      <c r="R1346" s="7" t="s">
        <v>2572</v>
      </c>
      <c r="S1346" s="58" t="n">
        <v>0</v>
      </c>
      <c r="T1346" s="9" t="n">
        <v>1</v>
      </c>
      <c r="U1346" s="56" t="n">
        <f aca="false">I1346*O1346</f>
        <v>0</v>
      </c>
      <c r="V1346" s="56" t="n">
        <f aca="false">J1346*O1346</f>
        <v>0</v>
      </c>
      <c r="W1346" s="56" t="n">
        <f aca="false">((I1346+J1346)/2)*O1346</f>
        <v>0</v>
      </c>
      <c r="X1346" s="56" t="n">
        <f aca="false">H1346*O1346</f>
        <v>0</v>
      </c>
    </row>
    <row r="1347" customFormat="false" ht="22.35" hidden="false" customHeight="false" outlineLevel="0" collapsed="false">
      <c r="A1347" s="76" t="s">
        <v>2063</v>
      </c>
      <c r="B1347" s="49" t="s">
        <v>3979</v>
      </c>
      <c r="C1347" s="49" t="s">
        <v>3980</v>
      </c>
      <c r="D1347" s="49" t="s">
        <v>2570</v>
      </c>
      <c r="E1347" s="77" t="s">
        <v>2571</v>
      </c>
      <c r="F1347" s="49" t="s">
        <v>2097</v>
      </c>
      <c r="G1347" s="49" t="s">
        <v>2097</v>
      </c>
      <c r="H1347" s="51" t="n">
        <v>160</v>
      </c>
      <c r="I1347" s="51" t="n">
        <v>0</v>
      </c>
      <c r="J1347" s="51" t="n">
        <v>0</v>
      </c>
      <c r="K1347" s="52" t="n">
        <v>0</v>
      </c>
      <c r="L1347" s="53" t="n">
        <v>7.4</v>
      </c>
      <c r="M1347" s="54" t="n">
        <v>100</v>
      </c>
      <c r="N1347" s="51" t="n">
        <v>0</v>
      </c>
      <c r="O1347" s="55" t="n">
        <v>0</v>
      </c>
      <c r="P1347" s="51" t="n">
        <v>160</v>
      </c>
      <c r="Q1347" s="49" t="s">
        <v>2098</v>
      </c>
      <c r="R1347" s="49" t="s">
        <v>2572</v>
      </c>
      <c r="S1347" s="53" t="n">
        <v>0</v>
      </c>
      <c r="T1347" s="51" t="n">
        <v>1</v>
      </c>
      <c r="U1347" s="56" t="n">
        <f aca="false">I1347*O1347</f>
        <v>0</v>
      </c>
      <c r="V1347" s="56" t="n">
        <f aca="false">J1347*O1347</f>
        <v>0</v>
      </c>
      <c r="W1347" s="56" t="n">
        <f aca="false">((I1347+J1347)/2)*O1347</f>
        <v>0</v>
      </c>
      <c r="X1347" s="56" t="n">
        <f aca="false">H1347*O1347</f>
        <v>0</v>
      </c>
    </row>
    <row r="1348" customFormat="false" ht="15" hidden="false" customHeight="false" outlineLevel="0" collapsed="false">
      <c r="A1348" s="76" t="s">
        <v>2063</v>
      </c>
      <c r="B1348" s="7" t="s">
        <v>3981</v>
      </c>
      <c r="C1348" s="7" t="s">
        <v>3982</v>
      </c>
      <c r="D1348" s="7" t="s">
        <v>2101</v>
      </c>
      <c r="E1348" s="50" t="s">
        <v>2096</v>
      </c>
      <c r="F1348" s="7" t="s">
        <v>2097</v>
      </c>
      <c r="G1348" s="7" t="s">
        <v>2097</v>
      </c>
      <c r="H1348" s="9" t="n">
        <v>170</v>
      </c>
      <c r="I1348" s="9" t="n">
        <v>43.28</v>
      </c>
      <c r="J1348" s="9" t="n">
        <v>129.85</v>
      </c>
      <c r="K1348" s="52" t="n">
        <v>342</v>
      </c>
      <c r="L1348" s="58" t="n">
        <v>13.5</v>
      </c>
      <c r="M1348" s="59" t="n">
        <v>88.2</v>
      </c>
      <c r="N1348" s="9" t="n">
        <v>6.412479</v>
      </c>
      <c r="O1348" s="8" t="n">
        <v>1.3</v>
      </c>
      <c r="P1348" s="9" t="n">
        <v>40.15</v>
      </c>
      <c r="Q1348" s="7" t="s">
        <v>2098</v>
      </c>
      <c r="R1348" s="7" t="s">
        <v>2099</v>
      </c>
      <c r="S1348" s="58" t="n">
        <v>0.5</v>
      </c>
      <c r="T1348" s="9" t="n">
        <v>342</v>
      </c>
      <c r="U1348" s="56" t="n">
        <f aca="false">I1348*O1348</f>
        <v>56.264</v>
      </c>
      <c r="V1348" s="56" t="n">
        <f aca="false">J1348*O1348</f>
        <v>168.805</v>
      </c>
      <c r="W1348" s="56" t="n">
        <f aca="false">((I1348+J1348)/2)*O1348</f>
        <v>112.5345</v>
      </c>
      <c r="X1348" s="56" t="n">
        <f aca="false">H1348*O1348</f>
        <v>221</v>
      </c>
    </row>
    <row r="1349" customFormat="false" ht="22.35" hidden="false" customHeight="false" outlineLevel="0" collapsed="false">
      <c r="A1349" s="76" t="s">
        <v>2063</v>
      </c>
      <c r="B1349" s="49" t="s">
        <v>3983</v>
      </c>
      <c r="C1349" s="49" t="s">
        <v>3984</v>
      </c>
      <c r="D1349" s="49" t="s">
        <v>2101</v>
      </c>
      <c r="E1349" s="57" t="s">
        <v>2102</v>
      </c>
      <c r="F1349" s="49" t="s">
        <v>2097</v>
      </c>
      <c r="G1349" s="49" t="s">
        <v>2097</v>
      </c>
      <c r="H1349" s="51" t="n">
        <v>95</v>
      </c>
      <c r="I1349" s="51" t="n">
        <v>46.54</v>
      </c>
      <c r="J1349" s="51" t="n">
        <v>139.62</v>
      </c>
      <c r="K1349" s="52" t="n">
        <v>418</v>
      </c>
      <c r="L1349" s="53" t="n">
        <v>24.8</v>
      </c>
      <c r="M1349" s="54" t="n">
        <v>12.5</v>
      </c>
      <c r="N1349" s="51" t="n">
        <v>3.753321</v>
      </c>
      <c r="O1349" s="55" t="n">
        <v>2.395</v>
      </c>
      <c r="P1349" s="51" t="n">
        <v>-44.62</v>
      </c>
      <c r="Q1349" s="49" t="s">
        <v>2103</v>
      </c>
      <c r="R1349" s="49" t="s">
        <v>2099</v>
      </c>
      <c r="S1349" s="53" t="n">
        <v>0.5</v>
      </c>
      <c r="T1349" s="51" t="n">
        <v>418</v>
      </c>
      <c r="U1349" s="56" t="n">
        <f aca="false">I1349*O1349</f>
        <v>111.4633</v>
      </c>
      <c r="V1349" s="56" t="n">
        <f aca="false">J1349*O1349</f>
        <v>334.3899</v>
      </c>
      <c r="W1349" s="56" t="n">
        <f aca="false">((I1349+J1349)/2)*O1349</f>
        <v>222.9266</v>
      </c>
      <c r="X1349" s="56" t="n">
        <f aca="false">H1349*O1349</f>
        <v>227.525</v>
      </c>
    </row>
    <row r="1350" customFormat="false" ht="32.8" hidden="false" customHeight="false" outlineLevel="0" collapsed="false">
      <c r="A1350" s="76" t="s">
        <v>2063</v>
      </c>
      <c r="B1350" s="62" t="s">
        <v>3985</v>
      </c>
      <c r="C1350" s="62" t="s">
        <v>3986</v>
      </c>
      <c r="D1350" s="62" t="s">
        <v>2101</v>
      </c>
      <c r="E1350" s="78" t="s">
        <v>3474</v>
      </c>
      <c r="F1350" s="64" t="s">
        <v>2170</v>
      </c>
      <c r="G1350" s="62" t="s">
        <v>2097</v>
      </c>
      <c r="H1350" s="65" t="n">
        <v>140</v>
      </c>
      <c r="I1350" s="65" t="n">
        <v>48.77</v>
      </c>
      <c r="J1350" s="65" t="n">
        <v>146.32</v>
      </c>
      <c r="K1350" s="66" t="n">
        <v>390</v>
      </c>
      <c r="L1350" s="67" t="n">
        <v>16.5</v>
      </c>
      <c r="M1350" s="68" t="n">
        <v>92.3</v>
      </c>
      <c r="N1350" s="65" t="n">
        <v>5.257019</v>
      </c>
      <c r="O1350" s="69" t="n">
        <v>1.65</v>
      </c>
      <c r="P1350" s="65" t="n">
        <v>-6.32</v>
      </c>
      <c r="Q1350" s="62" t="s">
        <v>2103</v>
      </c>
      <c r="R1350" s="62" t="s">
        <v>2369</v>
      </c>
      <c r="S1350" s="67" t="n">
        <v>0.5</v>
      </c>
      <c r="T1350" s="65" t="n">
        <v>390</v>
      </c>
      <c r="U1350" s="56" t="n">
        <f aca="false">I1350*O1350</f>
        <v>80.4705</v>
      </c>
      <c r="V1350" s="56" t="n">
        <f aca="false">J1350*O1350</f>
        <v>241.428</v>
      </c>
      <c r="W1350" s="56" t="n">
        <f aca="false">((I1350+J1350)/2)*O1350</f>
        <v>160.94925</v>
      </c>
      <c r="X1350" s="56" t="n">
        <f aca="false">H1350*O1350</f>
        <v>231</v>
      </c>
    </row>
    <row r="1351" customFormat="false" ht="22.35" hidden="false" customHeight="false" outlineLevel="0" collapsed="false">
      <c r="A1351" s="76" t="s">
        <v>2063</v>
      </c>
      <c r="B1351" s="49" t="s">
        <v>2509</v>
      </c>
      <c r="C1351" s="49" t="s">
        <v>2510</v>
      </c>
      <c r="D1351" s="49" t="s">
        <v>2109</v>
      </c>
      <c r="E1351" s="60" t="s">
        <v>2110</v>
      </c>
      <c r="F1351" s="49" t="s">
        <v>2097</v>
      </c>
      <c r="G1351" s="49" t="s">
        <v>2097</v>
      </c>
      <c r="H1351" s="51" t="n">
        <v>13284</v>
      </c>
      <c r="I1351" s="51" t="n">
        <v>23741.88</v>
      </c>
      <c r="J1351" s="51" t="n">
        <v>39569.8</v>
      </c>
      <c r="K1351" s="52" t="n">
        <v>40000</v>
      </c>
      <c r="L1351" s="53" t="n">
        <v>27.2</v>
      </c>
      <c r="M1351" s="54" t="n">
        <v>80.9</v>
      </c>
      <c r="N1351" s="51" t="n">
        <v>581.908743</v>
      </c>
      <c r="O1351" s="55" t="n">
        <v>0.72</v>
      </c>
      <c r="P1351" s="51" t="n">
        <v>-26285.8</v>
      </c>
      <c r="Q1351" s="49" t="s">
        <v>2103</v>
      </c>
      <c r="R1351" s="49" t="s">
        <v>2099</v>
      </c>
      <c r="S1351" s="53" t="n">
        <v>1.5</v>
      </c>
      <c r="T1351" s="51" t="n">
        <v>2500</v>
      </c>
      <c r="U1351" s="56" t="n">
        <f aca="false">I1351*O1351</f>
        <v>17094.1536</v>
      </c>
      <c r="V1351" s="56" t="n">
        <f aca="false">J1351*O1351</f>
        <v>28490.256</v>
      </c>
      <c r="W1351" s="56" t="n">
        <f aca="false">((I1351+J1351)/2)*O1351</f>
        <v>22792.2048</v>
      </c>
      <c r="X1351" s="56" t="n">
        <f aca="false">H1351*O1351</f>
        <v>9564.48</v>
      </c>
    </row>
    <row r="1352" customFormat="false" ht="22.35" hidden="false" customHeight="false" outlineLevel="0" collapsed="false">
      <c r="A1352" s="76" t="s">
        <v>2063</v>
      </c>
      <c r="B1352" s="7" t="s">
        <v>2512</v>
      </c>
      <c r="C1352" s="7" t="s">
        <v>2513</v>
      </c>
      <c r="D1352" s="7" t="s">
        <v>2095</v>
      </c>
      <c r="E1352" s="61" t="s">
        <v>2113</v>
      </c>
      <c r="F1352" s="7" t="s">
        <v>2097</v>
      </c>
      <c r="G1352" s="7" t="s">
        <v>2097</v>
      </c>
      <c r="H1352" s="9" t="n">
        <v>487</v>
      </c>
      <c r="I1352" s="9" t="n">
        <v>470.27</v>
      </c>
      <c r="J1352" s="9" t="n">
        <v>940.54</v>
      </c>
      <c r="K1352" s="52" t="n">
        <v>1230</v>
      </c>
      <c r="L1352" s="58" t="n">
        <v>22.4</v>
      </c>
      <c r="M1352" s="59" t="n">
        <v>82.1</v>
      </c>
      <c r="N1352" s="9" t="n">
        <v>20.994063</v>
      </c>
      <c r="O1352" s="8" t="n">
        <v>1.0633</v>
      </c>
      <c r="P1352" s="9" t="n">
        <v>-453.54</v>
      </c>
      <c r="Q1352" s="7" t="s">
        <v>2103</v>
      </c>
      <c r="R1352" s="7" t="s">
        <v>2099</v>
      </c>
      <c r="S1352" s="58" t="n">
        <v>1</v>
      </c>
      <c r="T1352" s="9" t="n">
        <v>410</v>
      </c>
      <c r="U1352" s="56" t="n">
        <f aca="false">I1352*O1352</f>
        <v>500.038091</v>
      </c>
      <c r="V1352" s="56" t="n">
        <f aca="false">J1352*O1352</f>
        <v>1000.076182</v>
      </c>
      <c r="W1352" s="56" t="n">
        <f aca="false">((I1352+J1352)/2)*O1352</f>
        <v>750.0571365</v>
      </c>
      <c r="X1352" s="56" t="n">
        <f aca="false">H1352*O1352</f>
        <v>517.8271</v>
      </c>
    </row>
    <row r="1353" customFormat="false" ht="22.35" hidden="false" customHeight="false" outlineLevel="0" collapsed="false">
      <c r="A1353" s="76" t="s">
        <v>2063</v>
      </c>
      <c r="B1353" s="4" t="s">
        <v>3987</v>
      </c>
      <c r="C1353" s="4" t="s">
        <v>3988</v>
      </c>
      <c r="D1353" s="4" t="s">
        <v>2101</v>
      </c>
      <c r="E1353" s="70" t="s">
        <v>2193</v>
      </c>
      <c r="F1353" s="4" t="s">
        <v>2097</v>
      </c>
      <c r="G1353" s="71" t="s">
        <v>2194</v>
      </c>
      <c r="H1353" s="6" t="n">
        <v>87</v>
      </c>
      <c r="I1353" s="6" t="n">
        <v>0</v>
      </c>
      <c r="J1353" s="6" t="n">
        <v>0</v>
      </c>
      <c r="K1353" s="52" t="n">
        <v>0</v>
      </c>
      <c r="L1353" s="72" t="n">
        <v>34.7</v>
      </c>
      <c r="M1353" s="73" t="n">
        <v>85.7</v>
      </c>
      <c r="N1353" s="6" t="n">
        <v>3.408411</v>
      </c>
      <c r="O1353" s="5" t="n">
        <v>2.9817</v>
      </c>
      <c r="P1353" s="6" t="n">
        <v>87</v>
      </c>
      <c r="Q1353" s="4" t="s">
        <v>2098</v>
      </c>
      <c r="R1353" s="4" t="s">
        <v>2195</v>
      </c>
      <c r="S1353" s="72" t="n">
        <v>0</v>
      </c>
      <c r="T1353" s="6" t="n">
        <v>420</v>
      </c>
      <c r="U1353" s="56" t="n">
        <f aca="false">I1353*O1353</f>
        <v>0</v>
      </c>
      <c r="V1353" s="56" t="n">
        <f aca="false">J1353*O1353</f>
        <v>0</v>
      </c>
      <c r="W1353" s="56" t="n">
        <f aca="false">((I1353+J1353)/2)*O1353</f>
        <v>0</v>
      </c>
      <c r="X1353" s="56" t="n">
        <f aca="false">H1353*O1353</f>
        <v>259.4079</v>
      </c>
    </row>
    <row r="1354" customFormat="false" ht="15" hidden="false" customHeight="false" outlineLevel="0" collapsed="false">
      <c r="A1354" s="76" t="s">
        <v>2063</v>
      </c>
      <c r="B1354" s="7" t="s">
        <v>3989</v>
      </c>
      <c r="C1354" s="7" t="s">
        <v>3990</v>
      </c>
      <c r="D1354" s="7" t="s">
        <v>2101</v>
      </c>
      <c r="E1354" s="50" t="s">
        <v>2096</v>
      </c>
      <c r="F1354" s="7" t="s">
        <v>2097</v>
      </c>
      <c r="G1354" s="7" t="s">
        <v>2097</v>
      </c>
      <c r="H1354" s="9" t="n">
        <v>3024</v>
      </c>
      <c r="I1354" s="9" t="n">
        <v>940.39</v>
      </c>
      <c r="J1354" s="9" t="n">
        <v>2821.16</v>
      </c>
      <c r="K1354" s="52" t="n">
        <v>2960</v>
      </c>
      <c r="L1354" s="58" t="n">
        <v>24.7</v>
      </c>
      <c r="M1354" s="59" t="n">
        <v>84</v>
      </c>
      <c r="N1354" s="9" t="n">
        <v>76.144536</v>
      </c>
      <c r="O1354" s="8" t="n">
        <v>2.23</v>
      </c>
      <c r="P1354" s="9" t="n">
        <v>202.84</v>
      </c>
      <c r="Q1354" s="7" t="s">
        <v>2098</v>
      </c>
      <c r="R1354" s="7" t="s">
        <v>2099</v>
      </c>
      <c r="S1354" s="58" t="n">
        <v>0.5</v>
      </c>
      <c r="T1354" s="9" t="n">
        <v>370</v>
      </c>
      <c r="U1354" s="56" t="n">
        <f aca="false">I1354*O1354</f>
        <v>2097.0697</v>
      </c>
      <c r="V1354" s="56" t="n">
        <f aca="false">J1354*O1354</f>
        <v>6291.1868</v>
      </c>
      <c r="W1354" s="56" t="n">
        <f aca="false">((I1354+J1354)/2)*O1354</f>
        <v>4194.12825</v>
      </c>
      <c r="X1354" s="56" t="n">
        <f aca="false">H1354*O1354</f>
        <v>6743.52</v>
      </c>
    </row>
    <row r="1355" customFormat="false" ht="22.35" hidden="false" customHeight="false" outlineLevel="0" collapsed="false">
      <c r="A1355" s="76" t="s">
        <v>2063</v>
      </c>
      <c r="B1355" s="49" t="s">
        <v>2514</v>
      </c>
      <c r="C1355" s="49" t="s">
        <v>2515</v>
      </c>
      <c r="D1355" s="49" t="s">
        <v>2095</v>
      </c>
      <c r="E1355" s="61" t="s">
        <v>2113</v>
      </c>
      <c r="F1355" s="49" t="s">
        <v>2097</v>
      </c>
      <c r="G1355" s="49" t="s">
        <v>2097</v>
      </c>
      <c r="H1355" s="51" t="n">
        <v>3696</v>
      </c>
      <c r="I1355" s="51" t="n">
        <v>3864.56</v>
      </c>
      <c r="J1355" s="51" t="n">
        <v>7729.12</v>
      </c>
      <c r="K1355" s="52" t="n">
        <v>8976</v>
      </c>
      <c r="L1355" s="53" t="n">
        <v>28.8</v>
      </c>
      <c r="M1355" s="54" t="n">
        <v>71.7</v>
      </c>
      <c r="N1355" s="51" t="n">
        <v>134.186149</v>
      </c>
      <c r="O1355" s="55" t="n">
        <v>0.76</v>
      </c>
      <c r="P1355" s="51" t="n">
        <v>-4033.12</v>
      </c>
      <c r="Q1355" s="49" t="s">
        <v>2103</v>
      </c>
      <c r="R1355" s="49" t="s">
        <v>2099</v>
      </c>
      <c r="S1355" s="53" t="n">
        <v>1</v>
      </c>
      <c r="T1355" s="51" t="n">
        <v>2244</v>
      </c>
      <c r="U1355" s="56" t="n">
        <f aca="false">I1355*O1355</f>
        <v>2937.0656</v>
      </c>
      <c r="V1355" s="56" t="n">
        <f aca="false">J1355*O1355</f>
        <v>5874.1312</v>
      </c>
      <c r="W1355" s="56" t="n">
        <f aca="false">((I1355+J1355)/2)*O1355</f>
        <v>4405.5984</v>
      </c>
      <c r="X1355" s="56" t="n">
        <f aca="false">H1355*O1355</f>
        <v>2808.96</v>
      </c>
    </row>
    <row r="1356" customFormat="false" ht="22.35" hidden="false" customHeight="false" outlineLevel="0" collapsed="false">
      <c r="A1356" s="76" t="s">
        <v>2063</v>
      </c>
      <c r="B1356" s="7" t="s">
        <v>2516</v>
      </c>
      <c r="C1356" s="7" t="s">
        <v>2517</v>
      </c>
      <c r="D1356" s="7" t="s">
        <v>2101</v>
      </c>
      <c r="E1356" s="57" t="s">
        <v>2102</v>
      </c>
      <c r="F1356" s="7" t="s">
        <v>2097</v>
      </c>
      <c r="G1356" s="7" t="s">
        <v>2097</v>
      </c>
      <c r="H1356" s="9" t="n">
        <v>606</v>
      </c>
      <c r="I1356" s="9" t="n">
        <v>367.25</v>
      </c>
      <c r="J1356" s="9" t="n">
        <v>1101.74</v>
      </c>
      <c r="K1356" s="52" t="n">
        <v>1101.74</v>
      </c>
      <c r="L1356" s="58" t="n">
        <v>30.6</v>
      </c>
      <c r="M1356" s="59" t="n">
        <v>61.3</v>
      </c>
      <c r="N1356" s="9" t="n">
        <v>24.003021</v>
      </c>
      <c r="O1356" s="8" t="n">
        <v>3.15</v>
      </c>
      <c r="P1356" s="9" t="n">
        <v>-495.74</v>
      </c>
      <c r="Q1356" s="7" t="s">
        <v>2103</v>
      </c>
      <c r="R1356" s="7" t="s">
        <v>2099</v>
      </c>
      <c r="S1356" s="58" t="n">
        <v>0.5</v>
      </c>
      <c r="T1356" s="9" t="n">
        <v>1</v>
      </c>
      <c r="U1356" s="56" t="n">
        <f aca="false">I1356*O1356</f>
        <v>1156.8375</v>
      </c>
      <c r="V1356" s="56" t="n">
        <f aca="false">J1356*O1356</f>
        <v>3470.481</v>
      </c>
      <c r="W1356" s="56" t="n">
        <f aca="false">((I1356+J1356)/2)*O1356</f>
        <v>2313.65925</v>
      </c>
      <c r="X1356" s="56" t="n">
        <f aca="false">H1356*O1356</f>
        <v>1908.9</v>
      </c>
    </row>
    <row r="1357" customFormat="false" ht="22.35" hidden="false" customHeight="false" outlineLevel="0" collapsed="false">
      <c r="A1357" s="76" t="s">
        <v>2063</v>
      </c>
      <c r="B1357" s="49" t="s">
        <v>2518</v>
      </c>
      <c r="C1357" s="49" t="s">
        <v>2519</v>
      </c>
      <c r="D1357" s="49" t="s">
        <v>2095</v>
      </c>
      <c r="E1357" s="61" t="s">
        <v>2113</v>
      </c>
      <c r="F1357" s="49" t="s">
        <v>2097</v>
      </c>
      <c r="G1357" s="49" t="s">
        <v>2097</v>
      </c>
      <c r="H1357" s="51" t="n">
        <v>6961</v>
      </c>
      <c r="I1357" s="51" t="n">
        <v>7555.56</v>
      </c>
      <c r="J1357" s="51" t="n">
        <v>15111.12</v>
      </c>
      <c r="K1357" s="52" t="n">
        <v>15120</v>
      </c>
      <c r="L1357" s="53" t="n">
        <v>28</v>
      </c>
      <c r="M1357" s="54" t="n">
        <v>82.8</v>
      </c>
      <c r="N1357" s="51" t="n">
        <v>269.841352</v>
      </c>
      <c r="O1357" s="55" t="n">
        <v>1.8535</v>
      </c>
      <c r="P1357" s="51" t="n">
        <v>-8150.12</v>
      </c>
      <c r="Q1357" s="49" t="s">
        <v>2103</v>
      </c>
      <c r="R1357" s="49" t="s">
        <v>2099</v>
      </c>
      <c r="S1357" s="53" t="n">
        <v>1</v>
      </c>
      <c r="T1357" s="51" t="n">
        <v>420</v>
      </c>
      <c r="U1357" s="56" t="n">
        <f aca="false">I1357*O1357</f>
        <v>14004.23046</v>
      </c>
      <c r="V1357" s="56" t="n">
        <f aca="false">J1357*O1357</f>
        <v>28008.46092</v>
      </c>
      <c r="W1357" s="56" t="n">
        <f aca="false">((I1357+J1357)/2)*O1357</f>
        <v>21006.34569</v>
      </c>
      <c r="X1357" s="56" t="n">
        <f aca="false">H1357*O1357</f>
        <v>12902.2135</v>
      </c>
    </row>
    <row r="1358" customFormat="false" ht="22.35" hidden="false" customHeight="false" outlineLevel="0" collapsed="false">
      <c r="A1358" s="76" t="s">
        <v>2063</v>
      </c>
      <c r="B1358" s="7" t="s">
        <v>2520</v>
      </c>
      <c r="C1358" s="7" t="s">
        <v>2521</v>
      </c>
      <c r="D1358" s="7" t="s">
        <v>2109</v>
      </c>
      <c r="E1358" s="60" t="s">
        <v>2110</v>
      </c>
      <c r="F1358" s="7" t="s">
        <v>2097</v>
      </c>
      <c r="G1358" s="7" t="s">
        <v>2097</v>
      </c>
      <c r="H1358" s="9" t="n">
        <v>9934</v>
      </c>
      <c r="I1358" s="9" t="n">
        <v>19006.17</v>
      </c>
      <c r="J1358" s="9" t="n">
        <v>31676.95</v>
      </c>
      <c r="K1358" s="52" t="n">
        <v>40000</v>
      </c>
      <c r="L1358" s="58" t="n">
        <v>28</v>
      </c>
      <c r="M1358" s="59" t="n">
        <v>88.2</v>
      </c>
      <c r="N1358" s="9" t="n">
        <v>452.527891</v>
      </c>
      <c r="O1358" s="8" t="n">
        <v>0.69</v>
      </c>
      <c r="P1358" s="9" t="n">
        <v>-21742.95</v>
      </c>
      <c r="Q1358" s="7" t="s">
        <v>2103</v>
      </c>
      <c r="R1358" s="7" t="s">
        <v>2099</v>
      </c>
      <c r="S1358" s="58" t="n">
        <v>1.5</v>
      </c>
      <c r="T1358" s="9" t="n">
        <v>10000</v>
      </c>
      <c r="U1358" s="56" t="n">
        <f aca="false">I1358*O1358</f>
        <v>13114.2573</v>
      </c>
      <c r="V1358" s="56" t="n">
        <f aca="false">J1358*O1358</f>
        <v>21857.0955</v>
      </c>
      <c r="W1358" s="56" t="n">
        <f aca="false">((I1358+J1358)/2)*O1358</f>
        <v>17485.6764</v>
      </c>
      <c r="X1358" s="56" t="n">
        <f aca="false">H1358*O1358</f>
        <v>6854.46</v>
      </c>
    </row>
    <row r="1359" customFormat="false" ht="22.35" hidden="false" customHeight="false" outlineLevel="0" collapsed="false">
      <c r="A1359" s="76" t="s">
        <v>2063</v>
      </c>
      <c r="B1359" s="49" t="s">
        <v>2522</v>
      </c>
      <c r="C1359" s="49" t="s">
        <v>2523</v>
      </c>
      <c r="D1359" s="49" t="s">
        <v>2095</v>
      </c>
      <c r="E1359" s="61" t="s">
        <v>2113</v>
      </c>
      <c r="F1359" s="49" t="s">
        <v>2097</v>
      </c>
      <c r="G1359" s="49" t="s">
        <v>2097</v>
      </c>
      <c r="H1359" s="51" t="n">
        <v>1851</v>
      </c>
      <c r="I1359" s="51" t="n">
        <v>2266.35</v>
      </c>
      <c r="J1359" s="51" t="n">
        <v>4532.7</v>
      </c>
      <c r="K1359" s="52" t="n">
        <v>5280</v>
      </c>
      <c r="L1359" s="53" t="n">
        <v>30.8</v>
      </c>
      <c r="M1359" s="54" t="n">
        <v>78.1</v>
      </c>
      <c r="N1359" s="51" t="n">
        <v>73.582803</v>
      </c>
      <c r="O1359" s="55" t="n">
        <v>1.8568</v>
      </c>
      <c r="P1359" s="51" t="n">
        <v>-2681.7</v>
      </c>
      <c r="Q1359" s="49" t="s">
        <v>2103</v>
      </c>
      <c r="R1359" s="49" t="s">
        <v>2099</v>
      </c>
      <c r="S1359" s="53" t="n">
        <v>1</v>
      </c>
      <c r="T1359" s="51" t="n">
        <v>1760</v>
      </c>
      <c r="U1359" s="56" t="n">
        <f aca="false">I1359*O1359</f>
        <v>4208.15868</v>
      </c>
      <c r="V1359" s="56" t="n">
        <f aca="false">J1359*O1359</f>
        <v>8416.31736</v>
      </c>
      <c r="W1359" s="56" t="n">
        <f aca="false">((I1359+J1359)/2)*O1359</f>
        <v>6312.23802</v>
      </c>
      <c r="X1359" s="56" t="n">
        <f aca="false">H1359*O1359</f>
        <v>3436.9368</v>
      </c>
    </row>
    <row r="1360" customFormat="false" ht="22.35" hidden="false" customHeight="false" outlineLevel="0" collapsed="false">
      <c r="A1360" s="76" t="s">
        <v>2063</v>
      </c>
      <c r="B1360" s="7" t="s">
        <v>2524</v>
      </c>
      <c r="C1360" s="7" t="s">
        <v>2525</v>
      </c>
      <c r="D1360" s="7" t="s">
        <v>2095</v>
      </c>
      <c r="E1360" s="61" t="s">
        <v>2113</v>
      </c>
      <c r="F1360" s="7" t="s">
        <v>2097</v>
      </c>
      <c r="G1360" s="7" t="s">
        <v>2097</v>
      </c>
      <c r="H1360" s="9" t="n">
        <v>4144</v>
      </c>
      <c r="I1360" s="9" t="n">
        <v>4287.01</v>
      </c>
      <c r="J1360" s="9" t="n">
        <v>8574.02</v>
      </c>
      <c r="K1360" s="52" t="n">
        <v>8725</v>
      </c>
      <c r="L1360" s="58" t="n">
        <v>26.5</v>
      </c>
      <c r="M1360" s="59" t="n">
        <v>82.8</v>
      </c>
      <c r="N1360" s="9" t="n">
        <v>161.773821</v>
      </c>
      <c r="O1360" s="8" t="n">
        <v>2.42</v>
      </c>
      <c r="P1360" s="9" t="n">
        <v>-4430.02</v>
      </c>
      <c r="Q1360" s="7" t="s">
        <v>2103</v>
      </c>
      <c r="R1360" s="7" t="s">
        <v>2099</v>
      </c>
      <c r="S1360" s="58" t="n">
        <v>1</v>
      </c>
      <c r="T1360" s="9" t="n">
        <v>1745</v>
      </c>
      <c r="U1360" s="56" t="n">
        <f aca="false">I1360*O1360</f>
        <v>10374.5642</v>
      </c>
      <c r="V1360" s="56" t="n">
        <f aca="false">J1360*O1360</f>
        <v>20749.1284</v>
      </c>
      <c r="W1360" s="56" t="n">
        <f aca="false">((I1360+J1360)/2)*O1360</f>
        <v>15561.8463</v>
      </c>
      <c r="X1360" s="56" t="n">
        <f aca="false">H1360*O1360</f>
        <v>10028.48</v>
      </c>
    </row>
    <row r="1361" customFormat="false" ht="22.35" hidden="false" customHeight="false" outlineLevel="0" collapsed="false">
      <c r="A1361" s="76" t="s">
        <v>2063</v>
      </c>
      <c r="B1361" s="49" t="s">
        <v>2526</v>
      </c>
      <c r="C1361" s="49" t="s">
        <v>2527</v>
      </c>
      <c r="D1361" s="49" t="s">
        <v>2101</v>
      </c>
      <c r="E1361" s="57" t="s">
        <v>2102</v>
      </c>
      <c r="F1361" s="49" t="s">
        <v>2097</v>
      </c>
      <c r="G1361" s="49" t="s">
        <v>2097</v>
      </c>
      <c r="H1361" s="51" t="n">
        <v>276</v>
      </c>
      <c r="I1361" s="51" t="n">
        <v>103.52</v>
      </c>
      <c r="J1361" s="51" t="n">
        <v>310.56</v>
      </c>
      <c r="K1361" s="52" t="n">
        <v>870</v>
      </c>
      <c r="L1361" s="53" t="n">
        <v>15.4</v>
      </c>
      <c r="M1361" s="54" t="n">
        <v>91.7</v>
      </c>
      <c r="N1361" s="51" t="n">
        <v>13.44389</v>
      </c>
      <c r="O1361" s="55" t="n">
        <v>1.95</v>
      </c>
      <c r="P1361" s="51" t="n">
        <v>-34.56</v>
      </c>
      <c r="Q1361" s="49" t="s">
        <v>2103</v>
      </c>
      <c r="R1361" s="49" t="s">
        <v>2099</v>
      </c>
      <c r="S1361" s="53" t="n">
        <v>0.5</v>
      </c>
      <c r="T1361" s="51" t="n">
        <v>870</v>
      </c>
      <c r="U1361" s="56" t="n">
        <f aca="false">I1361*O1361</f>
        <v>201.864</v>
      </c>
      <c r="V1361" s="56" t="n">
        <f aca="false">J1361*O1361</f>
        <v>605.592</v>
      </c>
      <c r="W1361" s="56" t="n">
        <f aca="false">((I1361+J1361)/2)*O1361</f>
        <v>403.728</v>
      </c>
      <c r="X1361" s="56" t="n">
        <f aca="false">H1361*O1361</f>
        <v>538.2</v>
      </c>
    </row>
    <row r="1362" customFormat="false" ht="22.35" hidden="false" customHeight="false" outlineLevel="0" collapsed="false">
      <c r="A1362" s="76" t="s">
        <v>2063</v>
      </c>
      <c r="B1362" s="7" t="s">
        <v>2528</v>
      </c>
      <c r="C1362" s="7" t="s">
        <v>2529</v>
      </c>
      <c r="D1362" s="7" t="s">
        <v>2095</v>
      </c>
      <c r="E1362" s="61" t="s">
        <v>2113</v>
      </c>
      <c r="F1362" s="7" t="s">
        <v>2097</v>
      </c>
      <c r="G1362" s="7" t="s">
        <v>2097</v>
      </c>
      <c r="H1362" s="9" t="n">
        <v>1735</v>
      </c>
      <c r="I1362" s="9" t="n">
        <v>2735.35</v>
      </c>
      <c r="J1362" s="9" t="n">
        <v>5470.7</v>
      </c>
      <c r="K1362" s="52" t="n">
        <v>6900</v>
      </c>
      <c r="L1362" s="58" t="n">
        <v>30.4</v>
      </c>
      <c r="M1362" s="59" t="n">
        <v>83.3</v>
      </c>
      <c r="N1362" s="9" t="n">
        <v>89.978771</v>
      </c>
      <c r="O1362" s="8" t="n">
        <v>1</v>
      </c>
      <c r="P1362" s="9" t="n">
        <v>-3735.7</v>
      </c>
      <c r="Q1362" s="7" t="s">
        <v>2103</v>
      </c>
      <c r="R1362" s="7" t="s">
        <v>2099</v>
      </c>
      <c r="S1362" s="58" t="n">
        <v>1</v>
      </c>
      <c r="T1362" s="9" t="n">
        <v>2300</v>
      </c>
      <c r="U1362" s="56" t="n">
        <f aca="false">I1362*O1362</f>
        <v>2735.35</v>
      </c>
      <c r="V1362" s="56" t="n">
        <f aca="false">J1362*O1362</f>
        <v>5470.7</v>
      </c>
      <c r="W1362" s="56" t="n">
        <f aca="false">((I1362+J1362)/2)*O1362</f>
        <v>4103.025</v>
      </c>
      <c r="X1362" s="56" t="n">
        <f aca="false">H1362*O1362</f>
        <v>1735</v>
      </c>
    </row>
    <row r="1363" customFormat="false" ht="22.35" hidden="false" customHeight="false" outlineLevel="0" collapsed="false">
      <c r="A1363" s="76" t="s">
        <v>2063</v>
      </c>
      <c r="B1363" s="49" t="s">
        <v>3991</v>
      </c>
      <c r="C1363" s="49" t="s">
        <v>3992</v>
      </c>
      <c r="D1363" s="49" t="s">
        <v>2101</v>
      </c>
      <c r="E1363" s="57" t="s">
        <v>2102</v>
      </c>
      <c r="F1363" s="49" t="s">
        <v>2097</v>
      </c>
      <c r="G1363" s="49" t="s">
        <v>2097</v>
      </c>
      <c r="H1363" s="51" t="n">
        <v>1089</v>
      </c>
      <c r="I1363" s="51" t="n">
        <v>594.12</v>
      </c>
      <c r="J1363" s="51" t="n">
        <v>1782.36</v>
      </c>
      <c r="K1363" s="52" t="n">
        <v>2000</v>
      </c>
      <c r="L1363" s="53" t="n">
        <v>33.8</v>
      </c>
      <c r="M1363" s="54" t="n">
        <v>94.4</v>
      </c>
      <c r="N1363" s="51" t="n">
        <v>35.154902</v>
      </c>
      <c r="O1363" s="55" t="n">
        <v>3.56</v>
      </c>
      <c r="P1363" s="51" t="n">
        <v>-693.36</v>
      </c>
      <c r="Q1363" s="49" t="s">
        <v>2103</v>
      </c>
      <c r="R1363" s="49" t="s">
        <v>2099</v>
      </c>
      <c r="S1363" s="53" t="n">
        <v>0.5</v>
      </c>
      <c r="T1363" s="51" t="n">
        <v>400</v>
      </c>
      <c r="U1363" s="56" t="n">
        <f aca="false">I1363*O1363</f>
        <v>2115.0672</v>
      </c>
      <c r="V1363" s="56" t="n">
        <f aca="false">J1363*O1363</f>
        <v>6345.2016</v>
      </c>
      <c r="W1363" s="56" t="n">
        <f aca="false">((I1363+J1363)/2)*O1363</f>
        <v>4230.1344</v>
      </c>
      <c r="X1363" s="56" t="n">
        <f aca="false">H1363*O1363</f>
        <v>3876.84</v>
      </c>
    </row>
    <row r="1364" customFormat="false" ht="22.35" hidden="false" customHeight="false" outlineLevel="0" collapsed="false">
      <c r="A1364" s="76" t="s">
        <v>2063</v>
      </c>
      <c r="B1364" s="7" t="s">
        <v>2530</v>
      </c>
      <c r="C1364" s="7" t="s">
        <v>2527</v>
      </c>
      <c r="D1364" s="7" t="s">
        <v>2101</v>
      </c>
      <c r="E1364" s="57" t="s">
        <v>2102</v>
      </c>
      <c r="F1364" s="7" t="s">
        <v>2097</v>
      </c>
      <c r="G1364" s="7" t="s">
        <v>2097</v>
      </c>
      <c r="H1364" s="9" t="n">
        <v>224</v>
      </c>
      <c r="I1364" s="9" t="n">
        <v>132.3</v>
      </c>
      <c r="J1364" s="9" t="n">
        <v>396.9</v>
      </c>
      <c r="K1364" s="52" t="n">
        <v>450</v>
      </c>
      <c r="L1364" s="58" t="n">
        <v>24.6</v>
      </c>
      <c r="M1364" s="59" t="n">
        <v>73.9</v>
      </c>
      <c r="N1364" s="9" t="n">
        <v>10.755908</v>
      </c>
      <c r="O1364" s="8" t="n">
        <v>3.26</v>
      </c>
      <c r="P1364" s="9" t="n">
        <v>-172.9</v>
      </c>
      <c r="Q1364" s="7" t="s">
        <v>2103</v>
      </c>
      <c r="R1364" s="7" t="s">
        <v>2099</v>
      </c>
      <c r="S1364" s="58" t="n">
        <v>0.5</v>
      </c>
      <c r="T1364" s="9" t="n">
        <v>450</v>
      </c>
      <c r="U1364" s="56" t="n">
        <f aca="false">I1364*O1364</f>
        <v>431.298</v>
      </c>
      <c r="V1364" s="56" t="n">
        <f aca="false">J1364*O1364</f>
        <v>1293.894</v>
      </c>
      <c r="W1364" s="56" t="n">
        <f aca="false">((I1364+J1364)/2)*O1364</f>
        <v>862.596</v>
      </c>
      <c r="X1364" s="56" t="n">
        <f aca="false">H1364*O1364</f>
        <v>730.24</v>
      </c>
    </row>
    <row r="1365" customFormat="false" ht="22.35" hidden="false" customHeight="false" outlineLevel="0" collapsed="false">
      <c r="A1365" s="76" t="s">
        <v>2063</v>
      </c>
      <c r="B1365" s="49" t="s">
        <v>2531</v>
      </c>
      <c r="C1365" s="49" t="s">
        <v>2532</v>
      </c>
      <c r="D1365" s="49" t="s">
        <v>2109</v>
      </c>
      <c r="E1365" s="60" t="s">
        <v>2110</v>
      </c>
      <c r="F1365" s="49" t="s">
        <v>2097</v>
      </c>
      <c r="G1365" s="49" t="s">
        <v>2097</v>
      </c>
      <c r="H1365" s="51" t="n">
        <v>10445</v>
      </c>
      <c r="I1365" s="51" t="n">
        <v>18514.95</v>
      </c>
      <c r="J1365" s="51" t="n">
        <v>30858.25</v>
      </c>
      <c r="K1365" s="52" t="n">
        <v>54000</v>
      </c>
      <c r="L1365" s="53" t="n">
        <v>34.8</v>
      </c>
      <c r="M1365" s="54" t="n">
        <v>84.4</v>
      </c>
      <c r="N1365" s="51" t="n">
        <v>354.692622</v>
      </c>
      <c r="O1365" s="55" t="n">
        <v>0.89</v>
      </c>
      <c r="P1365" s="51" t="n">
        <v>-20413.25</v>
      </c>
      <c r="Q1365" s="49" t="s">
        <v>2103</v>
      </c>
      <c r="R1365" s="49" t="s">
        <v>2099</v>
      </c>
      <c r="S1365" s="53" t="n">
        <v>1.5</v>
      </c>
      <c r="T1365" s="51" t="n">
        <v>27000</v>
      </c>
      <c r="U1365" s="56" t="n">
        <f aca="false">I1365*O1365</f>
        <v>16478.3055</v>
      </c>
      <c r="V1365" s="56" t="n">
        <f aca="false">J1365*O1365</f>
        <v>27463.8425</v>
      </c>
      <c r="W1365" s="56" t="n">
        <f aca="false">((I1365+J1365)/2)*O1365</f>
        <v>21971.074</v>
      </c>
      <c r="X1365" s="56" t="n">
        <f aca="false">H1365*O1365</f>
        <v>9296.05</v>
      </c>
    </row>
    <row r="1366" customFormat="false" ht="22.35" hidden="false" customHeight="false" outlineLevel="0" collapsed="false">
      <c r="A1366" s="76" t="s">
        <v>2063</v>
      </c>
      <c r="B1366" s="7" t="s">
        <v>2533</v>
      </c>
      <c r="C1366" s="7" t="s">
        <v>2534</v>
      </c>
      <c r="D1366" s="7" t="s">
        <v>2095</v>
      </c>
      <c r="E1366" s="61" t="s">
        <v>2113</v>
      </c>
      <c r="F1366" s="7" t="s">
        <v>2097</v>
      </c>
      <c r="G1366" s="7" t="s">
        <v>2097</v>
      </c>
      <c r="H1366" s="9" t="n">
        <v>3958</v>
      </c>
      <c r="I1366" s="9" t="n">
        <v>4146.91</v>
      </c>
      <c r="J1366" s="9" t="n">
        <v>8293.82</v>
      </c>
      <c r="K1366" s="52" t="n">
        <v>11904</v>
      </c>
      <c r="L1366" s="58" t="n">
        <v>22.4</v>
      </c>
      <c r="M1366" s="59" t="n">
        <v>82.4</v>
      </c>
      <c r="N1366" s="9" t="n">
        <v>185.130004</v>
      </c>
      <c r="O1366" s="8" t="n">
        <v>1.314</v>
      </c>
      <c r="P1366" s="9" t="n">
        <v>-4335.82</v>
      </c>
      <c r="Q1366" s="7" t="s">
        <v>2103</v>
      </c>
      <c r="R1366" s="7" t="s">
        <v>2099</v>
      </c>
      <c r="S1366" s="58" t="n">
        <v>1</v>
      </c>
      <c r="T1366" s="9" t="n">
        <v>5952</v>
      </c>
      <c r="U1366" s="56" t="n">
        <f aca="false">I1366*O1366</f>
        <v>5449.03974</v>
      </c>
      <c r="V1366" s="56" t="n">
        <f aca="false">J1366*O1366</f>
        <v>10898.07948</v>
      </c>
      <c r="W1366" s="56" t="n">
        <f aca="false">((I1366+J1366)/2)*O1366</f>
        <v>8173.55961</v>
      </c>
      <c r="X1366" s="56" t="n">
        <f aca="false">H1366*O1366</f>
        <v>5200.812</v>
      </c>
    </row>
    <row r="1367" customFormat="false" ht="22.35" hidden="false" customHeight="false" outlineLevel="0" collapsed="false">
      <c r="A1367" s="76" t="s">
        <v>2063</v>
      </c>
      <c r="B1367" s="49" t="s">
        <v>3993</v>
      </c>
      <c r="C1367" s="49" t="s">
        <v>3994</v>
      </c>
      <c r="D1367" s="49" t="s">
        <v>2101</v>
      </c>
      <c r="E1367" s="57" t="s">
        <v>2102</v>
      </c>
      <c r="F1367" s="49" t="s">
        <v>2097</v>
      </c>
      <c r="G1367" s="49" t="s">
        <v>2097</v>
      </c>
      <c r="H1367" s="51" t="n">
        <v>1807</v>
      </c>
      <c r="I1367" s="51" t="n">
        <v>641.89</v>
      </c>
      <c r="J1367" s="51" t="n">
        <v>1925.68</v>
      </c>
      <c r="K1367" s="52" t="n">
        <v>2000</v>
      </c>
      <c r="L1367" s="53" t="n">
        <v>17.8</v>
      </c>
      <c r="M1367" s="54" t="n">
        <v>77.3</v>
      </c>
      <c r="N1367" s="51" t="n">
        <v>72.122769</v>
      </c>
      <c r="O1367" s="55" t="n">
        <v>0.9212</v>
      </c>
      <c r="P1367" s="51" t="n">
        <v>-118.68</v>
      </c>
      <c r="Q1367" s="49" t="s">
        <v>2103</v>
      </c>
      <c r="R1367" s="49" t="s">
        <v>2099</v>
      </c>
      <c r="S1367" s="53" t="n">
        <v>0.5</v>
      </c>
      <c r="T1367" s="51" t="n">
        <v>1000</v>
      </c>
      <c r="U1367" s="56" t="n">
        <f aca="false">I1367*O1367</f>
        <v>591.309068</v>
      </c>
      <c r="V1367" s="56" t="n">
        <f aca="false">J1367*O1367</f>
        <v>1773.936416</v>
      </c>
      <c r="W1367" s="56" t="n">
        <f aca="false">((I1367+J1367)/2)*O1367</f>
        <v>1182.622742</v>
      </c>
      <c r="X1367" s="56" t="n">
        <f aca="false">H1367*O1367</f>
        <v>1664.6084</v>
      </c>
    </row>
    <row r="1368" customFormat="false" ht="22.35" hidden="false" customHeight="false" outlineLevel="0" collapsed="false">
      <c r="A1368" s="76" t="s">
        <v>2063</v>
      </c>
      <c r="B1368" s="7" t="s">
        <v>2535</v>
      </c>
      <c r="C1368" s="7" t="s">
        <v>2536</v>
      </c>
      <c r="D1368" s="7" t="s">
        <v>2101</v>
      </c>
      <c r="E1368" s="57" t="s">
        <v>2102</v>
      </c>
      <c r="F1368" s="7" t="s">
        <v>2097</v>
      </c>
      <c r="G1368" s="7" t="s">
        <v>2097</v>
      </c>
      <c r="H1368" s="9" t="n">
        <v>487</v>
      </c>
      <c r="I1368" s="9" t="n">
        <v>182.91</v>
      </c>
      <c r="J1368" s="9" t="n">
        <v>548.74</v>
      </c>
      <c r="K1368" s="52" t="n">
        <v>1744</v>
      </c>
      <c r="L1368" s="58" t="n">
        <v>17.7</v>
      </c>
      <c r="M1368" s="59" t="n">
        <v>77.1</v>
      </c>
      <c r="N1368" s="9" t="n">
        <v>20.668286</v>
      </c>
      <c r="O1368" s="8" t="n">
        <v>1.44</v>
      </c>
      <c r="P1368" s="9" t="n">
        <v>-61.74</v>
      </c>
      <c r="Q1368" s="7" t="s">
        <v>2103</v>
      </c>
      <c r="R1368" s="7" t="s">
        <v>2099</v>
      </c>
      <c r="S1368" s="58" t="n">
        <v>0.5</v>
      </c>
      <c r="T1368" s="9" t="n">
        <v>1744</v>
      </c>
      <c r="U1368" s="56" t="n">
        <f aca="false">I1368*O1368</f>
        <v>263.3904</v>
      </c>
      <c r="V1368" s="56" t="n">
        <f aca="false">J1368*O1368</f>
        <v>790.1856</v>
      </c>
      <c r="W1368" s="56" t="n">
        <f aca="false">((I1368+J1368)/2)*O1368</f>
        <v>526.788</v>
      </c>
      <c r="X1368" s="56" t="n">
        <f aca="false">H1368*O1368</f>
        <v>701.28</v>
      </c>
    </row>
    <row r="1369" customFormat="false" ht="22.35" hidden="false" customHeight="false" outlineLevel="0" collapsed="false">
      <c r="A1369" s="76" t="s">
        <v>2063</v>
      </c>
      <c r="B1369" s="49" t="s">
        <v>2537</v>
      </c>
      <c r="C1369" s="49" t="s">
        <v>2538</v>
      </c>
      <c r="D1369" s="49" t="s">
        <v>2109</v>
      </c>
      <c r="E1369" s="60" t="s">
        <v>2110</v>
      </c>
      <c r="F1369" s="49" t="s">
        <v>2097</v>
      </c>
      <c r="G1369" s="49" t="s">
        <v>2097</v>
      </c>
      <c r="H1369" s="51" t="n">
        <v>1386</v>
      </c>
      <c r="I1369" s="51" t="n">
        <v>4024.35</v>
      </c>
      <c r="J1369" s="51" t="n">
        <v>6707.25</v>
      </c>
      <c r="K1369" s="52" t="n">
        <v>7056</v>
      </c>
      <c r="L1369" s="53" t="n">
        <v>49</v>
      </c>
      <c r="M1369" s="54" t="n">
        <v>85.6</v>
      </c>
      <c r="N1369" s="51" t="n">
        <v>54.753048</v>
      </c>
      <c r="O1369" s="55" t="n">
        <v>0.64</v>
      </c>
      <c r="P1369" s="51" t="n">
        <v>-5321.25</v>
      </c>
      <c r="Q1369" s="49" t="s">
        <v>2103</v>
      </c>
      <c r="R1369" s="49" t="s">
        <v>2099</v>
      </c>
      <c r="S1369" s="53" t="n">
        <v>1.5</v>
      </c>
      <c r="T1369" s="51" t="n">
        <v>1764</v>
      </c>
      <c r="U1369" s="56" t="n">
        <f aca="false">I1369*O1369</f>
        <v>2575.584</v>
      </c>
      <c r="V1369" s="56" t="n">
        <f aca="false">J1369*O1369</f>
        <v>4292.64</v>
      </c>
      <c r="W1369" s="56" t="n">
        <f aca="false">((I1369+J1369)/2)*O1369</f>
        <v>3434.112</v>
      </c>
      <c r="X1369" s="56" t="n">
        <f aca="false">H1369*O1369</f>
        <v>887.04</v>
      </c>
    </row>
    <row r="1370" customFormat="false" ht="15" hidden="false" customHeight="false" outlineLevel="0" collapsed="false">
      <c r="A1370" s="76" t="s">
        <v>2063</v>
      </c>
      <c r="B1370" s="7" t="s">
        <v>3995</v>
      </c>
      <c r="C1370" s="7" t="s">
        <v>3996</v>
      </c>
      <c r="D1370" s="7" t="s">
        <v>2101</v>
      </c>
      <c r="E1370" s="50" t="s">
        <v>2096</v>
      </c>
      <c r="F1370" s="7" t="s">
        <v>2097</v>
      </c>
      <c r="G1370" s="7" t="s">
        <v>2097</v>
      </c>
      <c r="H1370" s="9" t="n">
        <v>260</v>
      </c>
      <c r="I1370" s="9" t="n">
        <v>79.51</v>
      </c>
      <c r="J1370" s="9" t="n">
        <v>238.53</v>
      </c>
      <c r="K1370" s="52" t="n">
        <v>361</v>
      </c>
      <c r="L1370" s="58" t="n">
        <v>17.6</v>
      </c>
      <c r="M1370" s="59" t="n">
        <v>90</v>
      </c>
      <c r="N1370" s="9" t="n">
        <v>9.034974</v>
      </c>
      <c r="O1370" s="8" t="n">
        <v>1.2372</v>
      </c>
      <c r="P1370" s="9" t="n">
        <v>21.47</v>
      </c>
      <c r="Q1370" s="7" t="s">
        <v>2098</v>
      </c>
      <c r="R1370" s="7" t="s">
        <v>2099</v>
      </c>
      <c r="S1370" s="58" t="n">
        <v>0.5</v>
      </c>
      <c r="T1370" s="9" t="n">
        <v>361</v>
      </c>
      <c r="U1370" s="56" t="n">
        <f aca="false">I1370*O1370</f>
        <v>98.369772</v>
      </c>
      <c r="V1370" s="56" t="n">
        <f aca="false">J1370*O1370</f>
        <v>295.109316</v>
      </c>
      <c r="W1370" s="56" t="n">
        <f aca="false">((I1370+J1370)/2)*O1370</f>
        <v>196.739544</v>
      </c>
      <c r="X1370" s="56" t="n">
        <f aca="false">H1370*O1370</f>
        <v>321.672</v>
      </c>
    </row>
    <row r="1371" customFormat="false" ht="22.35" hidden="false" customHeight="false" outlineLevel="0" collapsed="false">
      <c r="A1371" s="76" t="s">
        <v>2063</v>
      </c>
      <c r="B1371" s="49" t="s">
        <v>2539</v>
      </c>
      <c r="C1371" s="49" t="s">
        <v>2540</v>
      </c>
      <c r="D1371" s="49" t="s">
        <v>2109</v>
      </c>
      <c r="E1371" s="60" t="s">
        <v>2110</v>
      </c>
      <c r="F1371" s="49" t="s">
        <v>2097</v>
      </c>
      <c r="G1371" s="49" t="s">
        <v>2097</v>
      </c>
      <c r="H1371" s="51" t="n">
        <v>1901</v>
      </c>
      <c r="I1371" s="51" t="n">
        <v>8655.43</v>
      </c>
      <c r="J1371" s="51" t="n">
        <v>14425.72</v>
      </c>
      <c r="K1371" s="52" t="n">
        <v>21438</v>
      </c>
      <c r="L1371" s="53" t="n">
        <v>51</v>
      </c>
      <c r="M1371" s="54" t="n">
        <v>67.5</v>
      </c>
      <c r="N1371" s="51" t="n">
        <v>113.142871</v>
      </c>
      <c r="O1371" s="55" t="n">
        <v>1.73</v>
      </c>
      <c r="P1371" s="51" t="n">
        <v>-12524.72</v>
      </c>
      <c r="Q1371" s="49" t="s">
        <v>2103</v>
      </c>
      <c r="R1371" s="49" t="s">
        <v>2099</v>
      </c>
      <c r="S1371" s="53" t="n">
        <v>1.5</v>
      </c>
      <c r="T1371" s="51" t="n">
        <v>7146</v>
      </c>
      <c r="U1371" s="56" t="n">
        <f aca="false">I1371*O1371</f>
        <v>14973.8939</v>
      </c>
      <c r="V1371" s="56" t="n">
        <f aca="false">J1371*O1371</f>
        <v>24956.4956</v>
      </c>
      <c r="W1371" s="56" t="n">
        <f aca="false">((I1371+J1371)/2)*O1371</f>
        <v>19965.19475</v>
      </c>
      <c r="X1371" s="56" t="n">
        <f aca="false">H1371*O1371</f>
        <v>3288.73</v>
      </c>
    </row>
    <row r="1372" customFormat="false" ht="22.35" hidden="false" customHeight="false" outlineLevel="0" collapsed="false">
      <c r="A1372" s="76" t="s">
        <v>2063</v>
      </c>
      <c r="B1372" s="7" t="s">
        <v>2541</v>
      </c>
      <c r="C1372" s="7" t="s">
        <v>2542</v>
      </c>
      <c r="D1372" s="7" t="s">
        <v>2095</v>
      </c>
      <c r="E1372" s="61" t="s">
        <v>2113</v>
      </c>
      <c r="F1372" s="7" t="s">
        <v>2097</v>
      </c>
      <c r="G1372" s="7" t="s">
        <v>2097</v>
      </c>
      <c r="H1372" s="9" t="n">
        <v>6680</v>
      </c>
      <c r="I1372" s="9" t="n">
        <v>5513.46</v>
      </c>
      <c r="J1372" s="9" t="n">
        <v>11026.92</v>
      </c>
      <c r="K1372" s="52" t="n">
        <v>15756</v>
      </c>
      <c r="L1372" s="58" t="n">
        <v>21.1</v>
      </c>
      <c r="M1372" s="59" t="n">
        <v>76.3</v>
      </c>
      <c r="N1372" s="9" t="n">
        <v>261.30146</v>
      </c>
      <c r="O1372" s="8" t="n">
        <v>1.095</v>
      </c>
      <c r="P1372" s="9" t="n">
        <v>-4346.92</v>
      </c>
      <c r="Q1372" s="7" t="s">
        <v>2103</v>
      </c>
      <c r="R1372" s="7" t="s">
        <v>2099</v>
      </c>
      <c r="S1372" s="58" t="n">
        <v>1</v>
      </c>
      <c r="T1372" s="9" t="n">
        <v>5252</v>
      </c>
      <c r="U1372" s="56" t="n">
        <f aca="false">I1372*O1372</f>
        <v>6037.2387</v>
      </c>
      <c r="V1372" s="56" t="n">
        <f aca="false">J1372*O1372</f>
        <v>12074.4774</v>
      </c>
      <c r="W1372" s="56" t="n">
        <f aca="false">((I1372+J1372)/2)*O1372</f>
        <v>9055.85805</v>
      </c>
      <c r="X1372" s="56" t="n">
        <f aca="false">H1372*O1372</f>
        <v>7314.6</v>
      </c>
    </row>
    <row r="1373" customFormat="false" ht="15" hidden="false" customHeight="false" outlineLevel="0" collapsed="false">
      <c r="A1373" s="76" t="s">
        <v>2063</v>
      </c>
      <c r="B1373" s="49" t="s">
        <v>2543</v>
      </c>
      <c r="C1373" s="49" t="s">
        <v>2544</v>
      </c>
      <c r="D1373" s="49" t="s">
        <v>2101</v>
      </c>
      <c r="E1373" s="50" t="s">
        <v>2096</v>
      </c>
      <c r="F1373" s="49" t="s">
        <v>2097</v>
      </c>
      <c r="G1373" s="49" t="s">
        <v>2097</v>
      </c>
      <c r="H1373" s="51" t="n">
        <v>859</v>
      </c>
      <c r="I1373" s="51" t="n">
        <v>249.73</v>
      </c>
      <c r="J1373" s="51" t="n">
        <v>749.2</v>
      </c>
      <c r="K1373" s="52" t="n">
        <v>5400</v>
      </c>
      <c r="L1373" s="53" t="n">
        <v>12.8</v>
      </c>
      <c r="M1373" s="54" t="n">
        <v>88.5</v>
      </c>
      <c r="N1373" s="51" t="n">
        <v>39.020895</v>
      </c>
      <c r="O1373" s="55" t="n">
        <v>1.03</v>
      </c>
      <c r="P1373" s="51" t="n">
        <v>109.8</v>
      </c>
      <c r="Q1373" s="49" t="s">
        <v>2098</v>
      </c>
      <c r="R1373" s="49" t="s">
        <v>2099</v>
      </c>
      <c r="S1373" s="53" t="n">
        <v>0.5</v>
      </c>
      <c r="T1373" s="51" t="n">
        <v>5400</v>
      </c>
      <c r="U1373" s="56" t="n">
        <f aca="false">I1373*O1373</f>
        <v>257.2219</v>
      </c>
      <c r="V1373" s="56" t="n">
        <f aca="false">J1373*O1373</f>
        <v>771.676</v>
      </c>
      <c r="W1373" s="56" t="n">
        <f aca="false">((I1373+J1373)/2)*O1373</f>
        <v>514.44895</v>
      </c>
      <c r="X1373" s="56" t="n">
        <f aca="false">H1373*O1373</f>
        <v>884.77</v>
      </c>
    </row>
    <row r="1374" customFormat="false" ht="22.35" hidden="false" customHeight="false" outlineLevel="0" collapsed="false">
      <c r="A1374" s="76" t="s">
        <v>2063</v>
      </c>
      <c r="B1374" s="7" t="s">
        <v>2547</v>
      </c>
      <c r="C1374" s="7" t="s">
        <v>2548</v>
      </c>
      <c r="D1374" s="7" t="s">
        <v>2101</v>
      </c>
      <c r="E1374" s="57" t="s">
        <v>2102</v>
      </c>
      <c r="F1374" s="7" t="s">
        <v>2097</v>
      </c>
      <c r="G1374" s="7" t="s">
        <v>2097</v>
      </c>
      <c r="H1374" s="9" t="n">
        <v>551</v>
      </c>
      <c r="I1374" s="9" t="n">
        <v>241.83</v>
      </c>
      <c r="J1374" s="9" t="n">
        <v>725.49</v>
      </c>
      <c r="K1374" s="52" t="n">
        <v>728</v>
      </c>
      <c r="L1374" s="58" t="n">
        <v>25.2</v>
      </c>
      <c r="M1374" s="59" t="n">
        <v>77.8</v>
      </c>
      <c r="N1374" s="9" t="n">
        <v>19.192862</v>
      </c>
      <c r="O1374" s="8" t="n">
        <v>1.5408</v>
      </c>
      <c r="P1374" s="9" t="n">
        <v>-174.49</v>
      </c>
      <c r="Q1374" s="7" t="s">
        <v>2103</v>
      </c>
      <c r="R1374" s="7" t="s">
        <v>2099</v>
      </c>
      <c r="S1374" s="58" t="n">
        <v>0.5</v>
      </c>
      <c r="T1374" s="9" t="n">
        <v>364</v>
      </c>
      <c r="U1374" s="56" t="n">
        <f aca="false">I1374*O1374</f>
        <v>372.611664</v>
      </c>
      <c r="V1374" s="56" t="n">
        <f aca="false">J1374*O1374</f>
        <v>1117.834992</v>
      </c>
      <c r="W1374" s="56" t="n">
        <f aca="false">((I1374+J1374)/2)*O1374</f>
        <v>745.223328</v>
      </c>
      <c r="X1374" s="56" t="n">
        <f aca="false">H1374*O1374</f>
        <v>848.9808</v>
      </c>
    </row>
    <row r="1375" customFormat="false" ht="15" hidden="false" customHeight="false" outlineLevel="0" collapsed="false">
      <c r="A1375" s="76" t="s">
        <v>2063</v>
      </c>
      <c r="B1375" s="49" t="s">
        <v>2549</v>
      </c>
      <c r="C1375" s="49" t="s">
        <v>2550</v>
      </c>
      <c r="D1375" s="49" t="s">
        <v>2095</v>
      </c>
      <c r="E1375" s="50" t="s">
        <v>2096</v>
      </c>
      <c r="F1375" s="49" t="s">
        <v>2097</v>
      </c>
      <c r="G1375" s="49" t="s">
        <v>2097</v>
      </c>
      <c r="H1375" s="51" t="n">
        <v>80</v>
      </c>
      <c r="I1375" s="51" t="n">
        <v>34.15</v>
      </c>
      <c r="J1375" s="51" t="n">
        <v>68.3</v>
      </c>
      <c r="K1375" s="52" t="n">
        <v>68.3</v>
      </c>
      <c r="L1375" s="53" t="n">
        <v>21.6</v>
      </c>
      <c r="M1375" s="54" t="n">
        <v>88.9</v>
      </c>
      <c r="N1375" s="51" t="n">
        <v>1.581126</v>
      </c>
      <c r="O1375" s="55" t="n">
        <v>0.4446</v>
      </c>
      <c r="P1375" s="51" t="n">
        <v>11.7</v>
      </c>
      <c r="Q1375" s="49" t="s">
        <v>2098</v>
      </c>
      <c r="R1375" s="49" t="s">
        <v>2099</v>
      </c>
      <c r="S1375" s="53" t="n">
        <v>1</v>
      </c>
      <c r="T1375" s="51" t="n">
        <v>1</v>
      </c>
      <c r="U1375" s="56" t="n">
        <f aca="false">I1375*O1375</f>
        <v>15.18309</v>
      </c>
      <c r="V1375" s="56" t="n">
        <f aca="false">J1375*O1375</f>
        <v>30.36618</v>
      </c>
      <c r="W1375" s="56" t="n">
        <f aca="false">((I1375+J1375)/2)*O1375</f>
        <v>22.774635</v>
      </c>
      <c r="X1375" s="56" t="n">
        <f aca="false">H1375*O1375</f>
        <v>35.568</v>
      </c>
    </row>
    <row r="1376" customFormat="false" ht="22.35" hidden="false" customHeight="false" outlineLevel="0" collapsed="false">
      <c r="A1376" s="76" t="s">
        <v>2063</v>
      </c>
      <c r="B1376" s="7" t="s">
        <v>2551</v>
      </c>
      <c r="C1376" s="7" t="s">
        <v>2552</v>
      </c>
      <c r="D1376" s="7" t="s">
        <v>2095</v>
      </c>
      <c r="E1376" s="61" t="s">
        <v>2113</v>
      </c>
      <c r="F1376" s="7" t="s">
        <v>2097</v>
      </c>
      <c r="G1376" s="7" t="s">
        <v>2097</v>
      </c>
      <c r="H1376" s="9" t="n">
        <v>80</v>
      </c>
      <c r="I1376" s="9" t="n">
        <v>72.17</v>
      </c>
      <c r="J1376" s="9" t="n">
        <v>144.34</v>
      </c>
      <c r="K1376" s="52" t="n">
        <v>370</v>
      </c>
      <c r="L1376" s="58" t="n">
        <v>34.8</v>
      </c>
      <c r="M1376" s="59" t="n">
        <v>75.6</v>
      </c>
      <c r="N1376" s="9" t="n">
        <v>2.073864</v>
      </c>
      <c r="O1376" s="8" t="n">
        <v>2.6904</v>
      </c>
      <c r="P1376" s="9" t="n">
        <v>-64.34</v>
      </c>
      <c r="Q1376" s="7" t="s">
        <v>2103</v>
      </c>
      <c r="R1376" s="7" t="s">
        <v>2099</v>
      </c>
      <c r="S1376" s="58" t="n">
        <v>1</v>
      </c>
      <c r="T1376" s="9" t="n">
        <v>370</v>
      </c>
      <c r="U1376" s="56" t="n">
        <f aca="false">I1376*O1376</f>
        <v>194.166168</v>
      </c>
      <c r="V1376" s="56" t="n">
        <f aca="false">J1376*O1376</f>
        <v>388.332336</v>
      </c>
      <c r="W1376" s="56" t="n">
        <f aca="false">((I1376+J1376)/2)*O1376</f>
        <v>291.249252</v>
      </c>
      <c r="X1376" s="56" t="n">
        <f aca="false">H1376*O1376</f>
        <v>215.232</v>
      </c>
    </row>
    <row r="1377" customFormat="false" ht="22.35" hidden="false" customHeight="false" outlineLevel="0" collapsed="false">
      <c r="A1377" s="76" t="s">
        <v>2063</v>
      </c>
      <c r="B1377" s="49" t="s">
        <v>3997</v>
      </c>
      <c r="C1377" s="49" t="s">
        <v>3998</v>
      </c>
      <c r="D1377" s="49" t="s">
        <v>2101</v>
      </c>
      <c r="E1377" s="57" t="s">
        <v>2102</v>
      </c>
      <c r="F1377" s="49" t="s">
        <v>2097</v>
      </c>
      <c r="G1377" s="49" t="s">
        <v>2097</v>
      </c>
      <c r="H1377" s="51" t="n">
        <v>350</v>
      </c>
      <c r="I1377" s="51" t="n">
        <v>159.9</v>
      </c>
      <c r="J1377" s="51" t="n">
        <v>479.7</v>
      </c>
      <c r="K1377" s="52" t="n">
        <v>800</v>
      </c>
      <c r="L1377" s="53" t="n">
        <v>25.1</v>
      </c>
      <c r="M1377" s="54" t="n">
        <v>68.8</v>
      </c>
      <c r="N1377" s="51" t="n">
        <v>12.740863</v>
      </c>
      <c r="O1377" s="55" t="n">
        <v>1.41</v>
      </c>
      <c r="P1377" s="51" t="n">
        <v>-129.7</v>
      </c>
      <c r="Q1377" s="49" t="s">
        <v>2103</v>
      </c>
      <c r="R1377" s="49" t="s">
        <v>2099</v>
      </c>
      <c r="S1377" s="53" t="n">
        <v>0.5</v>
      </c>
      <c r="T1377" s="51" t="n">
        <v>400</v>
      </c>
      <c r="U1377" s="56" t="n">
        <f aca="false">I1377*O1377</f>
        <v>225.459</v>
      </c>
      <c r="V1377" s="56" t="n">
        <f aca="false">J1377*O1377</f>
        <v>676.377</v>
      </c>
      <c r="W1377" s="56" t="n">
        <f aca="false">((I1377+J1377)/2)*O1377</f>
        <v>450.918</v>
      </c>
      <c r="X1377" s="56" t="n">
        <f aca="false">H1377*O1377</f>
        <v>493.5</v>
      </c>
    </row>
    <row r="1378" customFormat="false" ht="15" hidden="false" customHeight="false" outlineLevel="0" collapsed="false">
      <c r="A1378" s="76" t="s">
        <v>2063</v>
      </c>
      <c r="B1378" s="7" t="s">
        <v>3999</v>
      </c>
      <c r="C1378" s="7" t="s">
        <v>4000</v>
      </c>
      <c r="D1378" s="7" t="s">
        <v>2095</v>
      </c>
      <c r="E1378" s="50" t="s">
        <v>2096</v>
      </c>
      <c r="F1378" s="7" t="s">
        <v>2097</v>
      </c>
      <c r="G1378" s="7" t="s">
        <v>2097</v>
      </c>
      <c r="H1378" s="9" t="n">
        <v>10779</v>
      </c>
      <c r="I1378" s="9" t="n">
        <v>4214.7</v>
      </c>
      <c r="J1378" s="9" t="n">
        <v>8429.4</v>
      </c>
      <c r="K1378" s="52" t="n">
        <v>14880</v>
      </c>
      <c r="L1378" s="58" t="n">
        <v>13.7</v>
      </c>
      <c r="M1378" s="59" t="n">
        <v>79.4</v>
      </c>
      <c r="N1378" s="9" t="n">
        <v>307.642545</v>
      </c>
      <c r="O1378" s="8" t="n">
        <v>1.97</v>
      </c>
      <c r="P1378" s="9" t="n">
        <v>2349.6</v>
      </c>
      <c r="Q1378" s="7" t="s">
        <v>2098</v>
      </c>
      <c r="R1378" s="7" t="s">
        <v>2099</v>
      </c>
      <c r="S1378" s="58" t="n">
        <v>1</v>
      </c>
      <c r="T1378" s="9" t="n">
        <v>7440</v>
      </c>
      <c r="U1378" s="56" t="n">
        <f aca="false">I1378*O1378</f>
        <v>8302.959</v>
      </c>
      <c r="V1378" s="56" t="n">
        <f aca="false">J1378*O1378</f>
        <v>16605.918</v>
      </c>
      <c r="W1378" s="56" t="n">
        <f aca="false">((I1378+J1378)/2)*O1378</f>
        <v>12454.4385</v>
      </c>
      <c r="X1378" s="56" t="n">
        <f aca="false">H1378*O1378</f>
        <v>21234.63</v>
      </c>
    </row>
    <row r="1379" customFormat="false" ht="22.35" hidden="false" customHeight="false" outlineLevel="0" collapsed="false">
      <c r="A1379" s="76" t="s">
        <v>2063</v>
      </c>
      <c r="B1379" s="49" t="s">
        <v>4001</v>
      </c>
      <c r="C1379" s="49" t="s">
        <v>1503</v>
      </c>
      <c r="D1379" s="49" t="s">
        <v>2101</v>
      </c>
      <c r="E1379" s="57" t="s">
        <v>2102</v>
      </c>
      <c r="F1379" s="49" t="s">
        <v>2097</v>
      </c>
      <c r="G1379" s="49" t="s">
        <v>2097</v>
      </c>
      <c r="H1379" s="51" t="n">
        <v>192</v>
      </c>
      <c r="I1379" s="51" t="n">
        <v>128.15</v>
      </c>
      <c r="J1379" s="51" t="n">
        <v>384.46</v>
      </c>
      <c r="K1379" s="52" t="n">
        <v>384.46</v>
      </c>
      <c r="L1379" s="53" t="n">
        <v>39.5</v>
      </c>
      <c r="M1379" s="54" t="n">
        <v>37.5</v>
      </c>
      <c r="N1379" s="51" t="n">
        <v>6.488776</v>
      </c>
      <c r="O1379" s="55" t="n">
        <v>2.8</v>
      </c>
      <c r="P1379" s="51" t="n">
        <v>-192.46</v>
      </c>
      <c r="Q1379" s="49" t="s">
        <v>2103</v>
      </c>
      <c r="R1379" s="49" t="s">
        <v>2099</v>
      </c>
      <c r="S1379" s="53" t="n">
        <v>0.5</v>
      </c>
      <c r="T1379" s="51" t="n">
        <v>1</v>
      </c>
      <c r="U1379" s="56" t="n">
        <f aca="false">I1379*O1379</f>
        <v>358.82</v>
      </c>
      <c r="V1379" s="56" t="n">
        <f aca="false">J1379*O1379</f>
        <v>1076.488</v>
      </c>
      <c r="W1379" s="56" t="n">
        <f aca="false">((I1379+J1379)/2)*O1379</f>
        <v>717.654</v>
      </c>
      <c r="X1379" s="56" t="n">
        <f aca="false">H1379*O1379</f>
        <v>537.6</v>
      </c>
    </row>
    <row r="1380" customFormat="false" ht="22.35" hidden="false" customHeight="false" outlineLevel="0" collapsed="false">
      <c r="A1380" s="76" t="s">
        <v>2063</v>
      </c>
      <c r="B1380" s="7" t="s">
        <v>2553</v>
      </c>
      <c r="C1380" s="7" t="s">
        <v>1983</v>
      </c>
      <c r="D1380" s="7" t="s">
        <v>2109</v>
      </c>
      <c r="E1380" s="60" t="s">
        <v>2110</v>
      </c>
      <c r="F1380" s="7" t="s">
        <v>2097</v>
      </c>
      <c r="G1380" s="7" t="s">
        <v>2097</v>
      </c>
      <c r="H1380" s="9" t="n">
        <v>27676</v>
      </c>
      <c r="I1380" s="9" t="n">
        <v>43669.96</v>
      </c>
      <c r="J1380" s="9" t="n">
        <v>72783.27</v>
      </c>
      <c r="K1380" s="52" t="n">
        <v>85000</v>
      </c>
      <c r="L1380" s="58" t="n">
        <v>42.1</v>
      </c>
      <c r="M1380" s="59" t="n">
        <v>69.2</v>
      </c>
      <c r="N1380" s="9" t="n">
        <v>691.527481</v>
      </c>
      <c r="O1380" s="8" t="n">
        <v>1.6</v>
      </c>
      <c r="P1380" s="9" t="n">
        <v>-45107.27</v>
      </c>
      <c r="Q1380" s="7" t="s">
        <v>2103</v>
      </c>
      <c r="R1380" s="7" t="s">
        <v>2099</v>
      </c>
      <c r="S1380" s="58" t="n">
        <v>1.5</v>
      </c>
      <c r="T1380" s="9" t="n">
        <v>42500</v>
      </c>
      <c r="U1380" s="56" t="n">
        <f aca="false">I1380*O1380</f>
        <v>69871.936</v>
      </c>
      <c r="V1380" s="56" t="n">
        <f aca="false">J1380*O1380</f>
        <v>116453.232</v>
      </c>
      <c r="W1380" s="56" t="n">
        <f aca="false">((I1380+J1380)/2)*O1380</f>
        <v>93162.584</v>
      </c>
      <c r="X1380" s="56" t="n">
        <f aca="false">H1380*O1380</f>
        <v>44281.6</v>
      </c>
    </row>
    <row r="1381" customFormat="false" ht="22.35" hidden="false" customHeight="false" outlineLevel="0" collapsed="false">
      <c r="A1381" s="76" t="s">
        <v>2063</v>
      </c>
      <c r="B1381" s="4" t="s">
        <v>4002</v>
      </c>
      <c r="C1381" s="4" t="s">
        <v>1983</v>
      </c>
      <c r="D1381" s="4" t="s">
        <v>2101</v>
      </c>
      <c r="E1381" s="70" t="s">
        <v>2193</v>
      </c>
      <c r="F1381" s="4" t="s">
        <v>2097</v>
      </c>
      <c r="G1381" s="71" t="s">
        <v>2194</v>
      </c>
      <c r="H1381" s="6" t="n">
        <v>80</v>
      </c>
      <c r="I1381" s="6" t="n">
        <v>0</v>
      </c>
      <c r="J1381" s="6" t="n">
        <v>0</v>
      </c>
      <c r="K1381" s="52" t="n">
        <v>0</v>
      </c>
      <c r="L1381" s="72" t="n">
        <v>12.5</v>
      </c>
      <c r="M1381" s="73" t="n">
        <v>75</v>
      </c>
      <c r="N1381" s="6" t="n">
        <v>0.606096</v>
      </c>
      <c r="O1381" s="5" t="n">
        <v>2.7255</v>
      </c>
      <c r="P1381" s="6" t="n">
        <v>80</v>
      </c>
      <c r="Q1381" s="4" t="s">
        <v>2098</v>
      </c>
      <c r="R1381" s="4" t="s">
        <v>2195</v>
      </c>
      <c r="S1381" s="72" t="n">
        <v>0</v>
      </c>
      <c r="T1381" s="6" t="n">
        <v>55.115</v>
      </c>
      <c r="U1381" s="56" t="n">
        <f aca="false">I1381*O1381</f>
        <v>0</v>
      </c>
      <c r="V1381" s="56" t="n">
        <f aca="false">J1381*O1381</f>
        <v>0</v>
      </c>
      <c r="W1381" s="56" t="n">
        <f aca="false">((I1381+J1381)/2)*O1381</f>
        <v>0</v>
      </c>
      <c r="X1381" s="56" t="n">
        <f aca="false">H1381*O1381</f>
        <v>218.04</v>
      </c>
    </row>
    <row r="1382" customFormat="false" ht="22.35" hidden="false" customHeight="false" outlineLevel="0" collapsed="false">
      <c r="A1382" s="76" t="s">
        <v>2063</v>
      </c>
      <c r="B1382" s="7" t="s">
        <v>4003</v>
      </c>
      <c r="C1382" s="7" t="s">
        <v>1983</v>
      </c>
      <c r="D1382" s="7" t="s">
        <v>2101</v>
      </c>
      <c r="E1382" s="57" t="s">
        <v>2102</v>
      </c>
      <c r="F1382" s="7" t="s">
        <v>2097</v>
      </c>
      <c r="G1382" s="7" t="s">
        <v>2097</v>
      </c>
      <c r="H1382" s="9" t="n">
        <v>125</v>
      </c>
      <c r="I1382" s="9" t="n">
        <v>45.81</v>
      </c>
      <c r="J1382" s="9" t="n">
        <v>137.44</v>
      </c>
      <c r="K1382" s="52" t="n">
        <v>400</v>
      </c>
      <c r="L1382" s="58" t="n">
        <v>18.6</v>
      </c>
      <c r="M1382" s="59" t="n">
        <v>77.8</v>
      </c>
      <c r="N1382" s="9" t="n">
        <v>4.92609</v>
      </c>
      <c r="O1382" s="8" t="n">
        <v>2.1851</v>
      </c>
      <c r="P1382" s="9" t="n">
        <v>-12.44</v>
      </c>
      <c r="Q1382" s="7" t="s">
        <v>2103</v>
      </c>
      <c r="R1382" s="7" t="s">
        <v>2099</v>
      </c>
      <c r="S1382" s="58" t="n">
        <v>0.5</v>
      </c>
      <c r="T1382" s="9" t="n">
        <v>400</v>
      </c>
      <c r="U1382" s="56" t="n">
        <f aca="false">I1382*O1382</f>
        <v>100.099431</v>
      </c>
      <c r="V1382" s="56" t="n">
        <f aca="false">J1382*O1382</f>
        <v>300.320144</v>
      </c>
      <c r="W1382" s="56" t="n">
        <f aca="false">((I1382+J1382)/2)*O1382</f>
        <v>200.2097875</v>
      </c>
      <c r="X1382" s="56" t="n">
        <f aca="false">H1382*O1382</f>
        <v>273.1375</v>
      </c>
    </row>
    <row r="1383" customFormat="false" ht="22.35" hidden="false" customHeight="false" outlineLevel="0" collapsed="false">
      <c r="A1383" s="76" t="s">
        <v>2063</v>
      </c>
      <c r="B1383" s="49" t="s">
        <v>2554</v>
      </c>
      <c r="C1383" s="49" t="s">
        <v>1983</v>
      </c>
      <c r="D1383" s="49" t="s">
        <v>2109</v>
      </c>
      <c r="E1383" s="60" t="s">
        <v>2110</v>
      </c>
      <c r="F1383" s="49" t="s">
        <v>2097</v>
      </c>
      <c r="G1383" s="49" t="s">
        <v>2097</v>
      </c>
      <c r="H1383" s="51" t="n">
        <v>61533</v>
      </c>
      <c r="I1383" s="51" t="n">
        <v>75002.68</v>
      </c>
      <c r="J1383" s="51" t="n">
        <v>125004.47</v>
      </c>
      <c r="K1383" s="52" t="n">
        <v>125004.47</v>
      </c>
      <c r="L1383" s="53" t="n">
        <v>43.4</v>
      </c>
      <c r="M1383" s="54" t="n">
        <v>75.5</v>
      </c>
      <c r="N1383" s="51" t="n">
        <v>1152.114956</v>
      </c>
      <c r="O1383" s="55" t="n">
        <v>1.6</v>
      </c>
      <c r="P1383" s="51" t="n">
        <v>-63471.47</v>
      </c>
      <c r="Q1383" s="49" t="s">
        <v>2103</v>
      </c>
      <c r="R1383" s="49" t="s">
        <v>2099</v>
      </c>
      <c r="S1383" s="53" t="n">
        <v>1.5</v>
      </c>
      <c r="T1383" s="51" t="n">
        <v>1</v>
      </c>
      <c r="U1383" s="56" t="n">
        <f aca="false">I1383*O1383</f>
        <v>120004.288</v>
      </c>
      <c r="V1383" s="56" t="n">
        <f aca="false">J1383*O1383</f>
        <v>200007.152</v>
      </c>
      <c r="W1383" s="56" t="n">
        <f aca="false">((I1383+J1383)/2)*O1383</f>
        <v>160005.72</v>
      </c>
      <c r="X1383" s="56" t="n">
        <f aca="false">H1383*O1383</f>
        <v>98452.8</v>
      </c>
    </row>
    <row r="1384" customFormat="false" ht="22.35" hidden="false" customHeight="false" outlineLevel="0" collapsed="false">
      <c r="A1384" s="76" t="s">
        <v>2063</v>
      </c>
      <c r="B1384" s="7" t="s">
        <v>2555</v>
      </c>
      <c r="C1384" s="7" t="s">
        <v>1983</v>
      </c>
      <c r="D1384" s="7" t="s">
        <v>2109</v>
      </c>
      <c r="E1384" s="60" t="s">
        <v>2110</v>
      </c>
      <c r="F1384" s="7" t="s">
        <v>2097</v>
      </c>
      <c r="G1384" s="7" t="s">
        <v>2097</v>
      </c>
      <c r="H1384" s="9" t="n">
        <v>6996</v>
      </c>
      <c r="I1384" s="9" t="n">
        <v>15704.54</v>
      </c>
      <c r="J1384" s="9" t="n">
        <v>26174.23</v>
      </c>
      <c r="K1384" s="52" t="n">
        <v>41887.78</v>
      </c>
      <c r="L1384" s="58" t="n">
        <v>74.6</v>
      </c>
      <c r="M1384" s="59" t="n">
        <v>83.8</v>
      </c>
      <c r="N1384" s="9" t="n">
        <v>140.344384</v>
      </c>
      <c r="O1384" s="8" t="n">
        <v>1.5901</v>
      </c>
      <c r="P1384" s="9" t="n">
        <v>-19178.23</v>
      </c>
      <c r="Q1384" s="7" t="s">
        <v>2103</v>
      </c>
      <c r="R1384" s="7" t="s">
        <v>2099</v>
      </c>
      <c r="S1384" s="58" t="n">
        <v>1.5</v>
      </c>
      <c r="T1384" s="9" t="n">
        <v>41887.78</v>
      </c>
      <c r="U1384" s="56" t="n">
        <f aca="false">I1384*O1384</f>
        <v>24971.789054</v>
      </c>
      <c r="V1384" s="56" t="n">
        <f aca="false">J1384*O1384</f>
        <v>41619.643123</v>
      </c>
      <c r="W1384" s="56" t="n">
        <f aca="false">((I1384+J1384)/2)*O1384</f>
        <v>33295.7160885</v>
      </c>
      <c r="X1384" s="56" t="n">
        <f aca="false">H1384*O1384</f>
        <v>11124.3396</v>
      </c>
    </row>
    <row r="1385" customFormat="false" ht="22.35" hidden="false" customHeight="false" outlineLevel="0" collapsed="false">
      <c r="A1385" s="76" t="s">
        <v>2063</v>
      </c>
      <c r="B1385" s="49" t="s">
        <v>4004</v>
      </c>
      <c r="C1385" s="49" t="s">
        <v>1503</v>
      </c>
      <c r="D1385" s="49" t="s">
        <v>2101</v>
      </c>
      <c r="E1385" s="57" t="s">
        <v>2102</v>
      </c>
      <c r="F1385" s="49" t="s">
        <v>2097</v>
      </c>
      <c r="G1385" s="49" t="s">
        <v>2097</v>
      </c>
      <c r="H1385" s="51" t="n">
        <v>288</v>
      </c>
      <c r="I1385" s="51" t="n">
        <v>179.82</v>
      </c>
      <c r="J1385" s="51" t="n">
        <v>539.45</v>
      </c>
      <c r="K1385" s="52" t="n">
        <v>900</v>
      </c>
      <c r="L1385" s="53" t="n">
        <v>38.5</v>
      </c>
      <c r="M1385" s="54" t="n">
        <v>75</v>
      </c>
      <c r="N1385" s="51" t="n">
        <v>9.341077</v>
      </c>
      <c r="O1385" s="55" t="n">
        <v>3.46</v>
      </c>
      <c r="P1385" s="51" t="n">
        <v>-251.45</v>
      </c>
      <c r="Q1385" s="49" t="s">
        <v>2103</v>
      </c>
      <c r="R1385" s="49" t="s">
        <v>2099</v>
      </c>
      <c r="S1385" s="53" t="n">
        <v>0.5</v>
      </c>
      <c r="T1385" s="51" t="n">
        <v>900</v>
      </c>
      <c r="U1385" s="56" t="n">
        <f aca="false">I1385*O1385</f>
        <v>622.1772</v>
      </c>
      <c r="V1385" s="56" t="n">
        <f aca="false">J1385*O1385</f>
        <v>1866.497</v>
      </c>
      <c r="W1385" s="56" t="n">
        <f aca="false">((I1385+J1385)/2)*O1385</f>
        <v>1244.3371</v>
      </c>
      <c r="X1385" s="56" t="n">
        <f aca="false">H1385*O1385</f>
        <v>996.48</v>
      </c>
    </row>
    <row r="1386" customFormat="false" ht="22.35" hidden="false" customHeight="false" outlineLevel="0" collapsed="false">
      <c r="A1386" s="76" t="s">
        <v>2063</v>
      </c>
      <c r="B1386" s="7" t="s">
        <v>2556</v>
      </c>
      <c r="C1386" s="7" t="s">
        <v>1983</v>
      </c>
      <c r="D1386" s="7" t="s">
        <v>2109</v>
      </c>
      <c r="E1386" s="60" t="s">
        <v>2110</v>
      </c>
      <c r="F1386" s="7" t="s">
        <v>2097</v>
      </c>
      <c r="G1386" s="7" t="s">
        <v>2097</v>
      </c>
      <c r="H1386" s="9" t="n">
        <v>17226</v>
      </c>
      <c r="I1386" s="9" t="n">
        <v>32411.68</v>
      </c>
      <c r="J1386" s="9" t="n">
        <v>54019.47</v>
      </c>
      <c r="K1386" s="52" t="n">
        <v>54019.47</v>
      </c>
      <c r="L1386" s="58" t="n">
        <v>46.8</v>
      </c>
      <c r="M1386" s="59" t="n">
        <v>84.7</v>
      </c>
      <c r="N1386" s="9" t="n">
        <v>461.704901</v>
      </c>
      <c r="O1386" s="8" t="n">
        <v>1.59</v>
      </c>
      <c r="P1386" s="9" t="n">
        <v>-36793.47</v>
      </c>
      <c r="Q1386" s="7" t="s">
        <v>2103</v>
      </c>
      <c r="R1386" s="7" t="s">
        <v>2099</v>
      </c>
      <c r="S1386" s="58" t="n">
        <v>1.5</v>
      </c>
      <c r="T1386" s="9" t="n">
        <v>1</v>
      </c>
      <c r="U1386" s="56" t="n">
        <f aca="false">I1386*O1386</f>
        <v>51534.5712</v>
      </c>
      <c r="V1386" s="56" t="n">
        <f aca="false">J1386*O1386</f>
        <v>85890.9573</v>
      </c>
      <c r="W1386" s="56" t="n">
        <f aca="false">((I1386+J1386)/2)*O1386</f>
        <v>68712.76425</v>
      </c>
      <c r="X1386" s="56" t="n">
        <f aca="false">H1386*O1386</f>
        <v>27389.34</v>
      </c>
    </row>
    <row r="1387" customFormat="false" ht="22.35" hidden="false" customHeight="false" outlineLevel="0" collapsed="false">
      <c r="A1387" s="76" t="s">
        <v>2063</v>
      </c>
      <c r="B1387" s="4" t="s">
        <v>4005</v>
      </c>
      <c r="C1387" s="4" t="s">
        <v>4006</v>
      </c>
      <c r="D1387" s="4" t="s">
        <v>2101</v>
      </c>
      <c r="E1387" s="70" t="s">
        <v>2193</v>
      </c>
      <c r="F1387" s="4" t="s">
        <v>2097</v>
      </c>
      <c r="G1387" s="71" t="s">
        <v>2194</v>
      </c>
      <c r="H1387" s="6" t="n">
        <v>112</v>
      </c>
      <c r="I1387" s="6" t="n">
        <v>0</v>
      </c>
      <c r="J1387" s="6" t="n">
        <v>0</v>
      </c>
      <c r="K1387" s="52" t="n">
        <v>0</v>
      </c>
      <c r="L1387" s="72" t="n">
        <v>9.3</v>
      </c>
      <c r="M1387" s="73" t="n">
        <v>71.4</v>
      </c>
      <c r="N1387" s="6" t="n">
        <v>4.050603</v>
      </c>
      <c r="O1387" s="5" t="n">
        <v>3.9181</v>
      </c>
      <c r="P1387" s="6" t="n">
        <v>112</v>
      </c>
      <c r="Q1387" s="4" t="s">
        <v>2098</v>
      </c>
      <c r="R1387" s="4" t="s">
        <v>2195</v>
      </c>
      <c r="S1387" s="72" t="n">
        <v>0</v>
      </c>
      <c r="T1387" s="6" t="n">
        <v>1</v>
      </c>
      <c r="U1387" s="56" t="n">
        <f aca="false">I1387*O1387</f>
        <v>0</v>
      </c>
      <c r="V1387" s="56" t="n">
        <f aca="false">J1387*O1387</f>
        <v>0</v>
      </c>
      <c r="W1387" s="56" t="n">
        <f aca="false">((I1387+J1387)/2)*O1387</f>
        <v>0</v>
      </c>
      <c r="X1387" s="56" t="n">
        <f aca="false">H1387*O1387</f>
        <v>438.8272</v>
      </c>
    </row>
    <row r="1388" customFormat="false" ht="32.8" hidden="false" customHeight="false" outlineLevel="0" collapsed="false">
      <c r="A1388" s="76" t="s">
        <v>2063</v>
      </c>
      <c r="B1388" s="62" t="s">
        <v>4007</v>
      </c>
      <c r="C1388" s="62" t="s">
        <v>4008</v>
      </c>
      <c r="D1388" s="62" t="s">
        <v>2101</v>
      </c>
      <c r="E1388" s="78" t="s">
        <v>3474</v>
      </c>
      <c r="F1388" s="64" t="s">
        <v>2170</v>
      </c>
      <c r="G1388" s="62" t="s">
        <v>2097</v>
      </c>
      <c r="H1388" s="65" t="n">
        <v>40</v>
      </c>
      <c r="I1388" s="65" t="n">
        <v>42.23</v>
      </c>
      <c r="J1388" s="65" t="n">
        <v>126.69</v>
      </c>
      <c r="K1388" s="66" t="n">
        <v>200</v>
      </c>
      <c r="L1388" s="67" t="n">
        <v>18.6</v>
      </c>
      <c r="M1388" s="68" t="n">
        <v>40</v>
      </c>
      <c r="N1388" s="65" t="n">
        <v>1.005534</v>
      </c>
      <c r="O1388" s="69" t="n">
        <v>4.82</v>
      </c>
      <c r="P1388" s="65" t="n">
        <v>-86.69</v>
      </c>
      <c r="Q1388" s="62" t="s">
        <v>2103</v>
      </c>
      <c r="R1388" s="62" t="s">
        <v>4009</v>
      </c>
      <c r="S1388" s="67" t="n">
        <v>0.5</v>
      </c>
      <c r="T1388" s="65" t="n">
        <v>100</v>
      </c>
      <c r="U1388" s="56" t="n">
        <f aca="false">I1388*O1388</f>
        <v>203.5486</v>
      </c>
      <c r="V1388" s="56" t="n">
        <f aca="false">J1388*O1388</f>
        <v>610.6458</v>
      </c>
      <c r="W1388" s="56" t="n">
        <f aca="false">((I1388+J1388)/2)*O1388</f>
        <v>407.0972</v>
      </c>
      <c r="X1388" s="56" t="n">
        <f aca="false">H1388*O1388</f>
        <v>192.8</v>
      </c>
    </row>
    <row r="1389" customFormat="false" ht="32.8" hidden="false" customHeight="false" outlineLevel="0" collapsed="false">
      <c r="A1389" s="76" t="s">
        <v>2063</v>
      </c>
      <c r="B1389" s="62" t="s">
        <v>4010</v>
      </c>
      <c r="C1389" s="62" t="s">
        <v>3478</v>
      </c>
      <c r="D1389" s="62" t="s">
        <v>2101</v>
      </c>
      <c r="E1389" s="78" t="s">
        <v>3474</v>
      </c>
      <c r="F1389" s="64" t="s">
        <v>2170</v>
      </c>
      <c r="G1389" s="62" t="s">
        <v>2097</v>
      </c>
      <c r="H1389" s="65" t="n">
        <v>136</v>
      </c>
      <c r="I1389" s="65" t="n">
        <v>420.19</v>
      </c>
      <c r="J1389" s="65" t="n">
        <v>1260.58</v>
      </c>
      <c r="K1389" s="66" t="n">
        <v>1320</v>
      </c>
      <c r="L1389" s="67" t="n">
        <v>48.7</v>
      </c>
      <c r="M1389" s="68" t="n">
        <v>61.9</v>
      </c>
      <c r="N1389" s="65" t="n">
        <v>12.572823</v>
      </c>
      <c r="O1389" s="69" t="n">
        <v>10.9967</v>
      </c>
      <c r="P1389" s="65" t="n">
        <v>-1124.58</v>
      </c>
      <c r="Q1389" s="62" t="s">
        <v>2103</v>
      </c>
      <c r="R1389" s="62" t="s">
        <v>4011</v>
      </c>
      <c r="S1389" s="67" t="n">
        <v>0.5</v>
      </c>
      <c r="T1389" s="65" t="n">
        <v>440</v>
      </c>
      <c r="U1389" s="56" t="n">
        <f aca="false">I1389*O1389</f>
        <v>4620.703373</v>
      </c>
      <c r="V1389" s="56" t="n">
        <f aca="false">J1389*O1389</f>
        <v>13862.220086</v>
      </c>
      <c r="W1389" s="56" t="n">
        <f aca="false">((I1389+J1389)/2)*O1389</f>
        <v>9241.4617295</v>
      </c>
      <c r="X1389" s="56" t="n">
        <f aca="false">H1389*O1389</f>
        <v>1495.5512</v>
      </c>
    </row>
    <row r="1390" customFormat="false" ht="15" hidden="false" customHeight="false" outlineLevel="0" collapsed="false">
      <c r="A1390" s="76" t="s">
        <v>2063</v>
      </c>
      <c r="B1390" s="7" t="s">
        <v>4012</v>
      </c>
      <c r="C1390" s="7" t="s">
        <v>4013</v>
      </c>
      <c r="D1390" s="7" t="s">
        <v>2101</v>
      </c>
      <c r="E1390" s="50" t="s">
        <v>2096</v>
      </c>
      <c r="F1390" s="7" t="s">
        <v>2097</v>
      </c>
      <c r="G1390" s="7" t="s">
        <v>2097</v>
      </c>
      <c r="H1390" s="9" t="n">
        <v>40</v>
      </c>
      <c r="I1390" s="9" t="n">
        <v>3.38</v>
      </c>
      <c r="J1390" s="9" t="n">
        <v>10.15</v>
      </c>
      <c r="K1390" s="52" t="n">
        <v>40</v>
      </c>
      <c r="L1390" s="58" t="n">
        <v>16.6</v>
      </c>
      <c r="M1390" s="59" t="n">
        <v>75</v>
      </c>
      <c r="N1390" s="9" t="n">
        <v>0.407581</v>
      </c>
      <c r="O1390" s="8" t="n">
        <v>89.581</v>
      </c>
      <c r="P1390" s="9" t="n">
        <v>29.85</v>
      </c>
      <c r="Q1390" s="7" t="s">
        <v>2098</v>
      </c>
      <c r="R1390" s="7" t="s">
        <v>2099</v>
      </c>
      <c r="S1390" s="58" t="n">
        <v>0.5</v>
      </c>
      <c r="T1390" s="9" t="n">
        <v>40</v>
      </c>
      <c r="U1390" s="56" t="n">
        <f aca="false">I1390*O1390</f>
        <v>302.78378</v>
      </c>
      <c r="V1390" s="56" t="n">
        <f aca="false">J1390*O1390</f>
        <v>909.24715</v>
      </c>
      <c r="W1390" s="56" t="n">
        <f aca="false">((I1390+J1390)/2)*O1390</f>
        <v>606.015465</v>
      </c>
      <c r="X1390" s="56" t="n">
        <f aca="false">H1390*O1390</f>
        <v>3583.24</v>
      </c>
    </row>
    <row r="1391" customFormat="false" ht="32.8" hidden="false" customHeight="false" outlineLevel="0" collapsed="false">
      <c r="A1391" s="76" t="s">
        <v>2063</v>
      </c>
      <c r="B1391" s="62" t="s">
        <v>4014</v>
      </c>
      <c r="C1391" s="62" t="s">
        <v>1661</v>
      </c>
      <c r="D1391" s="62" t="s">
        <v>2101</v>
      </c>
      <c r="E1391" s="78" t="s">
        <v>3474</v>
      </c>
      <c r="F1391" s="64" t="s">
        <v>2170</v>
      </c>
      <c r="G1391" s="62" t="s">
        <v>2097</v>
      </c>
      <c r="H1391" s="65" t="n">
        <v>80</v>
      </c>
      <c r="I1391" s="65" t="n">
        <v>60.52</v>
      </c>
      <c r="J1391" s="65" t="n">
        <v>181.56</v>
      </c>
      <c r="K1391" s="66" t="n">
        <v>330</v>
      </c>
      <c r="L1391" s="67" t="n">
        <v>47.8</v>
      </c>
      <c r="M1391" s="68" t="n">
        <v>33.3</v>
      </c>
      <c r="N1391" s="65" t="n">
        <v>2.269211</v>
      </c>
      <c r="O1391" s="69" t="n">
        <v>11.1147</v>
      </c>
      <c r="P1391" s="65" t="n">
        <v>-101.56</v>
      </c>
      <c r="Q1391" s="62" t="s">
        <v>2103</v>
      </c>
      <c r="R1391" s="62" t="s">
        <v>4015</v>
      </c>
      <c r="S1391" s="67" t="n">
        <v>0.5</v>
      </c>
      <c r="T1391" s="65" t="n">
        <v>330</v>
      </c>
      <c r="U1391" s="56" t="n">
        <f aca="false">I1391*O1391</f>
        <v>672.661644</v>
      </c>
      <c r="V1391" s="56" t="n">
        <f aca="false">J1391*O1391</f>
        <v>2017.984932</v>
      </c>
      <c r="W1391" s="56" t="n">
        <f aca="false">((I1391+J1391)/2)*O1391</f>
        <v>1345.323288</v>
      </c>
      <c r="X1391" s="56" t="n">
        <f aca="false">H1391*O1391</f>
        <v>889.176</v>
      </c>
    </row>
    <row r="1392" customFormat="false" ht="22.35" hidden="false" customHeight="false" outlineLevel="0" collapsed="false">
      <c r="A1392" s="76" t="s">
        <v>2063</v>
      </c>
      <c r="B1392" s="7" t="s">
        <v>4016</v>
      </c>
      <c r="C1392" s="7" t="s">
        <v>1703</v>
      </c>
      <c r="D1392" s="7" t="s">
        <v>2101</v>
      </c>
      <c r="E1392" s="57" t="s">
        <v>2102</v>
      </c>
      <c r="F1392" s="7" t="s">
        <v>2097</v>
      </c>
      <c r="G1392" s="7" t="s">
        <v>2097</v>
      </c>
      <c r="H1392" s="9" t="n">
        <v>40</v>
      </c>
      <c r="I1392" s="9" t="n">
        <v>38.11</v>
      </c>
      <c r="J1392" s="9" t="n">
        <v>114.33</v>
      </c>
      <c r="K1392" s="52" t="n">
        <v>132</v>
      </c>
      <c r="L1392" s="58" t="n">
        <v>78.2</v>
      </c>
      <c r="M1392" s="59" t="n">
        <v>50</v>
      </c>
      <c r="N1392" s="9" t="n">
        <v>0.97463</v>
      </c>
      <c r="O1392" s="8" t="n">
        <v>22.01</v>
      </c>
      <c r="P1392" s="9" t="n">
        <v>-74.33</v>
      </c>
      <c r="Q1392" s="7" t="s">
        <v>2103</v>
      </c>
      <c r="R1392" s="7" t="s">
        <v>2099</v>
      </c>
      <c r="S1392" s="58" t="n">
        <v>0.5</v>
      </c>
      <c r="T1392" s="9" t="n">
        <v>44</v>
      </c>
      <c r="U1392" s="56" t="n">
        <f aca="false">I1392*O1392</f>
        <v>838.8011</v>
      </c>
      <c r="V1392" s="56" t="n">
        <f aca="false">J1392*O1392</f>
        <v>2516.4033</v>
      </c>
      <c r="W1392" s="56" t="n">
        <f aca="false">((I1392+J1392)/2)*O1392</f>
        <v>1677.6022</v>
      </c>
      <c r="X1392" s="56" t="n">
        <f aca="false">H1392*O1392</f>
        <v>880.4</v>
      </c>
    </row>
    <row r="1393" customFormat="false" ht="15" hidden="false" customHeight="false" outlineLevel="0" collapsed="false">
      <c r="A1393" s="76" t="s">
        <v>2063</v>
      </c>
      <c r="B1393" s="49" t="s">
        <v>4017</v>
      </c>
      <c r="C1393" s="49" t="s">
        <v>4018</v>
      </c>
      <c r="D1393" s="49" t="s">
        <v>2101</v>
      </c>
      <c r="E1393" s="50" t="s">
        <v>2096</v>
      </c>
      <c r="F1393" s="49" t="s">
        <v>2097</v>
      </c>
      <c r="G1393" s="49" t="s">
        <v>2097</v>
      </c>
      <c r="H1393" s="51" t="n">
        <v>40</v>
      </c>
      <c r="I1393" s="51" t="n">
        <v>7.51</v>
      </c>
      <c r="J1393" s="51" t="n">
        <v>22.53</v>
      </c>
      <c r="K1393" s="52" t="n">
        <v>44</v>
      </c>
      <c r="L1393" s="53" t="n">
        <v>8.7</v>
      </c>
      <c r="M1393" s="54" t="n">
        <v>78.9</v>
      </c>
      <c r="N1393" s="51" t="n">
        <v>1.726753</v>
      </c>
      <c r="O1393" s="55" t="n">
        <v>35.05</v>
      </c>
      <c r="P1393" s="51" t="n">
        <v>17.47</v>
      </c>
      <c r="Q1393" s="49" t="s">
        <v>2098</v>
      </c>
      <c r="R1393" s="49" t="s">
        <v>2099</v>
      </c>
      <c r="S1393" s="53" t="n">
        <v>0.5</v>
      </c>
      <c r="T1393" s="51" t="n">
        <v>44</v>
      </c>
      <c r="U1393" s="56" t="n">
        <f aca="false">I1393*O1393</f>
        <v>263.2255</v>
      </c>
      <c r="V1393" s="56" t="n">
        <f aca="false">J1393*O1393</f>
        <v>789.6765</v>
      </c>
      <c r="W1393" s="56" t="n">
        <f aca="false">((I1393+J1393)/2)*O1393</f>
        <v>526.451</v>
      </c>
      <c r="X1393" s="56" t="n">
        <f aca="false">H1393*O1393</f>
        <v>1402</v>
      </c>
    </row>
    <row r="1394" customFormat="false" ht="22.35" hidden="false" customHeight="false" outlineLevel="0" collapsed="false">
      <c r="A1394" s="76" t="s">
        <v>2063</v>
      </c>
      <c r="B1394" s="7" t="s">
        <v>4019</v>
      </c>
      <c r="C1394" s="7" t="s">
        <v>4020</v>
      </c>
      <c r="D1394" s="7" t="s">
        <v>2101</v>
      </c>
      <c r="E1394" s="57" t="s">
        <v>2102</v>
      </c>
      <c r="F1394" s="7" t="s">
        <v>2097</v>
      </c>
      <c r="G1394" s="7" t="s">
        <v>2097</v>
      </c>
      <c r="H1394" s="9" t="n">
        <v>1228</v>
      </c>
      <c r="I1394" s="9" t="n">
        <v>1585.82</v>
      </c>
      <c r="J1394" s="9" t="n">
        <v>4757.46</v>
      </c>
      <c r="K1394" s="52" t="n">
        <v>5016</v>
      </c>
      <c r="L1394" s="58" t="n">
        <v>65.1</v>
      </c>
      <c r="M1394" s="59" t="n">
        <v>60</v>
      </c>
      <c r="N1394" s="9" t="n">
        <v>48.719521</v>
      </c>
      <c r="O1394" s="8" t="n">
        <v>18.87</v>
      </c>
      <c r="P1394" s="9" t="n">
        <v>-3529.46</v>
      </c>
      <c r="Q1394" s="7" t="s">
        <v>2103</v>
      </c>
      <c r="R1394" s="7" t="s">
        <v>2099</v>
      </c>
      <c r="S1394" s="58" t="n">
        <v>0.5</v>
      </c>
      <c r="T1394" s="9" t="n">
        <v>2508</v>
      </c>
      <c r="U1394" s="56" t="n">
        <f aca="false">I1394*O1394</f>
        <v>29924.4234</v>
      </c>
      <c r="V1394" s="56" t="n">
        <f aca="false">J1394*O1394</f>
        <v>89773.2702</v>
      </c>
      <c r="W1394" s="56" t="n">
        <f aca="false">((I1394+J1394)/2)*O1394</f>
        <v>59848.8468</v>
      </c>
      <c r="X1394" s="56" t="n">
        <f aca="false">H1394*O1394</f>
        <v>23172.36</v>
      </c>
    </row>
    <row r="1395" customFormat="false" ht="15" hidden="false" customHeight="false" outlineLevel="0" collapsed="false">
      <c r="A1395" s="76" t="s">
        <v>2063</v>
      </c>
      <c r="B1395" s="49" t="s">
        <v>4021</v>
      </c>
      <c r="C1395" s="49" t="s">
        <v>1661</v>
      </c>
      <c r="D1395" s="49" t="s">
        <v>2101</v>
      </c>
      <c r="E1395" s="50" t="s">
        <v>2096</v>
      </c>
      <c r="F1395" s="49" t="s">
        <v>2097</v>
      </c>
      <c r="G1395" s="49" t="s">
        <v>2097</v>
      </c>
      <c r="H1395" s="51" t="n">
        <v>40</v>
      </c>
      <c r="I1395" s="51" t="n">
        <v>9.64</v>
      </c>
      <c r="J1395" s="51" t="n">
        <v>28.92</v>
      </c>
      <c r="K1395" s="52" t="n">
        <v>55</v>
      </c>
      <c r="L1395" s="53" t="n">
        <v>17.6</v>
      </c>
      <c r="M1395" s="54" t="n">
        <v>90.9</v>
      </c>
      <c r="N1395" s="51" t="n">
        <v>1.095685</v>
      </c>
      <c r="O1395" s="55" t="n">
        <v>7.5</v>
      </c>
      <c r="P1395" s="51" t="n">
        <v>11.08</v>
      </c>
      <c r="Q1395" s="49" t="s">
        <v>2098</v>
      </c>
      <c r="R1395" s="49" t="s">
        <v>2099</v>
      </c>
      <c r="S1395" s="53" t="n">
        <v>0.5</v>
      </c>
      <c r="T1395" s="51" t="n">
        <v>55</v>
      </c>
      <c r="U1395" s="56" t="n">
        <f aca="false">I1395*O1395</f>
        <v>72.3</v>
      </c>
      <c r="V1395" s="56" t="n">
        <f aca="false">J1395*O1395</f>
        <v>216.9</v>
      </c>
      <c r="W1395" s="56" t="n">
        <f aca="false">((I1395+J1395)/2)*O1395</f>
        <v>144.6</v>
      </c>
      <c r="X1395" s="56" t="n">
        <f aca="false">H1395*O1395</f>
        <v>300</v>
      </c>
    </row>
    <row r="1396" customFormat="false" ht="22.35" hidden="false" customHeight="false" outlineLevel="0" collapsed="false">
      <c r="A1396" s="76" t="s">
        <v>2063</v>
      </c>
      <c r="B1396" s="7" t="s">
        <v>2561</v>
      </c>
      <c r="C1396" s="7" t="s">
        <v>2562</v>
      </c>
      <c r="D1396" s="7" t="s">
        <v>2101</v>
      </c>
      <c r="E1396" s="57" t="s">
        <v>2102</v>
      </c>
      <c r="F1396" s="7" t="s">
        <v>2097</v>
      </c>
      <c r="G1396" s="7" t="s">
        <v>2097</v>
      </c>
      <c r="H1396" s="9" t="n">
        <v>1757</v>
      </c>
      <c r="I1396" s="9" t="n">
        <v>646.17</v>
      </c>
      <c r="J1396" s="9" t="n">
        <v>1938.51</v>
      </c>
      <c r="K1396" s="52" t="n">
        <v>1938.51</v>
      </c>
      <c r="L1396" s="58" t="n">
        <v>16.5</v>
      </c>
      <c r="M1396" s="59" t="n">
        <v>91.2</v>
      </c>
      <c r="N1396" s="9" t="n">
        <v>78.323581</v>
      </c>
      <c r="O1396" s="8" t="n">
        <v>1.96</v>
      </c>
      <c r="P1396" s="9" t="n">
        <v>-181.51</v>
      </c>
      <c r="Q1396" s="7" t="s">
        <v>2103</v>
      </c>
      <c r="R1396" s="7" t="s">
        <v>2099</v>
      </c>
      <c r="S1396" s="58" t="n">
        <v>0.5</v>
      </c>
      <c r="T1396" s="9" t="n">
        <v>0</v>
      </c>
      <c r="U1396" s="56" t="n">
        <f aca="false">I1396*O1396</f>
        <v>1266.4932</v>
      </c>
      <c r="V1396" s="56" t="n">
        <f aca="false">J1396*O1396</f>
        <v>3799.4796</v>
      </c>
      <c r="W1396" s="56" t="n">
        <f aca="false">((I1396+J1396)/2)*O1396</f>
        <v>2532.9864</v>
      </c>
      <c r="X1396" s="56" t="n">
        <f aca="false">H1396*O1396</f>
        <v>3443.72</v>
      </c>
    </row>
    <row r="1397" customFormat="false" ht="15" hidden="false" customHeight="false" outlineLevel="0" collapsed="false">
      <c r="A1397" s="76" t="s">
        <v>2063</v>
      </c>
      <c r="B1397" s="49" t="s">
        <v>4022</v>
      </c>
      <c r="C1397" s="49" t="s">
        <v>2562</v>
      </c>
      <c r="D1397" s="49" t="s">
        <v>2101</v>
      </c>
      <c r="E1397" s="50" t="s">
        <v>2096</v>
      </c>
      <c r="F1397" s="49" t="s">
        <v>2097</v>
      </c>
      <c r="G1397" s="49" t="s">
        <v>2097</v>
      </c>
      <c r="H1397" s="51" t="n">
        <v>40</v>
      </c>
      <c r="I1397" s="51" t="n">
        <v>0.33</v>
      </c>
      <c r="J1397" s="51" t="n">
        <v>1</v>
      </c>
      <c r="K1397" s="52" t="n">
        <v>100</v>
      </c>
      <c r="L1397" s="53" t="n">
        <v>16.5</v>
      </c>
      <c r="M1397" s="54" t="n">
        <v>25</v>
      </c>
      <c r="N1397" s="51" t="n">
        <v>0.040575</v>
      </c>
      <c r="O1397" s="55" t="n">
        <v>1.88</v>
      </c>
      <c r="P1397" s="51" t="n">
        <v>39</v>
      </c>
      <c r="Q1397" s="49" t="s">
        <v>2098</v>
      </c>
      <c r="R1397" s="49" t="s">
        <v>2099</v>
      </c>
      <c r="S1397" s="53" t="n">
        <v>0.5</v>
      </c>
      <c r="T1397" s="51" t="n">
        <v>100</v>
      </c>
      <c r="U1397" s="56" t="n">
        <f aca="false">I1397*O1397</f>
        <v>0.6204</v>
      </c>
      <c r="V1397" s="56" t="n">
        <f aca="false">J1397*O1397</f>
        <v>1.88</v>
      </c>
      <c r="W1397" s="56" t="n">
        <f aca="false">((I1397+J1397)/2)*O1397</f>
        <v>1.2502</v>
      </c>
      <c r="X1397" s="56" t="n">
        <f aca="false">H1397*O1397</f>
        <v>75.2</v>
      </c>
    </row>
    <row r="1398" customFormat="false" ht="22.35" hidden="false" customHeight="false" outlineLevel="0" collapsed="false">
      <c r="A1398" s="76" t="s">
        <v>2063</v>
      </c>
      <c r="B1398" s="7" t="s">
        <v>4023</v>
      </c>
      <c r="C1398" s="7" t="s">
        <v>4024</v>
      </c>
      <c r="D1398" s="7" t="s">
        <v>2101</v>
      </c>
      <c r="E1398" s="57" t="s">
        <v>2102</v>
      </c>
      <c r="F1398" s="7" t="s">
        <v>2097</v>
      </c>
      <c r="G1398" s="7" t="s">
        <v>2097</v>
      </c>
      <c r="H1398" s="9" t="n">
        <v>142</v>
      </c>
      <c r="I1398" s="9" t="n">
        <v>81.79</v>
      </c>
      <c r="J1398" s="9" t="n">
        <v>245.38</v>
      </c>
      <c r="K1398" s="52" t="n">
        <v>440</v>
      </c>
      <c r="L1398" s="58" t="n">
        <v>26.7</v>
      </c>
      <c r="M1398" s="59" t="n">
        <v>80</v>
      </c>
      <c r="N1398" s="9" t="n">
        <v>6.126838</v>
      </c>
      <c r="O1398" s="8" t="n">
        <v>10.3091</v>
      </c>
      <c r="P1398" s="9" t="n">
        <v>-103.38</v>
      </c>
      <c r="Q1398" s="7" t="s">
        <v>2103</v>
      </c>
      <c r="R1398" s="7" t="s">
        <v>2099</v>
      </c>
      <c r="S1398" s="58" t="n">
        <v>0.5</v>
      </c>
      <c r="T1398" s="9" t="n">
        <v>440</v>
      </c>
      <c r="U1398" s="56" t="n">
        <f aca="false">I1398*O1398</f>
        <v>843.181289</v>
      </c>
      <c r="V1398" s="56" t="n">
        <f aca="false">J1398*O1398</f>
        <v>2529.646958</v>
      </c>
      <c r="W1398" s="56" t="n">
        <f aca="false">((I1398+J1398)/2)*O1398</f>
        <v>1686.4141235</v>
      </c>
      <c r="X1398" s="56" t="n">
        <f aca="false">H1398*O1398</f>
        <v>1463.8922</v>
      </c>
    </row>
    <row r="1399" customFormat="false" ht="22.35" hidden="false" customHeight="false" outlineLevel="0" collapsed="false">
      <c r="A1399" s="76" t="s">
        <v>2063</v>
      </c>
      <c r="B1399" s="49" t="s">
        <v>2563</v>
      </c>
      <c r="C1399" s="49" t="s">
        <v>2562</v>
      </c>
      <c r="D1399" s="49" t="s">
        <v>2095</v>
      </c>
      <c r="E1399" s="61" t="s">
        <v>2113</v>
      </c>
      <c r="F1399" s="49" t="s">
        <v>2097</v>
      </c>
      <c r="G1399" s="49" t="s">
        <v>2097</v>
      </c>
      <c r="H1399" s="51" t="n">
        <v>965</v>
      </c>
      <c r="I1399" s="51" t="n">
        <v>1124.96</v>
      </c>
      <c r="J1399" s="51" t="n">
        <v>2249.92</v>
      </c>
      <c r="K1399" s="52" t="n">
        <v>4400</v>
      </c>
      <c r="L1399" s="53" t="n">
        <v>34.4</v>
      </c>
      <c r="M1399" s="54" t="n">
        <v>85.5</v>
      </c>
      <c r="N1399" s="51" t="n">
        <v>32.702361</v>
      </c>
      <c r="O1399" s="55" t="n">
        <v>1.985</v>
      </c>
      <c r="P1399" s="51" t="n">
        <v>-1284.92</v>
      </c>
      <c r="Q1399" s="49" t="s">
        <v>2103</v>
      </c>
      <c r="R1399" s="49" t="s">
        <v>2099</v>
      </c>
      <c r="S1399" s="53" t="n">
        <v>1</v>
      </c>
      <c r="T1399" s="51" t="n">
        <v>2200</v>
      </c>
      <c r="U1399" s="56" t="n">
        <f aca="false">I1399*O1399</f>
        <v>2233.0456</v>
      </c>
      <c r="V1399" s="56" t="n">
        <f aca="false">J1399*O1399</f>
        <v>4466.0912</v>
      </c>
      <c r="W1399" s="56" t="n">
        <f aca="false">((I1399+J1399)/2)*O1399</f>
        <v>3349.5684</v>
      </c>
      <c r="X1399" s="56" t="n">
        <f aca="false">H1399*O1399</f>
        <v>1915.525</v>
      </c>
    </row>
    <row r="1400" customFormat="false" ht="15" hidden="false" customHeight="false" outlineLevel="0" collapsed="false">
      <c r="A1400" s="76" t="s">
        <v>2063</v>
      </c>
      <c r="B1400" s="7" t="s">
        <v>4025</v>
      </c>
      <c r="C1400" s="7" t="s">
        <v>4026</v>
      </c>
      <c r="D1400" s="7" t="s">
        <v>2101</v>
      </c>
      <c r="E1400" s="50" t="s">
        <v>2096</v>
      </c>
      <c r="F1400" s="7" t="s">
        <v>2097</v>
      </c>
      <c r="G1400" s="7" t="s">
        <v>2097</v>
      </c>
      <c r="H1400" s="9" t="n">
        <v>40</v>
      </c>
      <c r="I1400" s="9" t="n">
        <v>2.65</v>
      </c>
      <c r="J1400" s="9" t="n">
        <v>7.95</v>
      </c>
      <c r="K1400" s="52" t="n">
        <v>50</v>
      </c>
      <c r="L1400" s="58" t="n">
        <v>11.7</v>
      </c>
      <c r="M1400" s="59" t="n">
        <v>66.7</v>
      </c>
      <c r="N1400" s="9" t="n">
        <v>0.453055</v>
      </c>
      <c r="O1400" s="8" t="n">
        <v>3.94</v>
      </c>
      <c r="P1400" s="9" t="n">
        <v>32.05</v>
      </c>
      <c r="Q1400" s="7" t="s">
        <v>2098</v>
      </c>
      <c r="R1400" s="7" t="s">
        <v>2099</v>
      </c>
      <c r="S1400" s="58" t="n">
        <v>0.5</v>
      </c>
      <c r="T1400" s="9" t="n">
        <v>50</v>
      </c>
      <c r="U1400" s="56" t="n">
        <f aca="false">I1400*O1400</f>
        <v>10.441</v>
      </c>
      <c r="V1400" s="56" t="n">
        <f aca="false">J1400*O1400</f>
        <v>31.323</v>
      </c>
      <c r="W1400" s="56" t="n">
        <f aca="false">((I1400+J1400)/2)*O1400</f>
        <v>20.882</v>
      </c>
      <c r="X1400" s="56" t="n">
        <f aca="false">H1400*O1400</f>
        <v>157.6</v>
      </c>
    </row>
    <row r="1401" customFormat="false" ht="22.35" hidden="false" customHeight="false" outlineLevel="0" collapsed="false">
      <c r="A1401" s="76" t="s">
        <v>2063</v>
      </c>
      <c r="B1401" s="49" t="s">
        <v>4027</v>
      </c>
      <c r="C1401" s="49" t="s">
        <v>4028</v>
      </c>
      <c r="D1401" s="49" t="s">
        <v>2101</v>
      </c>
      <c r="E1401" s="57" t="s">
        <v>2102</v>
      </c>
      <c r="F1401" s="49" t="s">
        <v>2097</v>
      </c>
      <c r="G1401" s="49" t="s">
        <v>2097</v>
      </c>
      <c r="H1401" s="51" t="n">
        <v>137</v>
      </c>
      <c r="I1401" s="51" t="n">
        <v>81.47</v>
      </c>
      <c r="J1401" s="51" t="n">
        <v>244.4</v>
      </c>
      <c r="K1401" s="52" t="n">
        <v>396</v>
      </c>
      <c r="L1401" s="53" t="n">
        <v>30.8</v>
      </c>
      <c r="M1401" s="54" t="n">
        <v>57.7</v>
      </c>
      <c r="N1401" s="51" t="n">
        <v>5.289939</v>
      </c>
      <c r="O1401" s="55" t="n">
        <v>8.12</v>
      </c>
      <c r="P1401" s="51" t="n">
        <v>-107.4</v>
      </c>
      <c r="Q1401" s="49" t="s">
        <v>2103</v>
      </c>
      <c r="R1401" s="49" t="s">
        <v>2099</v>
      </c>
      <c r="S1401" s="53" t="n">
        <v>0.5</v>
      </c>
      <c r="T1401" s="51" t="n">
        <v>396</v>
      </c>
      <c r="U1401" s="56" t="n">
        <f aca="false">I1401*O1401</f>
        <v>661.5364</v>
      </c>
      <c r="V1401" s="56" t="n">
        <f aca="false">J1401*O1401</f>
        <v>1984.528</v>
      </c>
      <c r="W1401" s="56" t="n">
        <f aca="false">((I1401+J1401)/2)*O1401</f>
        <v>1323.0322</v>
      </c>
      <c r="X1401" s="56" t="n">
        <f aca="false">H1401*O1401</f>
        <v>1112.44</v>
      </c>
    </row>
    <row r="1402" customFormat="false" ht="22.35" hidden="false" customHeight="false" outlineLevel="0" collapsed="false">
      <c r="A1402" s="76" t="s">
        <v>2063</v>
      </c>
      <c r="B1402" s="7" t="s">
        <v>2564</v>
      </c>
      <c r="C1402" s="7" t="s">
        <v>1703</v>
      </c>
      <c r="D1402" s="7" t="s">
        <v>2101</v>
      </c>
      <c r="E1402" s="57" t="s">
        <v>2102</v>
      </c>
      <c r="F1402" s="7" t="s">
        <v>2097</v>
      </c>
      <c r="G1402" s="7" t="s">
        <v>2097</v>
      </c>
      <c r="H1402" s="9" t="n">
        <v>992</v>
      </c>
      <c r="I1402" s="9" t="n">
        <v>830.19</v>
      </c>
      <c r="J1402" s="9" t="n">
        <v>2490.58</v>
      </c>
      <c r="K1402" s="52" t="n">
        <v>2640</v>
      </c>
      <c r="L1402" s="58" t="n">
        <v>43.2</v>
      </c>
      <c r="M1402" s="59" t="n">
        <v>72.2</v>
      </c>
      <c r="N1402" s="9" t="n">
        <v>38.434914</v>
      </c>
      <c r="O1402" s="8" t="n">
        <v>11.01</v>
      </c>
      <c r="P1402" s="9" t="n">
        <v>-1498.58</v>
      </c>
      <c r="Q1402" s="7" t="s">
        <v>2103</v>
      </c>
      <c r="R1402" s="7" t="s">
        <v>2099</v>
      </c>
      <c r="S1402" s="58" t="n">
        <v>0.5</v>
      </c>
      <c r="T1402" s="9" t="n">
        <v>330</v>
      </c>
      <c r="U1402" s="56" t="n">
        <f aca="false">I1402*O1402</f>
        <v>9140.3919</v>
      </c>
      <c r="V1402" s="56" t="n">
        <f aca="false">J1402*O1402</f>
        <v>27421.2858</v>
      </c>
      <c r="W1402" s="56" t="n">
        <f aca="false">((I1402+J1402)/2)*O1402</f>
        <v>18280.83885</v>
      </c>
      <c r="X1402" s="56" t="n">
        <f aca="false">H1402*O1402</f>
        <v>10921.92</v>
      </c>
    </row>
    <row r="1403" customFormat="false" ht="22.35" hidden="false" customHeight="false" outlineLevel="0" collapsed="false">
      <c r="A1403" s="76" t="s">
        <v>2063</v>
      </c>
      <c r="B1403" s="49" t="s">
        <v>4029</v>
      </c>
      <c r="C1403" s="49" t="s">
        <v>1661</v>
      </c>
      <c r="D1403" s="49" t="s">
        <v>2101</v>
      </c>
      <c r="E1403" s="57" t="s">
        <v>2102</v>
      </c>
      <c r="F1403" s="49" t="s">
        <v>2097</v>
      </c>
      <c r="G1403" s="49" t="s">
        <v>2097</v>
      </c>
      <c r="H1403" s="51" t="n">
        <v>466</v>
      </c>
      <c r="I1403" s="51" t="n">
        <v>166.43</v>
      </c>
      <c r="J1403" s="51" t="n">
        <v>499.3</v>
      </c>
      <c r="K1403" s="52" t="n">
        <v>660</v>
      </c>
      <c r="L1403" s="53" t="n">
        <v>18.7</v>
      </c>
      <c r="M1403" s="54" t="n">
        <v>66.7</v>
      </c>
      <c r="N1403" s="51" t="n">
        <v>17.800313</v>
      </c>
      <c r="O1403" s="55" t="n">
        <v>16.1844</v>
      </c>
      <c r="P1403" s="51" t="n">
        <v>-33.3</v>
      </c>
      <c r="Q1403" s="49" t="s">
        <v>2103</v>
      </c>
      <c r="R1403" s="49" t="s">
        <v>2099</v>
      </c>
      <c r="S1403" s="53" t="n">
        <v>0.5</v>
      </c>
      <c r="T1403" s="51" t="n">
        <v>660</v>
      </c>
      <c r="U1403" s="56" t="n">
        <f aca="false">I1403*O1403</f>
        <v>2693.569692</v>
      </c>
      <c r="V1403" s="56" t="n">
        <f aca="false">J1403*O1403</f>
        <v>8080.87092</v>
      </c>
      <c r="W1403" s="56" t="n">
        <f aca="false">((I1403+J1403)/2)*O1403</f>
        <v>5387.220306</v>
      </c>
      <c r="X1403" s="56" t="n">
        <f aca="false">H1403*O1403</f>
        <v>7541.9304</v>
      </c>
    </row>
    <row r="1404" customFormat="false" ht="22.35" hidden="false" customHeight="false" outlineLevel="0" collapsed="false">
      <c r="A1404" s="76" t="s">
        <v>2063</v>
      </c>
      <c r="B1404" s="62" t="s">
        <v>4030</v>
      </c>
      <c r="C1404" s="62" t="s">
        <v>4031</v>
      </c>
      <c r="D1404" s="62" t="s">
        <v>2101</v>
      </c>
      <c r="E1404" s="63" t="s">
        <v>2169</v>
      </c>
      <c r="F1404" s="64" t="s">
        <v>2170</v>
      </c>
      <c r="G1404" s="62" t="s">
        <v>2097</v>
      </c>
      <c r="H1404" s="65" t="n">
        <v>40</v>
      </c>
      <c r="I1404" s="65" t="n">
        <v>1.07</v>
      </c>
      <c r="J1404" s="65" t="n">
        <v>3.21</v>
      </c>
      <c r="K1404" s="66" t="n">
        <v>44</v>
      </c>
      <c r="L1404" s="67" t="n">
        <v>21.6</v>
      </c>
      <c r="M1404" s="68" t="n">
        <v>72.7</v>
      </c>
      <c r="N1404" s="65" t="n">
        <v>0.458219</v>
      </c>
      <c r="O1404" s="69" t="n">
        <v>8.34</v>
      </c>
      <c r="P1404" s="65" t="n">
        <v>36.79</v>
      </c>
      <c r="Q1404" s="62" t="s">
        <v>2098</v>
      </c>
      <c r="R1404" s="62" t="s">
        <v>4032</v>
      </c>
      <c r="S1404" s="67" t="n">
        <v>0.5</v>
      </c>
      <c r="T1404" s="65" t="n">
        <v>44</v>
      </c>
      <c r="U1404" s="56" t="n">
        <f aca="false">I1404*O1404</f>
        <v>8.9238</v>
      </c>
      <c r="V1404" s="56" t="n">
        <f aca="false">J1404*O1404</f>
        <v>26.7714</v>
      </c>
      <c r="W1404" s="56" t="n">
        <f aca="false">((I1404+J1404)/2)*O1404</f>
        <v>17.8476</v>
      </c>
      <c r="X1404" s="56" t="n">
        <f aca="false">H1404*O1404</f>
        <v>333.6</v>
      </c>
    </row>
    <row r="1405" customFormat="false" ht="22.35" hidden="false" customHeight="false" outlineLevel="0" collapsed="false">
      <c r="A1405" s="76" t="s">
        <v>2063</v>
      </c>
      <c r="B1405" s="62" t="s">
        <v>4033</v>
      </c>
      <c r="C1405" s="62" t="s">
        <v>4031</v>
      </c>
      <c r="D1405" s="62" t="s">
        <v>2101</v>
      </c>
      <c r="E1405" s="63" t="s">
        <v>2169</v>
      </c>
      <c r="F1405" s="64" t="s">
        <v>2170</v>
      </c>
      <c r="G1405" s="62" t="s">
        <v>2097</v>
      </c>
      <c r="H1405" s="65" t="n">
        <v>40</v>
      </c>
      <c r="I1405" s="65" t="n">
        <v>3.95</v>
      </c>
      <c r="J1405" s="65" t="n">
        <v>11.85</v>
      </c>
      <c r="K1405" s="66" t="n">
        <v>44</v>
      </c>
      <c r="L1405" s="67" t="n">
        <v>21.9</v>
      </c>
      <c r="M1405" s="68" t="n">
        <v>36.4</v>
      </c>
      <c r="N1405" s="65" t="n">
        <v>0.580675</v>
      </c>
      <c r="O1405" s="69" t="n">
        <v>8.74</v>
      </c>
      <c r="P1405" s="65" t="n">
        <v>28.15</v>
      </c>
      <c r="Q1405" s="62" t="s">
        <v>2098</v>
      </c>
      <c r="R1405" s="62" t="s">
        <v>4034</v>
      </c>
      <c r="S1405" s="67" t="n">
        <v>0.5</v>
      </c>
      <c r="T1405" s="65" t="n">
        <v>44</v>
      </c>
      <c r="U1405" s="56" t="n">
        <f aca="false">I1405*O1405</f>
        <v>34.523</v>
      </c>
      <c r="V1405" s="56" t="n">
        <f aca="false">J1405*O1405</f>
        <v>103.569</v>
      </c>
      <c r="W1405" s="56" t="n">
        <f aca="false">((I1405+J1405)/2)*O1405</f>
        <v>69.046</v>
      </c>
      <c r="X1405" s="56" t="n">
        <f aca="false">H1405*O1405</f>
        <v>349.6</v>
      </c>
    </row>
    <row r="1406" customFormat="false" ht="22.35" hidden="false" customHeight="false" outlineLevel="0" collapsed="false">
      <c r="A1406" s="76" t="s">
        <v>2063</v>
      </c>
      <c r="B1406" s="62" t="s">
        <v>4035</v>
      </c>
      <c r="C1406" s="62" t="s">
        <v>4031</v>
      </c>
      <c r="D1406" s="62" t="s">
        <v>2101</v>
      </c>
      <c r="E1406" s="63" t="s">
        <v>2169</v>
      </c>
      <c r="F1406" s="64" t="s">
        <v>2170</v>
      </c>
      <c r="G1406" s="62" t="s">
        <v>2097</v>
      </c>
      <c r="H1406" s="65" t="n">
        <v>80</v>
      </c>
      <c r="I1406" s="65" t="n">
        <v>11.48</v>
      </c>
      <c r="J1406" s="65" t="n">
        <v>34.43</v>
      </c>
      <c r="K1406" s="66" t="n">
        <v>44</v>
      </c>
      <c r="L1406" s="67" t="n">
        <v>26</v>
      </c>
      <c r="M1406" s="68" t="n">
        <v>63.2</v>
      </c>
      <c r="N1406" s="65" t="n">
        <v>1.663384</v>
      </c>
      <c r="O1406" s="69" t="n">
        <v>7.624</v>
      </c>
      <c r="P1406" s="65" t="n">
        <v>45.57</v>
      </c>
      <c r="Q1406" s="62" t="s">
        <v>2098</v>
      </c>
      <c r="R1406" s="62" t="s">
        <v>4034</v>
      </c>
      <c r="S1406" s="67" t="n">
        <v>0.5</v>
      </c>
      <c r="T1406" s="65" t="n">
        <v>44</v>
      </c>
      <c r="U1406" s="56" t="n">
        <f aca="false">I1406*O1406</f>
        <v>87.52352</v>
      </c>
      <c r="V1406" s="56" t="n">
        <f aca="false">J1406*O1406</f>
        <v>262.49432</v>
      </c>
      <c r="W1406" s="56" t="n">
        <f aca="false">((I1406+J1406)/2)*O1406</f>
        <v>175.00892</v>
      </c>
      <c r="X1406" s="56" t="n">
        <f aca="false">H1406*O1406</f>
        <v>609.92</v>
      </c>
    </row>
    <row r="1407" customFormat="false" ht="15" hidden="false" customHeight="false" outlineLevel="0" collapsed="false">
      <c r="A1407" s="76" t="s">
        <v>2063</v>
      </c>
      <c r="B1407" s="49" t="s">
        <v>4036</v>
      </c>
      <c r="C1407" s="49" t="s">
        <v>4037</v>
      </c>
      <c r="D1407" s="49" t="s">
        <v>2101</v>
      </c>
      <c r="E1407" s="50" t="s">
        <v>2096</v>
      </c>
      <c r="F1407" s="49" t="s">
        <v>2097</v>
      </c>
      <c r="G1407" s="49" t="s">
        <v>2097</v>
      </c>
      <c r="H1407" s="51" t="n">
        <v>40</v>
      </c>
      <c r="I1407" s="51" t="n">
        <v>4.98</v>
      </c>
      <c r="J1407" s="51" t="n">
        <v>14.94</v>
      </c>
      <c r="K1407" s="52" t="n">
        <v>14.94</v>
      </c>
      <c r="L1407" s="53" t="n">
        <v>17.4</v>
      </c>
      <c r="M1407" s="54" t="n">
        <v>70</v>
      </c>
      <c r="N1407" s="51" t="n">
        <v>0.572438</v>
      </c>
      <c r="O1407" s="55" t="n">
        <v>22.89</v>
      </c>
      <c r="P1407" s="51" t="n">
        <v>25.06</v>
      </c>
      <c r="Q1407" s="49" t="s">
        <v>2098</v>
      </c>
      <c r="R1407" s="49" t="s">
        <v>2099</v>
      </c>
      <c r="S1407" s="53" t="n">
        <v>0.5</v>
      </c>
      <c r="T1407" s="51" t="n">
        <v>1</v>
      </c>
      <c r="U1407" s="56" t="n">
        <f aca="false">I1407*O1407</f>
        <v>113.9922</v>
      </c>
      <c r="V1407" s="56" t="n">
        <f aca="false">J1407*O1407</f>
        <v>341.9766</v>
      </c>
      <c r="W1407" s="56" t="n">
        <f aca="false">((I1407+J1407)/2)*O1407</f>
        <v>227.9844</v>
      </c>
      <c r="X1407" s="56" t="n">
        <f aca="false">H1407*O1407</f>
        <v>915.6</v>
      </c>
    </row>
    <row r="1408" customFormat="false" ht="22.35" hidden="false" customHeight="false" outlineLevel="0" collapsed="false">
      <c r="A1408" s="76" t="s">
        <v>2063</v>
      </c>
      <c r="B1408" s="4" t="s">
        <v>4038</v>
      </c>
      <c r="C1408" s="4" t="s">
        <v>4039</v>
      </c>
      <c r="D1408" s="4" t="s">
        <v>2101</v>
      </c>
      <c r="E1408" s="70" t="s">
        <v>2193</v>
      </c>
      <c r="F1408" s="4" t="s">
        <v>2097</v>
      </c>
      <c r="G1408" s="71" t="s">
        <v>2194</v>
      </c>
      <c r="H1408" s="6" t="n">
        <v>40</v>
      </c>
      <c r="I1408" s="6" t="n">
        <v>0</v>
      </c>
      <c r="J1408" s="6" t="n">
        <v>0</v>
      </c>
      <c r="K1408" s="52" t="n">
        <v>0</v>
      </c>
      <c r="L1408" s="72" t="n">
        <v>16.5</v>
      </c>
      <c r="M1408" s="73" t="n">
        <v>50</v>
      </c>
      <c r="N1408" s="6" t="n">
        <v>1.104274</v>
      </c>
      <c r="O1408" s="5" t="n">
        <v>13.34</v>
      </c>
      <c r="P1408" s="6" t="n">
        <v>40</v>
      </c>
      <c r="Q1408" s="4" t="s">
        <v>2098</v>
      </c>
      <c r="R1408" s="4" t="s">
        <v>2195</v>
      </c>
      <c r="S1408" s="72" t="n">
        <v>0</v>
      </c>
      <c r="T1408" s="6" t="n">
        <v>55</v>
      </c>
      <c r="U1408" s="56" t="n">
        <f aca="false">I1408*O1408</f>
        <v>0</v>
      </c>
      <c r="V1408" s="56" t="n">
        <f aca="false">J1408*O1408</f>
        <v>0</v>
      </c>
      <c r="W1408" s="56" t="n">
        <f aca="false">((I1408+J1408)/2)*O1408</f>
        <v>0</v>
      </c>
      <c r="X1408" s="56" t="n">
        <f aca="false">H1408*O1408</f>
        <v>533.6</v>
      </c>
    </row>
    <row r="1409" customFormat="false" ht="15" hidden="false" customHeight="false" outlineLevel="0" collapsed="false">
      <c r="A1409" s="76" t="s">
        <v>2063</v>
      </c>
      <c r="B1409" s="49" t="s">
        <v>4040</v>
      </c>
      <c r="C1409" s="49" t="s">
        <v>4037</v>
      </c>
      <c r="D1409" s="49" t="s">
        <v>2101</v>
      </c>
      <c r="E1409" s="50" t="s">
        <v>2096</v>
      </c>
      <c r="F1409" s="49" t="s">
        <v>2097</v>
      </c>
      <c r="G1409" s="49" t="s">
        <v>2097</v>
      </c>
      <c r="H1409" s="51" t="n">
        <v>395</v>
      </c>
      <c r="I1409" s="51" t="n">
        <v>81.6</v>
      </c>
      <c r="J1409" s="51" t="n">
        <v>244.8</v>
      </c>
      <c r="K1409" s="52" t="n">
        <v>440</v>
      </c>
      <c r="L1409" s="53" t="n">
        <v>26.1</v>
      </c>
      <c r="M1409" s="54" t="n">
        <v>40</v>
      </c>
      <c r="N1409" s="51" t="n">
        <v>6.252849</v>
      </c>
      <c r="O1409" s="55" t="n">
        <v>6.27</v>
      </c>
      <c r="P1409" s="51" t="n">
        <v>150.2</v>
      </c>
      <c r="Q1409" s="49" t="s">
        <v>2098</v>
      </c>
      <c r="R1409" s="49" t="s">
        <v>2099</v>
      </c>
      <c r="S1409" s="53" t="n">
        <v>0.5</v>
      </c>
      <c r="T1409" s="51" t="n">
        <v>440</v>
      </c>
      <c r="U1409" s="56" t="n">
        <f aca="false">I1409*O1409</f>
        <v>511.632</v>
      </c>
      <c r="V1409" s="56" t="n">
        <f aca="false">J1409*O1409</f>
        <v>1534.896</v>
      </c>
      <c r="W1409" s="56" t="n">
        <f aca="false">((I1409+J1409)/2)*O1409</f>
        <v>1023.264</v>
      </c>
      <c r="X1409" s="56" t="n">
        <f aca="false">H1409*O1409</f>
        <v>2476.65</v>
      </c>
    </row>
    <row r="1410" customFormat="false" ht="15" hidden="false" customHeight="false" outlineLevel="0" collapsed="false">
      <c r="A1410" s="76" t="s">
        <v>2063</v>
      </c>
      <c r="B1410" s="7" t="s">
        <v>4041</v>
      </c>
      <c r="C1410" s="7" t="s">
        <v>4037</v>
      </c>
      <c r="D1410" s="7" t="s">
        <v>2101</v>
      </c>
      <c r="E1410" s="50" t="s">
        <v>2096</v>
      </c>
      <c r="F1410" s="7" t="s">
        <v>2097</v>
      </c>
      <c r="G1410" s="7" t="s">
        <v>2097</v>
      </c>
      <c r="H1410" s="9" t="n">
        <v>80</v>
      </c>
      <c r="I1410" s="9" t="n">
        <v>12.3</v>
      </c>
      <c r="J1410" s="9" t="n">
        <v>36.9</v>
      </c>
      <c r="K1410" s="52" t="n">
        <v>55</v>
      </c>
      <c r="L1410" s="58" t="n">
        <v>16.2</v>
      </c>
      <c r="M1410" s="59" t="n">
        <v>50</v>
      </c>
      <c r="N1410" s="9" t="n">
        <v>1.518548</v>
      </c>
      <c r="O1410" s="8" t="n">
        <v>4.404</v>
      </c>
      <c r="P1410" s="9" t="n">
        <v>43.1</v>
      </c>
      <c r="Q1410" s="7" t="s">
        <v>2098</v>
      </c>
      <c r="R1410" s="7" t="s">
        <v>2099</v>
      </c>
      <c r="S1410" s="58" t="n">
        <v>0.5</v>
      </c>
      <c r="T1410" s="9" t="n">
        <v>55</v>
      </c>
      <c r="U1410" s="56" t="n">
        <f aca="false">I1410*O1410</f>
        <v>54.1692</v>
      </c>
      <c r="V1410" s="56" t="n">
        <f aca="false">J1410*O1410</f>
        <v>162.5076</v>
      </c>
      <c r="W1410" s="56" t="n">
        <f aca="false">((I1410+J1410)/2)*O1410</f>
        <v>108.3384</v>
      </c>
      <c r="X1410" s="56" t="n">
        <f aca="false">H1410*O1410</f>
        <v>352.32</v>
      </c>
    </row>
    <row r="1411" customFormat="false" ht="22.35" hidden="false" customHeight="false" outlineLevel="0" collapsed="false">
      <c r="A1411" s="76" t="s">
        <v>2063</v>
      </c>
      <c r="B1411" s="49" t="s">
        <v>2565</v>
      </c>
      <c r="C1411" s="49" t="s">
        <v>2566</v>
      </c>
      <c r="D1411" s="49" t="s">
        <v>2095</v>
      </c>
      <c r="E1411" s="61" t="s">
        <v>2113</v>
      </c>
      <c r="F1411" s="49" t="s">
        <v>2097</v>
      </c>
      <c r="G1411" s="49" t="s">
        <v>2097</v>
      </c>
      <c r="H1411" s="51" t="n">
        <v>2217</v>
      </c>
      <c r="I1411" s="51" t="n">
        <v>3475.26</v>
      </c>
      <c r="J1411" s="51" t="n">
        <v>6950.52</v>
      </c>
      <c r="K1411" s="52" t="n">
        <v>7200</v>
      </c>
      <c r="L1411" s="53" t="n">
        <v>36.2</v>
      </c>
      <c r="M1411" s="54" t="n">
        <v>74.6</v>
      </c>
      <c r="N1411" s="51" t="n">
        <v>96.001758</v>
      </c>
      <c r="O1411" s="55" t="n">
        <v>6.77</v>
      </c>
      <c r="P1411" s="51" t="n">
        <v>-4733.52</v>
      </c>
      <c r="Q1411" s="49" t="s">
        <v>2103</v>
      </c>
      <c r="R1411" s="49" t="s">
        <v>2099</v>
      </c>
      <c r="S1411" s="53" t="n">
        <v>1</v>
      </c>
      <c r="T1411" s="51" t="n">
        <v>400</v>
      </c>
      <c r="U1411" s="56" t="n">
        <f aca="false">I1411*O1411</f>
        <v>23527.5102</v>
      </c>
      <c r="V1411" s="56" t="n">
        <f aca="false">J1411*O1411</f>
        <v>47055.0204</v>
      </c>
      <c r="W1411" s="56" t="n">
        <f aca="false">((I1411+J1411)/2)*O1411</f>
        <v>35291.2653</v>
      </c>
      <c r="X1411" s="56" t="n">
        <f aca="false">H1411*O1411</f>
        <v>15009.09</v>
      </c>
    </row>
    <row r="1412" customFormat="false" ht="22.35" hidden="false" customHeight="false" outlineLevel="0" collapsed="false">
      <c r="A1412" s="76" t="s">
        <v>2063</v>
      </c>
      <c r="B1412" s="7" t="s">
        <v>4042</v>
      </c>
      <c r="C1412" s="7" t="s">
        <v>4043</v>
      </c>
      <c r="D1412" s="7" t="s">
        <v>2095</v>
      </c>
      <c r="E1412" s="61" t="s">
        <v>2113</v>
      </c>
      <c r="F1412" s="7" t="s">
        <v>2097</v>
      </c>
      <c r="G1412" s="7" t="s">
        <v>2097</v>
      </c>
      <c r="H1412" s="9" t="n">
        <v>5179</v>
      </c>
      <c r="I1412" s="9" t="n">
        <v>4603.13</v>
      </c>
      <c r="J1412" s="9" t="n">
        <v>9206.26</v>
      </c>
      <c r="K1412" s="52" t="n">
        <v>9990</v>
      </c>
      <c r="L1412" s="58" t="n">
        <v>23.9</v>
      </c>
      <c r="M1412" s="59" t="n">
        <v>60</v>
      </c>
      <c r="N1412" s="9" t="n">
        <v>192.599589</v>
      </c>
      <c r="O1412" s="8" t="n">
        <v>2.545</v>
      </c>
      <c r="P1412" s="9" t="n">
        <v>-4027.26</v>
      </c>
      <c r="Q1412" s="7" t="s">
        <v>2103</v>
      </c>
      <c r="R1412" s="7" t="s">
        <v>2099</v>
      </c>
      <c r="S1412" s="58" t="n">
        <v>1</v>
      </c>
      <c r="T1412" s="9" t="n">
        <v>9990</v>
      </c>
      <c r="U1412" s="56" t="n">
        <f aca="false">I1412*O1412</f>
        <v>11714.96585</v>
      </c>
      <c r="V1412" s="56" t="n">
        <f aca="false">J1412*O1412</f>
        <v>23429.9317</v>
      </c>
      <c r="W1412" s="56" t="n">
        <f aca="false">((I1412+J1412)/2)*O1412</f>
        <v>17572.448775</v>
      </c>
      <c r="X1412" s="56" t="n">
        <f aca="false">H1412*O1412</f>
        <v>13180.555</v>
      </c>
    </row>
    <row r="1413" customFormat="false" ht="22.35" hidden="false" customHeight="false" outlineLevel="0" collapsed="false">
      <c r="A1413" s="76" t="s">
        <v>2063</v>
      </c>
      <c r="B1413" s="49" t="s">
        <v>4044</v>
      </c>
      <c r="C1413" s="49" t="s">
        <v>4045</v>
      </c>
      <c r="D1413" s="49" t="s">
        <v>2095</v>
      </c>
      <c r="E1413" s="61" t="s">
        <v>2113</v>
      </c>
      <c r="F1413" s="49" t="s">
        <v>2097</v>
      </c>
      <c r="G1413" s="49" t="s">
        <v>2097</v>
      </c>
      <c r="H1413" s="51" t="n">
        <v>26655</v>
      </c>
      <c r="I1413" s="51" t="n">
        <v>37203.55</v>
      </c>
      <c r="J1413" s="51" t="n">
        <v>74407.1</v>
      </c>
      <c r="K1413" s="52" t="n">
        <v>74407.1</v>
      </c>
      <c r="L1413" s="53" t="n">
        <v>41.8</v>
      </c>
      <c r="M1413" s="54" t="n">
        <v>69.2</v>
      </c>
      <c r="N1413" s="51" t="n">
        <v>890.037148</v>
      </c>
      <c r="O1413" s="55" t="n">
        <v>2.595</v>
      </c>
      <c r="P1413" s="51" t="n">
        <v>-47752.1</v>
      </c>
      <c r="Q1413" s="49" t="s">
        <v>2103</v>
      </c>
      <c r="R1413" s="49" t="s">
        <v>2099</v>
      </c>
      <c r="S1413" s="53" t="n">
        <v>1</v>
      </c>
      <c r="T1413" s="51" t="n">
        <v>1</v>
      </c>
      <c r="U1413" s="56" t="n">
        <f aca="false">I1413*O1413</f>
        <v>96543.21225</v>
      </c>
      <c r="V1413" s="56" t="n">
        <f aca="false">J1413*O1413</f>
        <v>193086.4245</v>
      </c>
      <c r="W1413" s="56" t="n">
        <f aca="false">((I1413+J1413)/2)*O1413</f>
        <v>144814.818375</v>
      </c>
      <c r="X1413" s="56" t="n">
        <f aca="false">H1413*O1413</f>
        <v>69169.725</v>
      </c>
    </row>
    <row r="1414" customFormat="false" ht="22.35" hidden="false" customHeight="false" outlineLevel="0" collapsed="false">
      <c r="A1414" s="76" t="s">
        <v>2063</v>
      </c>
      <c r="B1414" s="7" t="s">
        <v>4046</v>
      </c>
      <c r="C1414" s="7" t="s">
        <v>4047</v>
      </c>
      <c r="D1414" s="7" t="s">
        <v>2095</v>
      </c>
      <c r="E1414" s="61" t="s">
        <v>2113</v>
      </c>
      <c r="F1414" s="7" t="s">
        <v>2097</v>
      </c>
      <c r="G1414" s="7" t="s">
        <v>2097</v>
      </c>
      <c r="H1414" s="9" t="n">
        <v>12181</v>
      </c>
      <c r="I1414" s="9" t="n">
        <v>24582.69</v>
      </c>
      <c r="J1414" s="9" t="n">
        <v>49165.38</v>
      </c>
      <c r="K1414" s="52" t="n">
        <v>49165.38</v>
      </c>
      <c r="L1414" s="58" t="n">
        <v>49.6</v>
      </c>
      <c r="M1414" s="59" t="n">
        <v>92.9</v>
      </c>
      <c r="N1414" s="9" t="n">
        <v>495.618803</v>
      </c>
      <c r="O1414" s="8" t="n">
        <v>2.595</v>
      </c>
      <c r="P1414" s="9" t="n">
        <v>-36984.38</v>
      </c>
      <c r="Q1414" s="7" t="s">
        <v>2103</v>
      </c>
      <c r="R1414" s="7" t="s">
        <v>2099</v>
      </c>
      <c r="S1414" s="58" t="n">
        <v>1</v>
      </c>
      <c r="T1414" s="9" t="n">
        <v>1</v>
      </c>
      <c r="U1414" s="56" t="n">
        <f aca="false">I1414*O1414</f>
        <v>63792.08055</v>
      </c>
      <c r="V1414" s="56" t="n">
        <f aca="false">J1414*O1414</f>
        <v>127584.1611</v>
      </c>
      <c r="W1414" s="56" t="n">
        <f aca="false">((I1414+J1414)/2)*O1414</f>
        <v>95688.120825</v>
      </c>
      <c r="X1414" s="56" t="n">
        <f aca="false">H1414*O1414</f>
        <v>31609.695</v>
      </c>
    </row>
    <row r="1415" customFormat="false" ht="15" hidden="false" customHeight="false" outlineLevel="0" collapsed="false">
      <c r="A1415" s="76" t="s">
        <v>2063</v>
      </c>
      <c r="B1415" s="49" t="s">
        <v>4048</v>
      </c>
      <c r="C1415" s="49" t="s">
        <v>4049</v>
      </c>
      <c r="D1415" s="49" t="s">
        <v>2101</v>
      </c>
      <c r="E1415" s="50" t="s">
        <v>2096</v>
      </c>
      <c r="F1415" s="49" t="s">
        <v>2097</v>
      </c>
      <c r="G1415" s="49" t="s">
        <v>2097</v>
      </c>
      <c r="H1415" s="51" t="n">
        <v>2364</v>
      </c>
      <c r="I1415" s="51" t="n">
        <v>497.89</v>
      </c>
      <c r="J1415" s="51" t="n">
        <v>1493.68</v>
      </c>
      <c r="K1415" s="52" t="n">
        <v>2997</v>
      </c>
      <c r="L1415" s="53" t="n">
        <v>16.8</v>
      </c>
      <c r="M1415" s="54" t="n">
        <v>46.7</v>
      </c>
      <c r="N1415" s="51" t="n">
        <v>59.27311</v>
      </c>
      <c r="O1415" s="55" t="n">
        <v>2.595</v>
      </c>
      <c r="P1415" s="51" t="n">
        <v>870.32</v>
      </c>
      <c r="Q1415" s="49" t="s">
        <v>2098</v>
      </c>
      <c r="R1415" s="49" t="s">
        <v>2099</v>
      </c>
      <c r="S1415" s="53" t="n">
        <v>0.5</v>
      </c>
      <c r="T1415" s="51" t="n">
        <v>2997</v>
      </c>
      <c r="U1415" s="56" t="n">
        <f aca="false">I1415*O1415</f>
        <v>1292.02455</v>
      </c>
      <c r="V1415" s="56" t="n">
        <f aca="false">J1415*O1415</f>
        <v>3876.0996</v>
      </c>
      <c r="W1415" s="56" t="n">
        <f aca="false">((I1415+J1415)/2)*O1415</f>
        <v>2584.062075</v>
      </c>
      <c r="X1415" s="56" t="n">
        <f aca="false">H1415*O1415</f>
        <v>6134.58</v>
      </c>
    </row>
    <row r="1416" customFormat="false" ht="22.35" hidden="false" customHeight="false" outlineLevel="0" collapsed="false">
      <c r="A1416" s="79" t="s">
        <v>2065</v>
      </c>
      <c r="B1416" s="7" t="s">
        <v>2094</v>
      </c>
      <c r="C1416" s="7" t="s">
        <v>1765</v>
      </c>
      <c r="D1416" s="7" t="s">
        <v>2095</v>
      </c>
      <c r="E1416" s="61" t="s">
        <v>2113</v>
      </c>
      <c r="F1416" s="7" t="s">
        <v>2097</v>
      </c>
      <c r="G1416" s="7" t="s">
        <v>2097</v>
      </c>
      <c r="H1416" s="9" t="n">
        <v>1005</v>
      </c>
      <c r="I1416" s="9" t="n">
        <v>904.34</v>
      </c>
      <c r="J1416" s="9" t="n">
        <v>1808.68</v>
      </c>
      <c r="K1416" s="52" t="n">
        <v>43938</v>
      </c>
      <c r="L1416" s="58" t="n">
        <v>31.1</v>
      </c>
      <c r="M1416" s="59" t="n">
        <v>81.2</v>
      </c>
      <c r="N1416" s="9" t="n">
        <v>29.078412</v>
      </c>
      <c r="O1416" s="8" t="n">
        <v>2.831</v>
      </c>
      <c r="P1416" s="9" t="n">
        <v>-803.68</v>
      </c>
      <c r="Q1416" s="7" t="s">
        <v>2103</v>
      </c>
      <c r="R1416" s="7" t="s">
        <v>2099</v>
      </c>
      <c r="S1416" s="58" t="n">
        <v>1</v>
      </c>
      <c r="T1416" s="9" t="n">
        <v>43938</v>
      </c>
      <c r="U1416" s="56" t="n">
        <f aca="false">I1416*O1416</f>
        <v>2560.18654</v>
      </c>
      <c r="V1416" s="56" t="n">
        <f aca="false">J1416*O1416</f>
        <v>5120.37308</v>
      </c>
      <c r="W1416" s="56" t="n">
        <f aca="false">((I1416+J1416)/2)*O1416</f>
        <v>3840.27981</v>
      </c>
      <c r="X1416" s="56" t="n">
        <f aca="false">H1416*O1416</f>
        <v>2845.155</v>
      </c>
    </row>
    <row r="1417" customFormat="false" ht="15" hidden="false" customHeight="false" outlineLevel="0" collapsed="false">
      <c r="A1417" s="79" t="s">
        <v>2065</v>
      </c>
      <c r="B1417" s="49" t="s">
        <v>3475</v>
      </c>
      <c r="C1417" s="49" t="s">
        <v>1558</v>
      </c>
      <c r="D1417" s="49" t="s">
        <v>2101</v>
      </c>
      <c r="E1417" s="50" t="s">
        <v>2096</v>
      </c>
      <c r="F1417" s="49" t="s">
        <v>2097</v>
      </c>
      <c r="G1417" s="49" t="s">
        <v>2097</v>
      </c>
      <c r="H1417" s="51" t="n">
        <v>150</v>
      </c>
      <c r="I1417" s="51" t="n">
        <v>12.21</v>
      </c>
      <c r="J1417" s="51" t="n">
        <v>36.62</v>
      </c>
      <c r="K1417" s="52" t="n">
        <v>40</v>
      </c>
      <c r="L1417" s="53" t="n">
        <v>21.9</v>
      </c>
      <c r="M1417" s="54" t="n">
        <v>100</v>
      </c>
      <c r="N1417" s="51" t="n">
        <v>1.114677</v>
      </c>
      <c r="O1417" s="55" t="n">
        <v>2.313</v>
      </c>
      <c r="P1417" s="51" t="n">
        <v>113.38</v>
      </c>
      <c r="Q1417" s="49" t="s">
        <v>2098</v>
      </c>
      <c r="R1417" s="49" t="s">
        <v>2099</v>
      </c>
      <c r="S1417" s="53" t="n">
        <v>0.5</v>
      </c>
      <c r="T1417" s="51" t="n">
        <v>40</v>
      </c>
      <c r="U1417" s="56" t="n">
        <f aca="false">I1417*O1417</f>
        <v>28.24173</v>
      </c>
      <c r="V1417" s="56" t="n">
        <f aca="false">J1417*O1417</f>
        <v>84.70206</v>
      </c>
      <c r="W1417" s="56" t="n">
        <f aca="false">((I1417+J1417)/2)*O1417</f>
        <v>56.471895</v>
      </c>
      <c r="X1417" s="56" t="n">
        <f aca="false">H1417*O1417</f>
        <v>346.95</v>
      </c>
    </row>
    <row r="1418" customFormat="false" ht="15" hidden="false" customHeight="false" outlineLevel="0" collapsed="false">
      <c r="A1418" s="79" t="s">
        <v>2065</v>
      </c>
      <c r="B1418" s="7" t="s">
        <v>3476</v>
      </c>
      <c r="C1418" s="7" t="s">
        <v>1558</v>
      </c>
      <c r="D1418" s="7" t="s">
        <v>2101</v>
      </c>
      <c r="E1418" s="50" t="s">
        <v>2096</v>
      </c>
      <c r="F1418" s="7" t="s">
        <v>2097</v>
      </c>
      <c r="G1418" s="7" t="s">
        <v>2097</v>
      </c>
      <c r="H1418" s="9" t="n">
        <v>150</v>
      </c>
      <c r="I1418" s="9" t="n">
        <v>1.19</v>
      </c>
      <c r="J1418" s="9" t="n">
        <v>3.58</v>
      </c>
      <c r="K1418" s="52" t="n">
        <v>25</v>
      </c>
      <c r="L1418" s="58" t="n">
        <v>19.5</v>
      </c>
      <c r="M1418" s="59" t="n">
        <v>76.9</v>
      </c>
      <c r="N1418" s="9" t="n">
        <v>0.122475</v>
      </c>
      <c r="O1418" s="8" t="n">
        <v>3.9</v>
      </c>
      <c r="P1418" s="9" t="n">
        <v>146.42</v>
      </c>
      <c r="Q1418" s="7" t="s">
        <v>2098</v>
      </c>
      <c r="R1418" s="7" t="s">
        <v>2099</v>
      </c>
      <c r="S1418" s="58" t="n">
        <v>0.5</v>
      </c>
      <c r="T1418" s="9" t="n">
        <v>25</v>
      </c>
      <c r="U1418" s="56" t="n">
        <f aca="false">I1418*O1418</f>
        <v>4.641</v>
      </c>
      <c r="V1418" s="56" t="n">
        <f aca="false">J1418*O1418</f>
        <v>13.962</v>
      </c>
      <c r="W1418" s="56" t="n">
        <f aca="false">((I1418+J1418)/2)*O1418</f>
        <v>9.3015</v>
      </c>
      <c r="X1418" s="56" t="n">
        <f aca="false">H1418*O1418</f>
        <v>585</v>
      </c>
    </row>
    <row r="1419" customFormat="false" ht="22.35" hidden="false" customHeight="false" outlineLevel="0" collapsed="false">
      <c r="A1419" s="79" t="s">
        <v>2065</v>
      </c>
      <c r="B1419" s="49" t="s">
        <v>4050</v>
      </c>
      <c r="C1419" s="49" t="s">
        <v>1558</v>
      </c>
      <c r="D1419" s="49" t="s">
        <v>2101</v>
      </c>
      <c r="E1419" s="57" t="s">
        <v>2102</v>
      </c>
      <c r="F1419" s="49" t="s">
        <v>2097</v>
      </c>
      <c r="G1419" s="49" t="s">
        <v>2097</v>
      </c>
      <c r="H1419" s="51" t="n">
        <v>152</v>
      </c>
      <c r="I1419" s="51" t="n">
        <v>137.98</v>
      </c>
      <c r="J1419" s="51" t="n">
        <v>413.95</v>
      </c>
      <c r="K1419" s="52" t="n">
        <v>440</v>
      </c>
      <c r="L1419" s="53" t="n">
        <v>41.5</v>
      </c>
      <c r="M1419" s="54" t="n">
        <v>75</v>
      </c>
      <c r="N1419" s="51" t="n">
        <v>6.649795</v>
      </c>
      <c r="O1419" s="55" t="n">
        <v>5.2336</v>
      </c>
      <c r="P1419" s="51" t="n">
        <v>-261.95</v>
      </c>
      <c r="Q1419" s="49" t="s">
        <v>2103</v>
      </c>
      <c r="R1419" s="49" t="s">
        <v>2099</v>
      </c>
      <c r="S1419" s="53" t="n">
        <v>0.5</v>
      </c>
      <c r="T1419" s="51" t="n">
        <v>40</v>
      </c>
      <c r="U1419" s="56" t="n">
        <f aca="false">I1419*O1419</f>
        <v>722.132128</v>
      </c>
      <c r="V1419" s="56" t="n">
        <f aca="false">J1419*O1419</f>
        <v>2166.44872</v>
      </c>
      <c r="W1419" s="56" t="n">
        <f aca="false">((I1419+J1419)/2)*O1419</f>
        <v>1444.290424</v>
      </c>
      <c r="X1419" s="56" t="n">
        <f aca="false">H1419*O1419</f>
        <v>795.5072</v>
      </c>
    </row>
    <row r="1420" customFormat="false" ht="15" hidden="false" customHeight="false" outlineLevel="0" collapsed="false">
      <c r="A1420" s="79" t="s">
        <v>2065</v>
      </c>
      <c r="B1420" s="7" t="s">
        <v>2100</v>
      </c>
      <c r="C1420" s="7" t="s">
        <v>1558</v>
      </c>
      <c r="D1420" s="7" t="s">
        <v>2101</v>
      </c>
      <c r="E1420" s="50" t="s">
        <v>2096</v>
      </c>
      <c r="F1420" s="7" t="s">
        <v>2097</v>
      </c>
      <c r="G1420" s="7" t="s">
        <v>2097</v>
      </c>
      <c r="H1420" s="9" t="n">
        <v>150</v>
      </c>
      <c r="I1420" s="9" t="n">
        <v>3.95</v>
      </c>
      <c r="J1420" s="9" t="n">
        <v>11.84</v>
      </c>
      <c r="K1420" s="52" t="n">
        <v>350</v>
      </c>
      <c r="L1420" s="58" t="n">
        <v>24.9</v>
      </c>
      <c r="M1420" s="59" t="n">
        <v>69</v>
      </c>
      <c r="N1420" s="9" t="n">
        <v>0.317041</v>
      </c>
      <c r="O1420" s="8" t="n">
        <v>5.944</v>
      </c>
      <c r="P1420" s="9" t="n">
        <v>138.16</v>
      </c>
      <c r="Q1420" s="7" t="s">
        <v>2098</v>
      </c>
      <c r="R1420" s="7" t="s">
        <v>2099</v>
      </c>
      <c r="S1420" s="58" t="n">
        <v>0.5</v>
      </c>
      <c r="T1420" s="9" t="n">
        <v>350</v>
      </c>
      <c r="U1420" s="56" t="n">
        <f aca="false">I1420*O1420</f>
        <v>23.4788</v>
      </c>
      <c r="V1420" s="56" t="n">
        <f aca="false">J1420*O1420</f>
        <v>70.37696</v>
      </c>
      <c r="W1420" s="56" t="n">
        <f aca="false">((I1420+J1420)/2)*O1420</f>
        <v>46.92788</v>
      </c>
      <c r="X1420" s="56" t="n">
        <f aca="false">H1420*O1420</f>
        <v>891.6</v>
      </c>
    </row>
    <row r="1421" customFormat="false" ht="22.35" hidden="false" customHeight="false" outlineLevel="0" collapsed="false">
      <c r="A1421" s="79" t="s">
        <v>2065</v>
      </c>
      <c r="B1421" s="49" t="s">
        <v>2104</v>
      </c>
      <c r="C1421" s="49" t="s">
        <v>1558</v>
      </c>
      <c r="D1421" s="49" t="s">
        <v>2101</v>
      </c>
      <c r="E1421" s="57" t="s">
        <v>2102</v>
      </c>
      <c r="F1421" s="49" t="s">
        <v>2097</v>
      </c>
      <c r="G1421" s="49" t="s">
        <v>2097</v>
      </c>
      <c r="H1421" s="51" t="n">
        <v>150</v>
      </c>
      <c r="I1421" s="51" t="n">
        <v>56.32</v>
      </c>
      <c r="J1421" s="51" t="n">
        <v>168.95</v>
      </c>
      <c r="K1421" s="52" t="n">
        <v>990</v>
      </c>
      <c r="L1421" s="53" t="n">
        <v>35.7</v>
      </c>
      <c r="M1421" s="54" t="n">
        <v>50.8</v>
      </c>
      <c r="N1421" s="51" t="n">
        <v>3.154993</v>
      </c>
      <c r="O1421" s="55" t="n">
        <v>3.77</v>
      </c>
      <c r="P1421" s="51" t="n">
        <v>-18.95</v>
      </c>
      <c r="Q1421" s="49" t="s">
        <v>2103</v>
      </c>
      <c r="R1421" s="49" t="s">
        <v>2099</v>
      </c>
      <c r="S1421" s="53" t="n">
        <v>0.5</v>
      </c>
      <c r="T1421" s="51" t="n">
        <v>990</v>
      </c>
      <c r="U1421" s="56" t="n">
        <f aca="false">I1421*O1421</f>
        <v>212.3264</v>
      </c>
      <c r="V1421" s="56" t="n">
        <f aca="false">J1421*O1421</f>
        <v>636.9415</v>
      </c>
      <c r="W1421" s="56" t="n">
        <f aca="false">((I1421+J1421)/2)*O1421</f>
        <v>424.63395</v>
      </c>
      <c r="X1421" s="56" t="n">
        <f aca="false">H1421*O1421</f>
        <v>565.5</v>
      </c>
    </row>
    <row r="1422" customFormat="false" ht="22.35" hidden="false" customHeight="false" outlineLevel="0" collapsed="false">
      <c r="A1422" s="79" t="s">
        <v>2065</v>
      </c>
      <c r="B1422" s="7" t="s">
        <v>2105</v>
      </c>
      <c r="C1422" s="7" t="s">
        <v>1558</v>
      </c>
      <c r="D1422" s="7" t="s">
        <v>2101</v>
      </c>
      <c r="E1422" s="57" t="s">
        <v>2102</v>
      </c>
      <c r="F1422" s="7" t="s">
        <v>2097</v>
      </c>
      <c r="G1422" s="7" t="s">
        <v>2097</v>
      </c>
      <c r="H1422" s="9" t="n">
        <v>150</v>
      </c>
      <c r="I1422" s="9" t="n">
        <v>52.84</v>
      </c>
      <c r="J1422" s="9" t="n">
        <v>158.53</v>
      </c>
      <c r="K1422" s="52" t="n">
        <v>165</v>
      </c>
      <c r="L1422" s="58" t="n">
        <v>32.2</v>
      </c>
      <c r="M1422" s="59" t="n">
        <v>84.6</v>
      </c>
      <c r="N1422" s="9" t="n">
        <v>3.282208</v>
      </c>
      <c r="O1422" s="8" t="n">
        <v>2.416</v>
      </c>
      <c r="P1422" s="9" t="n">
        <v>-8.53</v>
      </c>
      <c r="Q1422" s="7" t="s">
        <v>2103</v>
      </c>
      <c r="R1422" s="7" t="s">
        <v>2099</v>
      </c>
      <c r="S1422" s="58" t="n">
        <v>0.5</v>
      </c>
      <c r="T1422" s="9" t="n">
        <v>55</v>
      </c>
      <c r="U1422" s="56" t="n">
        <f aca="false">I1422*O1422</f>
        <v>127.66144</v>
      </c>
      <c r="V1422" s="56" t="n">
        <f aca="false">J1422*O1422</f>
        <v>383.00848</v>
      </c>
      <c r="W1422" s="56" t="n">
        <f aca="false">((I1422+J1422)/2)*O1422</f>
        <v>255.33496</v>
      </c>
      <c r="X1422" s="56" t="n">
        <f aca="false">H1422*O1422</f>
        <v>362.4</v>
      </c>
    </row>
    <row r="1423" customFormat="false" ht="15" hidden="false" customHeight="false" outlineLevel="0" collapsed="false">
      <c r="A1423" s="79" t="s">
        <v>2065</v>
      </c>
      <c r="B1423" s="49" t="s">
        <v>3480</v>
      </c>
      <c r="C1423" s="49" t="s">
        <v>3478</v>
      </c>
      <c r="D1423" s="49" t="s">
        <v>2101</v>
      </c>
      <c r="E1423" s="50" t="s">
        <v>2096</v>
      </c>
      <c r="F1423" s="49" t="s">
        <v>2097</v>
      </c>
      <c r="G1423" s="49" t="s">
        <v>2097</v>
      </c>
      <c r="H1423" s="51" t="n">
        <v>150</v>
      </c>
      <c r="I1423" s="51" t="n">
        <v>3.67</v>
      </c>
      <c r="J1423" s="51" t="n">
        <v>11.02</v>
      </c>
      <c r="K1423" s="52" t="n">
        <v>55</v>
      </c>
      <c r="L1423" s="53" t="n">
        <v>20.1</v>
      </c>
      <c r="M1423" s="54" t="n">
        <v>61.1</v>
      </c>
      <c r="N1423" s="51" t="n">
        <v>0.365589</v>
      </c>
      <c r="O1423" s="55" t="n">
        <v>13.24</v>
      </c>
      <c r="P1423" s="51" t="n">
        <v>138.98</v>
      </c>
      <c r="Q1423" s="49" t="s">
        <v>2098</v>
      </c>
      <c r="R1423" s="49" t="s">
        <v>2099</v>
      </c>
      <c r="S1423" s="53" t="n">
        <v>0.5</v>
      </c>
      <c r="T1423" s="51" t="n">
        <v>55</v>
      </c>
      <c r="U1423" s="56" t="n">
        <f aca="false">I1423*O1423</f>
        <v>48.5908</v>
      </c>
      <c r="V1423" s="56" t="n">
        <f aca="false">J1423*O1423</f>
        <v>145.9048</v>
      </c>
      <c r="W1423" s="56" t="n">
        <f aca="false">((I1423+J1423)/2)*O1423</f>
        <v>97.2478</v>
      </c>
      <c r="X1423" s="56" t="n">
        <f aca="false">H1423*O1423</f>
        <v>1986</v>
      </c>
    </row>
    <row r="1424" customFormat="false" ht="15" hidden="false" customHeight="false" outlineLevel="0" collapsed="false">
      <c r="A1424" s="79" t="s">
        <v>2065</v>
      </c>
      <c r="B1424" s="7" t="s">
        <v>2106</v>
      </c>
      <c r="C1424" s="7" t="s">
        <v>1558</v>
      </c>
      <c r="D1424" s="7" t="s">
        <v>2101</v>
      </c>
      <c r="E1424" s="50" t="s">
        <v>2096</v>
      </c>
      <c r="F1424" s="7" t="s">
        <v>2097</v>
      </c>
      <c r="G1424" s="7" t="s">
        <v>2097</v>
      </c>
      <c r="H1424" s="9" t="n">
        <v>150</v>
      </c>
      <c r="I1424" s="9" t="n">
        <v>4</v>
      </c>
      <c r="J1424" s="9" t="n">
        <v>12.01</v>
      </c>
      <c r="K1424" s="52" t="n">
        <v>2500</v>
      </c>
      <c r="L1424" s="58" t="n">
        <v>46.9</v>
      </c>
      <c r="M1424" s="59" t="n">
        <v>59.1</v>
      </c>
      <c r="N1424" s="9" t="n">
        <v>0.170743</v>
      </c>
      <c r="O1424" s="8" t="n">
        <v>1.76</v>
      </c>
      <c r="P1424" s="9" t="n">
        <v>137.99</v>
      </c>
      <c r="Q1424" s="7" t="s">
        <v>2098</v>
      </c>
      <c r="R1424" s="7" t="s">
        <v>2099</v>
      </c>
      <c r="S1424" s="58" t="n">
        <v>0.5</v>
      </c>
      <c r="T1424" s="9" t="n">
        <v>2500</v>
      </c>
      <c r="U1424" s="56" t="n">
        <f aca="false">I1424*O1424</f>
        <v>7.04</v>
      </c>
      <c r="V1424" s="56" t="n">
        <f aca="false">J1424*O1424</f>
        <v>21.1376</v>
      </c>
      <c r="W1424" s="56" t="n">
        <f aca="false">((I1424+J1424)/2)*O1424</f>
        <v>14.0888</v>
      </c>
      <c r="X1424" s="56" t="n">
        <f aca="false">H1424*O1424</f>
        <v>264</v>
      </c>
    </row>
    <row r="1425" customFormat="false" ht="22.35" hidden="false" customHeight="false" outlineLevel="0" collapsed="false">
      <c r="A1425" s="79" t="s">
        <v>2065</v>
      </c>
      <c r="B1425" s="49" t="s">
        <v>3481</v>
      </c>
      <c r="C1425" s="49" t="s">
        <v>3482</v>
      </c>
      <c r="D1425" s="49" t="s">
        <v>2095</v>
      </c>
      <c r="E1425" s="61" t="s">
        <v>2113</v>
      </c>
      <c r="F1425" s="49" t="s">
        <v>2097</v>
      </c>
      <c r="G1425" s="49" t="s">
        <v>2097</v>
      </c>
      <c r="H1425" s="51" t="n">
        <v>631</v>
      </c>
      <c r="I1425" s="51" t="n">
        <v>385.74</v>
      </c>
      <c r="J1425" s="51" t="n">
        <v>771.48</v>
      </c>
      <c r="K1425" s="52" t="n">
        <v>1792</v>
      </c>
      <c r="L1425" s="53" t="n">
        <v>50.5</v>
      </c>
      <c r="M1425" s="54" t="n">
        <v>68.4</v>
      </c>
      <c r="N1425" s="51" t="n">
        <v>7.638356</v>
      </c>
      <c r="O1425" s="55" t="n">
        <v>1.115</v>
      </c>
      <c r="P1425" s="51" t="n">
        <v>-140.48</v>
      </c>
      <c r="Q1425" s="49" t="s">
        <v>2103</v>
      </c>
      <c r="R1425" s="49" t="s">
        <v>2099</v>
      </c>
      <c r="S1425" s="53" t="n">
        <v>1</v>
      </c>
      <c r="T1425" s="51" t="n">
        <v>1792</v>
      </c>
      <c r="U1425" s="56" t="n">
        <f aca="false">I1425*O1425</f>
        <v>430.1001</v>
      </c>
      <c r="V1425" s="56" t="n">
        <f aca="false">J1425*O1425</f>
        <v>860.2002</v>
      </c>
      <c r="W1425" s="56" t="n">
        <f aca="false">((I1425+J1425)/2)*O1425</f>
        <v>645.15015</v>
      </c>
      <c r="X1425" s="56" t="n">
        <f aca="false">H1425*O1425</f>
        <v>703.565</v>
      </c>
    </row>
    <row r="1426" customFormat="false" ht="22.35" hidden="false" customHeight="false" outlineLevel="0" collapsed="false">
      <c r="A1426" s="79" t="s">
        <v>2065</v>
      </c>
      <c r="B1426" s="7" t="s">
        <v>3485</v>
      </c>
      <c r="C1426" s="7" t="s">
        <v>3486</v>
      </c>
      <c r="D1426" s="7" t="s">
        <v>2095</v>
      </c>
      <c r="E1426" s="61" t="s">
        <v>2113</v>
      </c>
      <c r="F1426" s="7" t="s">
        <v>2097</v>
      </c>
      <c r="G1426" s="7" t="s">
        <v>2097</v>
      </c>
      <c r="H1426" s="9" t="n">
        <v>150</v>
      </c>
      <c r="I1426" s="9" t="n">
        <v>167.19</v>
      </c>
      <c r="J1426" s="9" t="n">
        <v>334.38</v>
      </c>
      <c r="K1426" s="52" t="n">
        <v>364</v>
      </c>
      <c r="L1426" s="58" t="n">
        <v>50</v>
      </c>
      <c r="M1426" s="59" t="n">
        <v>53.3</v>
      </c>
      <c r="N1426" s="9" t="n">
        <v>3.343836</v>
      </c>
      <c r="O1426" s="8" t="n">
        <v>0.8373</v>
      </c>
      <c r="P1426" s="9" t="n">
        <v>-184.38</v>
      </c>
      <c r="Q1426" s="7" t="s">
        <v>2103</v>
      </c>
      <c r="R1426" s="7" t="s">
        <v>2099</v>
      </c>
      <c r="S1426" s="58" t="n">
        <v>1</v>
      </c>
      <c r="T1426" s="9" t="n">
        <v>52</v>
      </c>
      <c r="U1426" s="56" t="n">
        <f aca="false">I1426*O1426</f>
        <v>139.988187</v>
      </c>
      <c r="V1426" s="56" t="n">
        <f aca="false">J1426*O1426</f>
        <v>279.976374</v>
      </c>
      <c r="W1426" s="56" t="n">
        <f aca="false">((I1426+J1426)/2)*O1426</f>
        <v>209.9822805</v>
      </c>
      <c r="X1426" s="56" t="n">
        <f aca="false">H1426*O1426</f>
        <v>125.595</v>
      </c>
    </row>
    <row r="1427" customFormat="false" ht="22.35" hidden="false" customHeight="false" outlineLevel="0" collapsed="false">
      <c r="A1427" s="79" t="s">
        <v>2065</v>
      </c>
      <c r="B1427" s="49" t="s">
        <v>2111</v>
      </c>
      <c r="C1427" s="49" t="s">
        <v>2112</v>
      </c>
      <c r="D1427" s="49" t="s">
        <v>2095</v>
      </c>
      <c r="E1427" s="61" t="s">
        <v>2113</v>
      </c>
      <c r="F1427" s="49" t="s">
        <v>2097</v>
      </c>
      <c r="G1427" s="49" t="s">
        <v>2097</v>
      </c>
      <c r="H1427" s="51" t="n">
        <v>1526</v>
      </c>
      <c r="I1427" s="51" t="n">
        <v>1402.48</v>
      </c>
      <c r="J1427" s="51" t="n">
        <v>2804.96</v>
      </c>
      <c r="K1427" s="52" t="n">
        <v>5400</v>
      </c>
      <c r="L1427" s="53" t="n">
        <v>48.6</v>
      </c>
      <c r="M1427" s="54" t="n">
        <v>76</v>
      </c>
      <c r="N1427" s="51" t="n">
        <v>28.857534</v>
      </c>
      <c r="O1427" s="55" t="n">
        <v>2.02</v>
      </c>
      <c r="P1427" s="51" t="n">
        <v>-1278.96</v>
      </c>
      <c r="Q1427" s="49" t="s">
        <v>2103</v>
      </c>
      <c r="R1427" s="49" t="s">
        <v>2099</v>
      </c>
      <c r="S1427" s="53" t="n">
        <v>1</v>
      </c>
      <c r="T1427" s="51" t="n">
        <v>5400</v>
      </c>
      <c r="U1427" s="56" t="n">
        <f aca="false">I1427*O1427</f>
        <v>2833.0096</v>
      </c>
      <c r="V1427" s="56" t="n">
        <f aca="false">J1427*O1427</f>
        <v>5666.0192</v>
      </c>
      <c r="W1427" s="56" t="n">
        <f aca="false">((I1427+J1427)/2)*O1427</f>
        <v>4249.5144</v>
      </c>
      <c r="X1427" s="56" t="n">
        <f aca="false">H1427*O1427</f>
        <v>3082.52</v>
      </c>
    </row>
    <row r="1428" customFormat="false" ht="22.35" hidden="false" customHeight="false" outlineLevel="0" collapsed="false">
      <c r="A1428" s="79" t="s">
        <v>2065</v>
      </c>
      <c r="B1428" s="7" t="s">
        <v>3493</v>
      </c>
      <c r="C1428" s="7" t="s">
        <v>3494</v>
      </c>
      <c r="D1428" s="7" t="s">
        <v>2109</v>
      </c>
      <c r="E1428" s="60" t="s">
        <v>2110</v>
      </c>
      <c r="F1428" s="7" t="s">
        <v>2097</v>
      </c>
      <c r="G1428" s="7" t="s">
        <v>2097</v>
      </c>
      <c r="H1428" s="9" t="n">
        <v>1516</v>
      </c>
      <c r="I1428" s="9" t="n">
        <v>2846.23</v>
      </c>
      <c r="J1428" s="9" t="n">
        <v>4743.72</v>
      </c>
      <c r="K1428" s="52" t="n">
        <v>7200</v>
      </c>
      <c r="L1428" s="58" t="n">
        <v>66.9</v>
      </c>
      <c r="M1428" s="59" t="n">
        <v>70</v>
      </c>
      <c r="N1428" s="9" t="n">
        <v>28.363014</v>
      </c>
      <c r="O1428" s="8" t="n">
        <v>0.438</v>
      </c>
      <c r="P1428" s="9" t="n">
        <v>-3227.72</v>
      </c>
      <c r="Q1428" s="7" t="s">
        <v>2103</v>
      </c>
      <c r="R1428" s="7" t="s">
        <v>2099</v>
      </c>
      <c r="S1428" s="58" t="n">
        <v>1.5</v>
      </c>
      <c r="T1428" s="9" t="n">
        <v>7200</v>
      </c>
      <c r="U1428" s="56" t="n">
        <f aca="false">I1428*O1428</f>
        <v>1246.64874</v>
      </c>
      <c r="V1428" s="56" t="n">
        <f aca="false">J1428*O1428</f>
        <v>2077.74936</v>
      </c>
      <c r="W1428" s="56" t="n">
        <f aca="false">((I1428+J1428)/2)*O1428</f>
        <v>1662.19905</v>
      </c>
      <c r="X1428" s="56" t="n">
        <f aca="false">H1428*O1428</f>
        <v>664.008</v>
      </c>
    </row>
    <row r="1429" customFormat="false" ht="15" hidden="false" customHeight="false" outlineLevel="0" collapsed="false">
      <c r="A1429" s="79" t="s">
        <v>2065</v>
      </c>
      <c r="B1429" s="49" t="s">
        <v>2114</v>
      </c>
      <c r="C1429" s="49" t="s">
        <v>2115</v>
      </c>
      <c r="D1429" s="49" t="s">
        <v>2095</v>
      </c>
      <c r="E1429" s="50" t="s">
        <v>2096</v>
      </c>
      <c r="F1429" s="49" t="s">
        <v>2097</v>
      </c>
      <c r="G1429" s="49" t="s">
        <v>2097</v>
      </c>
      <c r="H1429" s="51" t="n">
        <v>1458</v>
      </c>
      <c r="I1429" s="51" t="n">
        <v>609.32</v>
      </c>
      <c r="J1429" s="51" t="n">
        <v>1218.64</v>
      </c>
      <c r="K1429" s="52" t="n">
        <v>1344</v>
      </c>
      <c r="L1429" s="53" t="n">
        <v>29</v>
      </c>
      <c r="M1429" s="54" t="n">
        <v>72.5</v>
      </c>
      <c r="N1429" s="51" t="n">
        <v>21.010959</v>
      </c>
      <c r="O1429" s="55" t="n">
        <v>2.5</v>
      </c>
      <c r="P1429" s="51" t="n">
        <v>239.36</v>
      </c>
      <c r="Q1429" s="49" t="s">
        <v>2098</v>
      </c>
      <c r="R1429" s="49" t="s">
        <v>2099</v>
      </c>
      <c r="S1429" s="53" t="n">
        <v>1</v>
      </c>
      <c r="T1429" s="51" t="n">
        <v>336</v>
      </c>
      <c r="U1429" s="56" t="n">
        <f aca="false">I1429*O1429</f>
        <v>1523.3</v>
      </c>
      <c r="V1429" s="56" t="n">
        <f aca="false">J1429*O1429</f>
        <v>3046.6</v>
      </c>
      <c r="W1429" s="56" t="n">
        <f aca="false">((I1429+J1429)/2)*O1429</f>
        <v>2284.95</v>
      </c>
      <c r="X1429" s="56" t="n">
        <f aca="false">H1429*O1429</f>
        <v>3645</v>
      </c>
    </row>
    <row r="1430" customFormat="false" ht="15" hidden="false" customHeight="false" outlineLevel="0" collapsed="false">
      <c r="A1430" s="79" t="s">
        <v>2065</v>
      </c>
      <c r="B1430" s="7" t="s">
        <v>2116</v>
      </c>
      <c r="C1430" s="7" t="s">
        <v>2117</v>
      </c>
      <c r="D1430" s="7" t="s">
        <v>2095</v>
      </c>
      <c r="E1430" s="50" t="s">
        <v>2096</v>
      </c>
      <c r="F1430" s="7" t="s">
        <v>2097</v>
      </c>
      <c r="G1430" s="7" t="s">
        <v>2097</v>
      </c>
      <c r="H1430" s="9" t="n">
        <v>1432</v>
      </c>
      <c r="I1430" s="9" t="n">
        <v>584.4</v>
      </c>
      <c r="J1430" s="9" t="n">
        <v>1168.8</v>
      </c>
      <c r="K1430" s="52" t="n">
        <v>1440</v>
      </c>
      <c r="L1430" s="58" t="n">
        <v>28.2</v>
      </c>
      <c r="M1430" s="59" t="n">
        <v>69.8</v>
      </c>
      <c r="N1430" s="9" t="n">
        <v>20.723288</v>
      </c>
      <c r="O1430" s="8" t="n">
        <v>1.13</v>
      </c>
      <c r="P1430" s="9" t="n">
        <v>263.2</v>
      </c>
      <c r="Q1430" s="7" t="s">
        <v>2098</v>
      </c>
      <c r="R1430" s="7" t="s">
        <v>2099</v>
      </c>
      <c r="S1430" s="58" t="n">
        <v>1</v>
      </c>
      <c r="T1430" s="9" t="n">
        <v>360</v>
      </c>
      <c r="U1430" s="56" t="n">
        <f aca="false">I1430*O1430</f>
        <v>660.372</v>
      </c>
      <c r="V1430" s="56" t="n">
        <f aca="false">J1430*O1430</f>
        <v>1320.744</v>
      </c>
      <c r="W1430" s="56" t="n">
        <f aca="false">((I1430+J1430)/2)*O1430</f>
        <v>990.558</v>
      </c>
      <c r="X1430" s="56" t="n">
        <f aca="false">H1430*O1430</f>
        <v>1618.16</v>
      </c>
    </row>
    <row r="1431" customFormat="false" ht="22.35" hidden="false" customHeight="false" outlineLevel="0" collapsed="false">
      <c r="A1431" s="79" t="s">
        <v>2065</v>
      </c>
      <c r="B1431" s="49" t="s">
        <v>2118</v>
      </c>
      <c r="C1431" s="49" t="s">
        <v>2119</v>
      </c>
      <c r="D1431" s="49" t="s">
        <v>2109</v>
      </c>
      <c r="E1431" s="60" t="s">
        <v>2110</v>
      </c>
      <c r="F1431" s="49" t="s">
        <v>2097</v>
      </c>
      <c r="G1431" s="49" t="s">
        <v>2097</v>
      </c>
      <c r="H1431" s="51" t="n">
        <v>8495</v>
      </c>
      <c r="I1431" s="51" t="n">
        <v>12920.41</v>
      </c>
      <c r="J1431" s="51" t="n">
        <v>21534.02</v>
      </c>
      <c r="K1431" s="52" t="n">
        <v>21534.02</v>
      </c>
      <c r="L1431" s="53" t="n">
        <v>64.8</v>
      </c>
      <c r="M1431" s="54" t="n">
        <v>77.8</v>
      </c>
      <c r="N1431" s="51" t="n">
        <v>132.926027</v>
      </c>
      <c r="O1431" s="55" t="n">
        <v>1.56</v>
      </c>
      <c r="P1431" s="51" t="n">
        <v>-13039.02</v>
      </c>
      <c r="Q1431" s="49" t="s">
        <v>2103</v>
      </c>
      <c r="R1431" s="49" t="s">
        <v>2099</v>
      </c>
      <c r="S1431" s="53" t="n">
        <v>1.5</v>
      </c>
      <c r="T1431" s="51" t="n">
        <v>1</v>
      </c>
      <c r="U1431" s="56" t="n">
        <f aca="false">I1431*O1431</f>
        <v>20155.8396</v>
      </c>
      <c r="V1431" s="56" t="n">
        <f aca="false">J1431*O1431</f>
        <v>33593.0712</v>
      </c>
      <c r="W1431" s="56" t="n">
        <f aca="false">((I1431+J1431)/2)*O1431</f>
        <v>26874.4554</v>
      </c>
      <c r="X1431" s="56" t="n">
        <f aca="false">H1431*O1431</f>
        <v>13252.2</v>
      </c>
    </row>
    <row r="1432" customFormat="false" ht="22.35" hidden="false" customHeight="false" outlineLevel="0" collapsed="false">
      <c r="A1432" s="79" t="s">
        <v>2065</v>
      </c>
      <c r="B1432" s="7" t="s">
        <v>2122</v>
      </c>
      <c r="C1432" s="7" t="s">
        <v>2123</v>
      </c>
      <c r="D1432" s="7" t="s">
        <v>2109</v>
      </c>
      <c r="E1432" s="60" t="s">
        <v>2110</v>
      </c>
      <c r="F1432" s="7" t="s">
        <v>2097</v>
      </c>
      <c r="G1432" s="7" t="s">
        <v>2097</v>
      </c>
      <c r="H1432" s="9" t="n">
        <v>8574</v>
      </c>
      <c r="I1432" s="9" t="n">
        <v>13614.3</v>
      </c>
      <c r="J1432" s="9" t="n">
        <v>22690.5</v>
      </c>
      <c r="K1432" s="52" t="n">
        <v>28800</v>
      </c>
      <c r="L1432" s="58" t="n">
        <v>66.3</v>
      </c>
      <c r="M1432" s="59" t="n">
        <v>78.9</v>
      </c>
      <c r="N1432" s="9" t="n">
        <v>136.89589</v>
      </c>
      <c r="O1432" s="8" t="n">
        <v>0.34</v>
      </c>
      <c r="P1432" s="9" t="n">
        <v>-14116.5</v>
      </c>
      <c r="Q1432" s="7" t="s">
        <v>2103</v>
      </c>
      <c r="R1432" s="7" t="s">
        <v>2099</v>
      </c>
      <c r="S1432" s="58" t="n">
        <v>1.5</v>
      </c>
      <c r="T1432" s="9" t="n">
        <v>7200</v>
      </c>
      <c r="U1432" s="56" t="n">
        <f aca="false">I1432*O1432</f>
        <v>4628.862</v>
      </c>
      <c r="V1432" s="56" t="n">
        <f aca="false">J1432*O1432</f>
        <v>7714.77</v>
      </c>
      <c r="W1432" s="56" t="n">
        <f aca="false">((I1432+J1432)/2)*O1432</f>
        <v>6171.816</v>
      </c>
      <c r="X1432" s="56" t="n">
        <f aca="false">H1432*O1432</f>
        <v>2915.16</v>
      </c>
    </row>
    <row r="1433" customFormat="false" ht="22.35" hidden="false" customHeight="false" outlineLevel="0" collapsed="false">
      <c r="A1433" s="79" t="s">
        <v>2065</v>
      </c>
      <c r="B1433" s="49" t="s">
        <v>4051</v>
      </c>
      <c r="C1433" s="49" t="s">
        <v>4052</v>
      </c>
      <c r="D1433" s="49" t="s">
        <v>2101</v>
      </c>
      <c r="E1433" s="57" t="s">
        <v>2102</v>
      </c>
      <c r="F1433" s="49" t="s">
        <v>2097</v>
      </c>
      <c r="G1433" s="49" t="s">
        <v>2097</v>
      </c>
      <c r="H1433" s="51" t="n">
        <v>295</v>
      </c>
      <c r="I1433" s="51" t="n">
        <v>184.09</v>
      </c>
      <c r="J1433" s="51" t="n">
        <v>552.28</v>
      </c>
      <c r="K1433" s="52" t="n">
        <v>1000</v>
      </c>
      <c r="L1433" s="53" t="n">
        <v>68.2</v>
      </c>
      <c r="M1433" s="54" t="n">
        <v>66.7</v>
      </c>
      <c r="N1433" s="51" t="n">
        <v>5.39863</v>
      </c>
      <c r="O1433" s="55" t="n">
        <v>8.386</v>
      </c>
      <c r="P1433" s="51" t="n">
        <v>-257.28</v>
      </c>
      <c r="Q1433" s="49" t="s">
        <v>2103</v>
      </c>
      <c r="R1433" s="49" t="s">
        <v>2099</v>
      </c>
      <c r="S1433" s="53" t="n">
        <v>0.5</v>
      </c>
      <c r="T1433" s="51" t="n">
        <v>500</v>
      </c>
      <c r="U1433" s="56" t="n">
        <f aca="false">I1433*O1433</f>
        <v>1543.77874</v>
      </c>
      <c r="V1433" s="56" t="n">
        <f aca="false">J1433*O1433</f>
        <v>4631.42008</v>
      </c>
      <c r="W1433" s="56" t="n">
        <f aca="false">((I1433+J1433)/2)*O1433</f>
        <v>3087.59941</v>
      </c>
      <c r="X1433" s="56" t="n">
        <f aca="false">H1433*O1433</f>
        <v>2473.87</v>
      </c>
    </row>
    <row r="1434" customFormat="false" ht="22.35" hidden="false" customHeight="false" outlineLevel="0" collapsed="false">
      <c r="A1434" s="79" t="s">
        <v>2065</v>
      </c>
      <c r="B1434" s="7" t="s">
        <v>2128</v>
      </c>
      <c r="C1434" s="7" t="s">
        <v>2129</v>
      </c>
      <c r="D1434" s="7" t="s">
        <v>2095</v>
      </c>
      <c r="E1434" s="61" t="s">
        <v>2113</v>
      </c>
      <c r="F1434" s="7" t="s">
        <v>2097</v>
      </c>
      <c r="G1434" s="7" t="s">
        <v>2097</v>
      </c>
      <c r="H1434" s="9" t="n">
        <v>270</v>
      </c>
      <c r="I1434" s="9" t="n">
        <v>187.79</v>
      </c>
      <c r="J1434" s="9" t="n">
        <v>375.58</v>
      </c>
      <c r="K1434" s="52" t="n">
        <v>500</v>
      </c>
      <c r="L1434" s="58" t="n">
        <v>28.8</v>
      </c>
      <c r="M1434" s="59" t="n">
        <v>75</v>
      </c>
      <c r="N1434" s="9" t="n">
        <v>6.520548</v>
      </c>
      <c r="O1434" s="8" t="n">
        <v>0.26</v>
      </c>
      <c r="P1434" s="9" t="n">
        <v>-105.58</v>
      </c>
      <c r="Q1434" s="7" t="s">
        <v>2103</v>
      </c>
      <c r="R1434" s="7" t="s">
        <v>2099</v>
      </c>
      <c r="S1434" s="58" t="n">
        <v>1</v>
      </c>
      <c r="T1434" s="9" t="n">
        <v>500</v>
      </c>
      <c r="U1434" s="56" t="n">
        <f aca="false">I1434*O1434</f>
        <v>48.8254</v>
      </c>
      <c r="V1434" s="56" t="n">
        <f aca="false">J1434*O1434</f>
        <v>97.6508</v>
      </c>
      <c r="W1434" s="56" t="n">
        <f aca="false">((I1434+J1434)/2)*O1434</f>
        <v>73.2381</v>
      </c>
      <c r="X1434" s="56" t="n">
        <f aca="false">H1434*O1434</f>
        <v>70.2</v>
      </c>
    </row>
    <row r="1435" customFormat="false" ht="22.35" hidden="false" customHeight="false" outlineLevel="0" collapsed="false">
      <c r="A1435" s="79" t="s">
        <v>2065</v>
      </c>
      <c r="B1435" s="49" t="s">
        <v>2130</v>
      </c>
      <c r="C1435" s="49" t="s">
        <v>2131</v>
      </c>
      <c r="D1435" s="49" t="s">
        <v>2095</v>
      </c>
      <c r="E1435" s="61" t="s">
        <v>2113</v>
      </c>
      <c r="F1435" s="49" t="s">
        <v>2097</v>
      </c>
      <c r="G1435" s="49" t="s">
        <v>2097</v>
      </c>
      <c r="H1435" s="51" t="n">
        <v>409</v>
      </c>
      <c r="I1435" s="51" t="n">
        <v>338.15</v>
      </c>
      <c r="J1435" s="51" t="n">
        <v>676.3</v>
      </c>
      <c r="K1435" s="52" t="n">
        <v>720</v>
      </c>
      <c r="L1435" s="53" t="n">
        <v>63.1</v>
      </c>
      <c r="M1435" s="54" t="n">
        <v>47.8</v>
      </c>
      <c r="N1435" s="51" t="n">
        <v>5.358904</v>
      </c>
      <c r="O1435" s="55" t="n">
        <v>6.398</v>
      </c>
      <c r="P1435" s="51" t="n">
        <v>-267.3</v>
      </c>
      <c r="Q1435" s="49" t="s">
        <v>2103</v>
      </c>
      <c r="R1435" s="49" t="s">
        <v>2099</v>
      </c>
      <c r="S1435" s="53" t="n">
        <v>1</v>
      </c>
      <c r="T1435" s="51" t="n">
        <v>120</v>
      </c>
      <c r="U1435" s="56" t="n">
        <f aca="false">I1435*O1435</f>
        <v>2163.4837</v>
      </c>
      <c r="V1435" s="56" t="n">
        <f aca="false">J1435*O1435</f>
        <v>4326.9674</v>
      </c>
      <c r="W1435" s="56" t="n">
        <f aca="false">((I1435+J1435)/2)*O1435</f>
        <v>3245.22555</v>
      </c>
      <c r="X1435" s="56" t="n">
        <f aca="false">H1435*O1435</f>
        <v>2616.782</v>
      </c>
    </row>
    <row r="1436" customFormat="false" ht="22.35" hidden="false" customHeight="false" outlineLevel="0" collapsed="false">
      <c r="A1436" s="79" t="s">
        <v>2065</v>
      </c>
      <c r="B1436" s="7" t="s">
        <v>2132</v>
      </c>
      <c r="C1436" s="7" t="s">
        <v>2133</v>
      </c>
      <c r="D1436" s="7" t="s">
        <v>2095</v>
      </c>
      <c r="E1436" s="61" t="s">
        <v>2113</v>
      </c>
      <c r="F1436" s="7" t="s">
        <v>2097</v>
      </c>
      <c r="G1436" s="7" t="s">
        <v>2097</v>
      </c>
      <c r="H1436" s="9" t="n">
        <v>156</v>
      </c>
      <c r="I1436" s="9" t="n">
        <v>212.9</v>
      </c>
      <c r="J1436" s="9" t="n">
        <v>425.8</v>
      </c>
      <c r="K1436" s="52" t="n">
        <v>480</v>
      </c>
      <c r="L1436" s="58" t="n">
        <v>51.6</v>
      </c>
      <c r="M1436" s="59" t="n">
        <v>50</v>
      </c>
      <c r="N1436" s="9" t="n">
        <v>4.126027</v>
      </c>
      <c r="O1436" s="8" t="n">
        <v>2.57</v>
      </c>
      <c r="P1436" s="9" t="n">
        <v>-269.8</v>
      </c>
      <c r="Q1436" s="7" t="s">
        <v>2103</v>
      </c>
      <c r="R1436" s="7" t="s">
        <v>2099</v>
      </c>
      <c r="S1436" s="58" t="n">
        <v>1</v>
      </c>
      <c r="T1436" s="9" t="n">
        <v>120</v>
      </c>
      <c r="U1436" s="56" t="n">
        <f aca="false">I1436*O1436</f>
        <v>547.153</v>
      </c>
      <c r="V1436" s="56" t="n">
        <f aca="false">J1436*O1436</f>
        <v>1094.306</v>
      </c>
      <c r="W1436" s="56" t="n">
        <f aca="false">((I1436+J1436)/2)*O1436</f>
        <v>820.7295</v>
      </c>
      <c r="X1436" s="56" t="n">
        <f aca="false">H1436*O1436</f>
        <v>400.92</v>
      </c>
    </row>
    <row r="1437" customFormat="false" ht="22.35" hidden="false" customHeight="false" outlineLevel="0" collapsed="false">
      <c r="A1437" s="79" t="s">
        <v>2065</v>
      </c>
      <c r="B1437" s="49" t="s">
        <v>2134</v>
      </c>
      <c r="C1437" s="49" t="s">
        <v>2135</v>
      </c>
      <c r="D1437" s="49" t="s">
        <v>2095</v>
      </c>
      <c r="E1437" s="61" t="s">
        <v>2113</v>
      </c>
      <c r="F1437" s="49" t="s">
        <v>2097</v>
      </c>
      <c r="G1437" s="49" t="s">
        <v>2097</v>
      </c>
      <c r="H1437" s="51" t="n">
        <v>241</v>
      </c>
      <c r="I1437" s="51" t="n">
        <v>139.22</v>
      </c>
      <c r="J1437" s="51" t="n">
        <v>278.44</v>
      </c>
      <c r="K1437" s="52" t="n">
        <v>2200</v>
      </c>
      <c r="L1437" s="53" t="n">
        <v>63.4</v>
      </c>
      <c r="M1437" s="54" t="n">
        <v>33.3</v>
      </c>
      <c r="N1437" s="51" t="n">
        <v>2.19589</v>
      </c>
      <c r="O1437" s="55" t="n">
        <v>2.85</v>
      </c>
      <c r="P1437" s="51" t="n">
        <v>-37.44</v>
      </c>
      <c r="Q1437" s="49" t="s">
        <v>2103</v>
      </c>
      <c r="R1437" s="49" t="s">
        <v>2099</v>
      </c>
      <c r="S1437" s="53" t="n">
        <v>1</v>
      </c>
      <c r="T1437" s="51" t="n">
        <v>2200</v>
      </c>
      <c r="U1437" s="56" t="n">
        <f aca="false">I1437*O1437</f>
        <v>396.777</v>
      </c>
      <c r="V1437" s="56" t="n">
        <f aca="false">J1437*O1437</f>
        <v>793.554</v>
      </c>
      <c r="W1437" s="56" t="n">
        <f aca="false">((I1437+J1437)/2)*O1437</f>
        <v>595.1655</v>
      </c>
      <c r="X1437" s="56" t="n">
        <f aca="false">H1437*O1437</f>
        <v>686.85</v>
      </c>
    </row>
    <row r="1438" customFormat="false" ht="22.35" hidden="false" customHeight="false" outlineLevel="0" collapsed="false">
      <c r="A1438" s="79" t="s">
        <v>2065</v>
      </c>
      <c r="B1438" s="7" t="s">
        <v>2136</v>
      </c>
      <c r="C1438" s="7" t="s">
        <v>2137</v>
      </c>
      <c r="D1438" s="7" t="s">
        <v>2095</v>
      </c>
      <c r="E1438" s="61" t="s">
        <v>2113</v>
      </c>
      <c r="F1438" s="7" t="s">
        <v>2097</v>
      </c>
      <c r="G1438" s="7" t="s">
        <v>2097</v>
      </c>
      <c r="H1438" s="9" t="n">
        <v>241</v>
      </c>
      <c r="I1438" s="9" t="n">
        <v>153.27</v>
      </c>
      <c r="J1438" s="9" t="n">
        <v>306.54</v>
      </c>
      <c r="K1438" s="52" t="n">
        <v>2160</v>
      </c>
      <c r="L1438" s="58" t="n">
        <v>69.8</v>
      </c>
      <c r="M1438" s="59" t="n">
        <v>36</v>
      </c>
      <c r="N1438" s="9" t="n">
        <v>2.19589</v>
      </c>
      <c r="O1438" s="8" t="n">
        <v>6.14</v>
      </c>
      <c r="P1438" s="9" t="n">
        <v>-65.54</v>
      </c>
      <c r="Q1438" s="7" t="s">
        <v>2103</v>
      </c>
      <c r="R1438" s="7" t="s">
        <v>2099</v>
      </c>
      <c r="S1438" s="58" t="n">
        <v>1</v>
      </c>
      <c r="T1438" s="9" t="n">
        <v>2160</v>
      </c>
      <c r="U1438" s="56" t="n">
        <f aca="false">I1438*O1438</f>
        <v>941.0778</v>
      </c>
      <c r="V1438" s="56" t="n">
        <f aca="false">J1438*O1438</f>
        <v>1882.1556</v>
      </c>
      <c r="W1438" s="56" t="n">
        <f aca="false">((I1438+J1438)/2)*O1438</f>
        <v>1411.6167</v>
      </c>
      <c r="X1438" s="56" t="n">
        <f aca="false">H1438*O1438</f>
        <v>1479.74</v>
      </c>
    </row>
    <row r="1439" customFormat="false" ht="22.35" hidden="false" customHeight="false" outlineLevel="0" collapsed="false">
      <c r="A1439" s="79" t="s">
        <v>2065</v>
      </c>
      <c r="B1439" s="49" t="s">
        <v>2140</v>
      </c>
      <c r="C1439" s="49" t="s">
        <v>2141</v>
      </c>
      <c r="D1439" s="49" t="s">
        <v>2095</v>
      </c>
      <c r="E1439" s="61" t="s">
        <v>2113</v>
      </c>
      <c r="F1439" s="49" t="s">
        <v>2097</v>
      </c>
      <c r="G1439" s="49" t="s">
        <v>2097</v>
      </c>
      <c r="H1439" s="51" t="n">
        <v>3504</v>
      </c>
      <c r="I1439" s="51" t="n">
        <v>3037.24</v>
      </c>
      <c r="J1439" s="51" t="n">
        <v>6074.48</v>
      </c>
      <c r="K1439" s="52" t="n">
        <v>6074.48</v>
      </c>
      <c r="L1439" s="53" t="n">
        <v>50.2</v>
      </c>
      <c r="M1439" s="54" t="n">
        <v>61.9</v>
      </c>
      <c r="N1439" s="51" t="n">
        <v>60.50274</v>
      </c>
      <c r="O1439" s="55" t="n">
        <v>6.12</v>
      </c>
      <c r="P1439" s="51" t="n">
        <v>-2570.48</v>
      </c>
      <c r="Q1439" s="49" t="s">
        <v>2103</v>
      </c>
      <c r="R1439" s="49" t="s">
        <v>2099</v>
      </c>
      <c r="S1439" s="53" t="n">
        <v>1</v>
      </c>
      <c r="T1439" s="51" t="n">
        <v>1</v>
      </c>
      <c r="U1439" s="56" t="n">
        <f aca="false">I1439*O1439</f>
        <v>18587.9088</v>
      </c>
      <c r="V1439" s="56" t="n">
        <f aca="false">J1439*O1439</f>
        <v>37175.8176</v>
      </c>
      <c r="W1439" s="56" t="n">
        <f aca="false">((I1439+J1439)/2)*O1439</f>
        <v>27881.8632</v>
      </c>
      <c r="X1439" s="56" t="n">
        <f aca="false">H1439*O1439</f>
        <v>21444.48</v>
      </c>
    </row>
    <row r="1440" customFormat="false" ht="22.35" hidden="false" customHeight="false" outlineLevel="0" collapsed="false">
      <c r="A1440" s="79" t="s">
        <v>2065</v>
      </c>
      <c r="B1440" s="7" t="s">
        <v>2142</v>
      </c>
      <c r="C1440" s="7" t="s">
        <v>2143</v>
      </c>
      <c r="D1440" s="7" t="s">
        <v>2095</v>
      </c>
      <c r="E1440" s="61" t="s">
        <v>2113</v>
      </c>
      <c r="F1440" s="7" t="s">
        <v>2097</v>
      </c>
      <c r="G1440" s="7" t="s">
        <v>2097</v>
      </c>
      <c r="H1440" s="9" t="n">
        <v>2587</v>
      </c>
      <c r="I1440" s="9" t="n">
        <v>2472.66</v>
      </c>
      <c r="J1440" s="9" t="n">
        <v>4945.32</v>
      </c>
      <c r="K1440" s="52" t="n">
        <v>4945.32</v>
      </c>
      <c r="L1440" s="58" t="n">
        <v>53.8</v>
      </c>
      <c r="M1440" s="59" t="n">
        <v>60</v>
      </c>
      <c r="N1440" s="9" t="n">
        <v>45.960274</v>
      </c>
      <c r="O1440" s="8" t="n">
        <v>1.4812</v>
      </c>
      <c r="P1440" s="9" t="n">
        <v>-2358.32</v>
      </c>
      <c r="Q1440" s="7" t="s">
        <v>2103</v>
      </c>
      <c r="R1440" s="7" t="s">
        <v>2099</v>
      </c>
      <c r="S1440" s="58" t="n">
        <v>1</v>
      </c>
      <c r="T1440" s="9" t="n">
        <v>1</v>
      </c>
      <c r="U1440" s="56" t="n">
        <f aca="false">I1440*O1440</f>
        <v>3662.503992</v>
      </c>
      <c r="V1440" s="56" t="n">
        <f aca="false">J1440*O1440</f>
        <v>7325.007984</v>
      </c>
      <c r="W1440" s="56" t="n">
        <f aca="false">((I1440+J1440)/2)*O1440</f>
        <v>5493.755988</v>
      </c>
      <c r="X1440" s="56" t="n">
        <f aca="false">H1440*O1440</f>
        <v>3831.8644</v>
      </c>
    </row>
    <row r="1441" customFormat="false" ht="22.35" hidden="false" customHeight="false" outlineLevel="0" collapsed="false">
      <c r="A1441" s="79" t="s">
        <v>2065</v>
      </c>
      <c r="B1441" s="49" t="s">
        <v>4053</v>
      </c>
      <c r="C1441" s="49" t="s">
        <v>4054</v>
      </c>
      <c r="D1441" s="49" t="s">
        <v>2101</v>
      </c>
      <c r="E1441" s="50" t="s">
        <v>2096</v>
      </c>
      <c r="F1441" s="49" t="s">
        <v>2097</v>
      </c>
      <c r="G1441" s="49" t="s">
        <v>2097</v>
      </c>
      <c r="H1441" s="51" t="n">
        <v>649</v>
      </c>
      <c r="I1441" s="51" t="n">
        <v>129.78</v>
      </c>
      <c r="J1441" s="51" t="n">
        <v>389.35</v>
      </c>
      <c r="K1441" s="52" t="n">
        <v>480</v>
      </c>
      <c r="L1441" s="53" t="n">
        <v>26.1</v>
      </c>
      <c r="M1441" s="54"/>
      <c r="N1441" s="51" t="n">
        <v>9.945205</v>
      </c>
      <c r="O1441" s="55" t="n">
        <v>2.0303</v>
      </c>
      <c r="P1441" s="51" t="n">
        <v>259.65</v>
      </c>
      <c r="Q1441" s="49" t="s">
        <v>2098</v>
      </c>
      <c r="R1441" s="49" t="s">
        <v>4055</v>
      </c>
      <c r="S1441" s="53" t="n">
        <v>0.5</v>
      </c>
      <c r="T1441" s="51" t="n">
        <v>240</v>
      </c>
      <c r="U1441" s="56" t="n">
        <f aca="false">I1441*O1441</f>
        <v>263.492334</v>
      </c>
      <c r="V1441" s="56" t="n">
        <f aca="false">J1441*O1441</f>
        <v>790.497305</v>
      </c>
      <c r="W1441" s="56" t="n">
        <f aca="false">((I1441+J1441)/2)*O1441</f>
        <v>526.9948195</v>
      </c>
      <c r="X1441" s="56" t="n">
        <f aca="false">H1441*O1441</f>
        <v>1317.6647</v>
      </c>
    </row>
    <row r="1442" customFormat="false" ht="22.35" hidden="false" customHeight="false" outlineLevel="0" collapsed="false">
      <c r="A1442" s="79" t="s">
        <v>2065</v>
      </c>
      <c r="B1442" s="7" t="s">
        <v>2144</v>
      </c>
      <c r="C1442" s="7" t="s">
        <v>2145</v>
      </c>
      <c r="D1442" s="7" t="s">
        <v>2109</v>
      </c>
      <c r="E1442" s="60" t="s">
        <v>2110</v>
      </c>
      <c r="F1442" s="7" t="s">
        <v>2097</v>
      </c>
      <c r="G1442" s="7" t="s">
        <v>2097</v>
      </c>
      <c r="H1442" s="9" t="n">
        <v>6233</v>
      </c>
      <c r="I1442" s="9" t="n">
        <v>14869.93</v>
      </c>
      <c r="J1442" s="9" t="n">
        <v>24783.22</v>
      </c>
      <c r="K1442" s="52" t="n">
        <v>28320</v>
      </c>
      <c r="L1442" s="58" t="n">
        <v>78.7</v>
      </c>
      <c r="M1442" s="59" t="n">
        <v>61</v>
      </c>
      <c r="N1442" s="9" t="n">
        <v>125.963014</v>
      </c>
      <c r="O1442" s="8" t="n">
        <v>5.45</v>
      </c>
      <c r="P1442" s="9" t="n">
        <v>-18550.22</v>
      </c>
      <c r="Q1442" s="7" t="s">
        <v>2103</v>
      </c>
      <c r="R1442" s="7" t="s">
        <v>2099</v>
      </c>
      <c r="S1442" s="58" t="n">
        <v>1.5</v>
      </c>
      <c r="T1442" s="9" t="n">
        <v>7080</v>
      </c>
      <c r="U1442" s="56" t="n">
        <f aca="false">I1442*O1442</f>
        <v>81041.1185</v>
      </c>
      <c r="V1442" s="56" t="n">
        <f aca="false">J1442*O1442</f>
        <v>135068.549</v>
      </c>
      <c r="W1442" s="56" t="n">
        <f aca="false">((I1442+J1442)/2)*O1442</f>
        <v>108054.83375</v>
      </c>
      <c r="X1442" s="56" t="n">
        <f aca="false">H1442*O1442</f>
        <v>33969.85</v>
      </c>
    </row>
    <row r="1443" customFormat="false" ht="22.35" hidden="false" customHeight="false" outlineLevel="0" collapsed="false">
      <c r="A1443" s="79" t="s">
        <v>2065</v>
      </c>
      <c r="B1443" s="49" t="s">
        <v>2146</v>
      </c>
      <c r="C1443" s="49" t="s">
        <v>2147</v>
      </c>
      <c r="D1443" s="49" t="s">
        <v>2095</v>
      </c>
      <c r="E1443" s="61" t="s">
        <v>2113</v>
      </c>
      <c r="F1443" s="49" t="s">
        <v>2097</v>
      </c>
      <c r="G1443" s="49" t="s">
        <v>2097</v>
      </c>
      <c r="H1443" s="51" t="n">
        <v>935</v>
      </c>
      <c r="I1443" s="51" t="n">
        <v>1957.98</v>
      </c>
      <c r="J1443" s="51" t="n">
        <v>3915.96</v>
      </c>
      <c r="K1443" s="52" t="n">
        <v>3960</v>
      </c>
      <c r="L1443" s="53" t="n">
        <v>60.9</v>
      </c>
      <c r="M1443" s="54" t="n">
        <v>44.2</v>
      </c>
      <c r="N1443" s="51" t="n">
        <v>32.150685</v>
      </c>
      <c r="O1443" s="55" t="n">
        <v>6.06</v>
      </c>
      <c r="P1443" s="51" t="n">
        <v>-2980.96</v>
      </c>
      <c r="Q1443" s="49" t="s">
        <v>2103</v>
      </c>
      <c r="R1443" s="49" t="s">
        <v>2099</v>
      </c>
      <c r="S1443" s="53" t="n">
        <v>1</v>
      </c>
      <c r="T1443" s="51" t="n">
        <v>120</v>
      </c>
      <c r="U1443" s="56" t="n">
        <f aca="false">I1443*O1443</f>
        <v>11865.3588</v>
      </c>
      <c r="V1443" s="56" t="n">
        <f aca="false">J1443*O1443</f>
        <v>23730.7176</v>
      </c>
      <c r="W1443" s="56" t="n">
        <f aca="false">((I1443+J1443)/2)*O1443</f>
        <v>17798.0382</v>
      </c>
      <c r="X1443" s="56" t="n">
        <f aca="false">H1443*O1443</f>
        <v>5666.1</v>
      </c>
    </row>
    <row r="1444" customFormat="false" ht="22.35" hidden="false" customHeight="false" outlineLevel="0" collapsed="false">
      <c r="A1444" s="79" t="s">
        <v>2065</v>
      </c>
      <c r="B1444" s="7" t="s">
        <v>2148</v>
      </c>
      <c r="C1444" s="7" t="s">
        <v>2149</v>
      </c>
      <c r="D1444" s="7" t="s">
        <v>2109</v>
      </c>
      <c r="E1444" s="60" t="s">
        <v>2110</v>
      </c>
      <c r="F1444" s="7" t="s">
        <v>2097</v>
      </c>
      <c r="G1444" s="7" t="s">
        <v>2097</v>
      </c>
      <c r="H1444" s="9" t="n">
        <v>2409</v>
      </c>
      <c r="I1444" s="9" t="n">
        <v>4663.19</v>
      </c>
      <c r="J1444" s="9" t="n">
        <v>7771.99</v>
      </c>
      <c r="K1444" s="52" t="n">
        <v>8160</v>
      </c>
      <c r="L1444" s="58" t="n">
        <v>81.1</v>
      </c>
      <c r="M1444" s="59" t="n">
        <v>51.6</v>
      </c>
      <c r="N1444" s="9" t="n">
        <v>38.332877</v>
      </c>
      <c r="O1444" s="8" t="n">
        <v>5.9</v>
      </c>
      <c r="P1444" s="9" t="n">
        <v>-5362.99</v>
      </c>
      <c r="Q1444" s="7" t="s">
        <v>2103</v>
      </c>
      <c r="R1444" s="7" t="s">
        <v>2099</v>
      </c>
      <c r="S1444" s="58" t="n">
        <v>1.5</v>
      </c>
      <c r="T1444" s="9" t="n">
        <v>2040</v>
      </c>
      <c r="U1444" s="56" t="n">
        <f aca="false">I1444*O1444</f>
        <v>27512.821</v>
      </c>
      <c r="V1444" s="56" t="n">
        <f aca="false">J1444*O1444</f>
        <v>45854.741</v>
      </c>
      <c r="W1444" s="56" t="n">
        <f aca="false">((I1444+J1444)/2)*O1444</f>
        <v>36683.781</v>
      </c>
      <c r="X1444" s="56" t="n">
        <f aca="false">H1444*O1444</f>
        <v>14213.1</v>
      </c>
    </row>
    <row r="1445" customFormat="false" ht="22.35" hidden="false" customHeight="false" outlineLevel="0" collapsed="false">
      <c r="A1445" s="79" t="s">
        <v>2065</v>
      </c>
      <c r="B1445" s="49" t="s">
        <v>2150</v>
      </c>
      <c r="C1445" s="49" t="s">
        <v>2151</v>
      </c>
      <c r="D1445" s="49" t="s">
        <v>2109</v>
      </c>
      <c r="E1445" s="60" t="s">
        <v>2110</v>
      </c>
      <c r="F1445" s="49" t="s">
        <v>2097</v>
      </c>
      <c r="G1445" s="49" t="s">
        <v>2097</v>
      </c>
      <c r="H1445" s="51" t="n">
        <v>8580</v>
      </c>
      <c r="I1445" s="51" t="n">
        <v>21763.84</v>
      </c>
      <c r="J1445" s="51" t="n">
        <v>36273.07</v>
      </c>
      <c r="K1445" s="52" t="n">
        <v>38400</v>
      </c>
      <c r="L1445" s="53" t="n">
        <v>80.4</v>
      </c>
      <c r="M1445" s="54" t="n">
        <v>56.4</v>
      </c>
      <c r="N1445" s="51" t="n">
        <v>180.463014</v>
      </c>
      <c r="O1445" s="55" t="n">
        <v>2.348</v>
      </c>
      <c r="P1445" s="51" t="n">
        <v>-27693.07</v>
      </c>
      <c r="Q1445" s="49" t="s">
        <v>2103</v>
      </c>
      <c r="R1445" s="49" t="s">
        <v>2099</v>
      </c>
      <c r="S1445" s="53" t="n">
        <v>1.5</v>
      </c>
      <c r="T1445" s="51" t="n">
        <v>7680</v>
      </c>
      <c r="U1445" s="56" t="n">
        <f aca="false">I1445*O1445</f>
        <v>51101.49632</v>
      </c>
      <c r="V1445" s="56" t="n">
        <f aca="false">J1445*O1445</f>
        <v>85169.16836</v>
      </c>
      <c r="W1445" s="56" t="n">
        <f aca="false">((I1445+J1445)/2)*O1445</f>
        <v>68135.33234</v>
      </c>
      <c r="X1445" s="56" t="n">
        <f aca="false">H1445*O1445</f>
        <v>20145.84</v>
      </c>
    </row>
    <row r="1446" customFormat="false" ht="22.35" hidden="false" customHeight="false" outlineLevel="0" collapsed="false">
      <c r="A1446" s="79" t="s">
        <v>2065</v>
      </c>
      <c r="B1446" s="7" t="s">
        <v>2152</v>
      </c>
      <c r="C1446" s="7" t="s">
        <v>2153</v>
      </c>
      <c r="D1446" s="7" t="s">
        <v>2095</v>
      </c>
      <c r="E1446" s="61" t="s">
        <v>2113</v>
      </c>
      <c r="F1446" s="7" t="s">
        <v>2097</v>
      </c>
      <c r="G1446" s="7" t="s">
        <v>2097</v>
      </c>
      <c r="H1446" s="9" t="n">
        <v>868</v>
      </c>
      <c r="I1446" s="9" t="n">
        <v>558.54</v>
      </c>
      <c r="J1446" s="9" t="n">
        <v>1117.08</v>
      </c>
      <c r="K1446" s="52" t="n">
        <v>3800</v>
      </c>
      <c r="L1446" s="58" t="n">
        <v>47.8</v>
      </c>
      <c r="M1446" s="59" t="n">
        <v>41.5</v>
      </c>
      <c r="N1446" s="9" t="n">
        <v>11.684932</v>
      </c>
      <c r="O1446" s="8" t="n">
        <v>3.53</v>
      </c>
      <c r="P1446" s="9" t="n">
        <v>-249.08</v>
      </c>
      <c r="Q1446" s="7" t="s">
        <v>2103</v>
      </c>
      <c r="R1446" s="7" t="s">
        <v>2099</v>
      </c>
      <c r="S1446" s="58" t="n">
        <v>1</v>
      </c>
      <c r="T1446" s="9" t="n">
        <v>3800</v>
      </c>
      <c r="U1446" s="56" t="n">
        <f aca="false">I1446*O1446</f>
        <v>1971.6462</v>
      </c>
      <c r="V1446" s="56" t="n">
        <f aca="false">J1446*O1446</f>
        <v>3943.2924</v>
      </c>
      <c r="W1446" s="56" t="n">
        <f aca="false">((I1446+J1446)/2)*O1446</f>
        <v>2957.4693</v>
      </c>
      <c r="X1446" s="56" t="n">
        <f aca="false">H1446*O1446</f>
        <v>3064.04</v>
      </c>
    </row>
    <row r="1447" customFormat="false" ht="22.35" hidden="false" customHeight="false" outlineLevel="0" collapsed="false">
      <c r="A1447" s="79" t="s">
        <v>2065</v>
      </c>
      <c r="B1447" s="4" t="s">
        <v>3518</v>
      </c>
      <c r="C1447" s="4" t="s">
        <v>3519</v>
      </c>
      <c r="D1447" s="4" t="s">
        <v>2101</v>
      </c>
      <c r="E1447" s="70" t="s">
        <v>2193</v>
      </c>
      <c r="F1447" s="4" t="s">
        <v>2097</v>
      </c>
      <c r="G1447" s="71" t="s">
        <v>2194</v>
      </c>
      <c r="H1447" s="6" t="n">
        <v>150</v>
      </c>
      <c r="I1447" s="6" t="n">
        <v>0</v>
      </c>
      <c r="J1447" s="6" t="n">
        <v>0</v>
      </c>
      <c r="K1447" s="52" t="n">
        <v>0</v>
      </c>
      <c r="L1447" s="72" t="n">
        <v>41.8</v>
      </c>
      <c r="M1447" s="73" t="n">
        <v>60</v>
      </c>
      <c r="N1447" s="6" t="n">
        <v>1.813699</v>
      </c>
      <c r="O1447" s="5" t="n">
        <v>9.847</v>
      </c>
      <c r="P1447" s="6" t="n">
        <v>150</v>
      </c>
      <c r="Q1447" s="4" t="s">
        <v>2098</v>
      </c>
      <c r="R1447" s="4" t="s">
        <v>2195</v>
      </c>
      <c r="S1447" s="72" t="n">
        <v>0</v>
      </c>
      <c r="T1447" s="6" t="n">
        <v>500</v>
      </c>
      <c r="U1447" s="56" t="n">
        <f aca="false">I1447*O1447</f>
        <v>0</v>
      </c>
      <c r="V1447" s="56" t="n">
        <f aca="false">J1447*O1447</f>
        <v>0</v>
      </c>
      <c r="W1447" s="56" t="n">
        <f aca="false">((I1447+J1447)/2)*O1447</f>
        <v>0</v>
      </c>
      <c r="X1447" s="56" t="n">
        <f aca="false">H1447*O1447</f>
        <v>1477.05</v>
      </c>
    </row>
    <row r="1448" customFormat="false" ht="22.35" hidden="false" customHeight="false" outlineLevel="0" collapsed="false">
      <c r="A1448" s="79" t="s">
        <v>2065</v>
      </c>
      <c r="B1448" s="7" t="s">
        <v>4056</v>
      </c>
      <c r="C1448" s="7" t="s">
        <v>4057</v>
      </c>
      <c r="D1448" s="7" t="s">
        <v>2109</v>
      </c>
      <c r="E1448" s="60" t="s">
        <v>2110</v>
      </c>
      <c r="F1448" s="7" t="s">
        <v>2097</v>
      </c>
      <c r="G1448" s="7" t="s">
        <v>2097</v>
      </c>
      <c r="H1448" s="9" t="n">
        <v>32891</v>
      </c>
      <c r="I1448" s="9" t="n">
        <v>96225.36</v>
      </c>
      <c r="J1448" s="9" t="n">
        <v>160375.6</v>
      </c>
      <c r="K1448" s="52" t="n">
        <v>160375.6</v>
      </c>
      <c r="L1448" s="58" t="n">
        <v>103.7</v>
      </c>
      <c r="M1448" s="59" t="n">
        <v>63.6</v>
      </c>
      <c r="N1448" s="9" t="n">
        <v>618.613699</v>
      </c>
      <c r="O1448" s="8" t="n">
        <v>0.1895</v>
      </c>
      <c r="P1448" s="9" t="n">
        <v>-127484.6</v>
      </c>
      <c r="Q1448" s="7" t="s">
        <v>2103</v>
      </c>
      <c r="R1448" s="7" t="s">
        <v>2099</v>
      </c>
      <c r="S1448" s="58" t="n">
        <v>1.5</v>
      </c>
      <c r="T1448" s="9" t="n">
        <v>1</v>
      </c>
      <c r="U1448" s="56" t="n">
        <f aca="false">I1448*O1448</f>
        <v>18234.70572</v>
      </c>
      <c r="V1448" s="56" t="n">
        <f aca="false">J1448*O1448</f>
        <v>30391.1762</v>
      </c>
      <c r="W1448" s="56" t="n">
        <f aca="false">((I1448+J1448)/2)*O1448</f>
        <v>24312.94096</v>
      </c>
      <c r="X1448" s="56" t="n">
        <f aca="false">H1448*O1448</f>
        <v>6232.8445</v>
      </c>
    </row>
    <row r="1449" customFormat="false" ht="22.35" hidden="false" customHeight="false" outlineLevel="0" collapsed="false">
      <c r="A1449" s="79" t="s">
        <v>2065</v>
      </c>
      <c r="B1449" s="49" t="s">
        <v>4058</v>
      </c>
      <c r="C1449" s="49" t="s">
        <v>4059</v>
      </c>
      <c r="D1449" s="49" t="s">
        <v>2095</v>
      </c>
      <c r="E1449" s="61" t="s">
        <v>2113</v>
      </c>
      <c r="F1449" s="49" t="s">
        <v>2097</v>
      </c>
      <c r="G1449" s="49" t="s">
        <v>2097</v>
      </c>
      <c r="H1449" s="51" t="n">
        <v>4909</v>
      </c>
      <c r="I1449" s="51" t="n">
        <v>5810.5</v>
      </c>
      <c r="J1449" s="51" t="n">
        <v>11621</v>
      </c>
      <c r="K1449" s="52" t="n">
        <v>12000</v>
      </c>
      <c r="L1449" s="53" t="n">
        <v>72</v>
      </c>
      <c r="M1449" s="54" t="n">
        <v>16.7</v>
      </c>
      <c r="N1449" s="51" t="n">
        <v>80.70137</v>
      </c>
      <c r="O1449" s="55" t="n">
        <v>0.4401</v>
      </c>
      <c r="P1449" s="51" t="n">
        <v>-6712</v>
      </c>
      <c r="Q1449" s="49" t="s">
        <v>2103</v>
      </c>
      <c r="R1449" s="49" t="s">
        <v>2099</v>
      </c>
      <c r="S1449" s="53" t="n">
        <v>1</v>
      </c>
      <c r="T1449" s="51" t="n">
        <v>500</v>
      </c>
      <c r="U1449" s="56" t="n">
        <f aca="false">I1449*O1449</f>
        <v>2557.20105</v>
      </c>
      <c r="V1449" s="56" t="n">
        <f aca="false">J1449*O1449</f>
        <v>5114.4021</v>
      </c>
      <c r="W1449" s="56" t="n">
        <f aca="false">((I1449+J1449)/2)*O1449</f>
        <v>3835.801575</v>
      </c>
      <c r="X1449" s="56" t="n">
        <f aca="false">H1449*O1449</f>
        <v>2160.4509</v>
      </c>
    </row>
    <row r="1450" customFormat="false" ht="15" hidden="false" customHeight="false" outlineLevel="0" collapsed="false">
      <c r="A1450" s="79" t="s">
        <v>2065</v>
      </c>
      <c r="B1450" s="7" t="s">
        <v>2156</v>
      </c>
      <c r="C1450" s="7" t="s">
        <v>2157</v>
      </c>
      <c r="D1450" s="7" t="s">
        <v>2101</v>
      </c>
      <c r="E1450" s="50" t="s">
        <v>2096</v>
      </c>
      <c r="F1450" s="7" t="s">
        <v>2097</v>
      </c>
      <c r="G1450" s="7" t="s">
        <v>2097</v>
      </c>
      <c r="H1450" s="9" t="n">
        <v>150</v>
      </c>
      <c r="I1450" s="9" t="n">
        <v>10.12</v>
      </c>
      <c r="J1450" s="9" t="n">
        <v>30.36</v>
      </c>
      <c r="K1450" s="52" t="n">
        <v>100</v>
      </c>
      <c r="L1450" s="58" t="n">
        <v>44.1</v>
      </c>
      <c r="M1450" s="59" t="n">
        <v>81.4</v>
      </c>
      <c r="N1450" s="9" t="n">
        <v>0.458904</v>
      </c>
      <c r="O1450" s="8" t="n">
        <v>0.0005</v>
      </c>
      <c r="P1450" s="9" t="n">
        <v>119.64</v>
      </c>
      <c r="Q1450" s="7" t="s">
        <v>2098</v>
      </c>
      <c r="R1450" s="7" t="s">
        <v>2099</v>
      </c>
      <c r="S1450" s="58" t="n">
        <v>0.5</v>
      </c>
      <c r="T1450" s="9" t="n">
        <v>100</v>
      </c>
      <c r="U1450" s="56" t="n">
        <f aca="false">I1450*O1450</f>
        <v>0.00506</v>
      </c>
      <c r="V1450" s="56" t="n">
        <f aca="false">J1450*O1450</f>
        <v>0.01518</v>
      </c>
      <c r="W1450" s="56" t="n">
        <f aca="false">((I1450+J1450)/2)*O1450</f>
        <v>0.01012</v>
      </c>
      <c r="X1450" s="56" t="n">
        <f aca="false">H1450*O1450</f>
        <v>0.075</v>
      </c>
    </row>
    <row r="1451" customFormat="false" ht="15" hidden="false" customHeight="false" outlineLevel="0" collapsed="false">
      <c r="A1451" s="79" t="s">
        <v>2065</v>
      </c>
      <c r="B1451" s="49" t="s">
        <v>2158</v>
      </c>
      <c r="C1451" s="49" t="s">
        <v>2159</v>
      </c>
      <c r="D1451" s="49" t="s">
        <v>2101</v>
      </c>
      <c r="E1451" s="50" t="s">
        <v>2096</v>
      </c>
      <c r="F1451" s="49" t="s">
        <v>2097</v>
      </c>
      <c r="G1451" s="49" t="s">
        <v>2097</v>
      </c>
      <c r="H1451" s="51" t="n">
        <v>500</v>
      </c>
      <c r="I1451" s="51" t="n">
        <v>12.42</v>
      </c>
      <c r="J1451" s="51" t="n">
        <v>37.27</v>
      </c>
      <c r="K1451" s="52" t="n">
        <v>1000</v>
      </c>
      <c r="L1451" s="53" t="n">
        <v>63.2</v>
      </c>
      <c r="M1451" s="54" t="n">
        <v>75.9</v>
      </c>
      <c r="N1451" s="51" t="n">
        <v>0.393151</v>
      </c>
      <c r="O1451" s="55" t="n">
        <v>0.0005</v>
      </c>
      <c r="P1451" s="51" t="n">
        <v>462.73</v>
      </c>
      <c r="Q1451" s="49" t="s">
        <v>2098</v>
      </c>
      <c r="R1451" s="49" t="s">
        <v>2099</v>
      </c>
      <c r="S1451" s="53" t="n">
        <v>0.5</v>
      </c>
      <c r="T1451" s="51" t="n">
        <v>1000</v>
      </c>
      <c r="U1451" s="56" t="n">
        <f aca="false">I1451*O1451</f>
        <v>0.00621</v>
      </c>
      <c r="V1451" s="56" t="n">
        <f aca="false">J1451*O1451</f>
        <v>0.018635</v>
      </c>
      <c r="W1451" s="56" t="n">
        <f aca="false">((I1451+J1451)/2)*O1451</f>
        <v>0.0124225</v>
      </c>
      <c r="X1451" s="56" t="n">
        <f aca="false">H1451*O1451</f>
        <v>0.25</v>
      </c>
    </row>
    <row r="1452" customFormat="false" ht="15" hidden="false" customHeight="false" outlineLevel="0" collapsed="false">
      <c r="A1452" s="79" t="s">
        <v>2065</v>
      </c>
      <c r="B1452" s="7" t="s">
        <v>2160</v>
      </c>
      <c r="C1452" s="7" t="s">
        <v>2161</v>
      </c>
      <c r="D1452" s="7" t="s">
        <v>2101</v>
      </c>
      <c r="E1452" s="50" t="s">
        <v>2096</v>
      </c>
      <c r="F1452" s="7" t="s">
        <v>2097</v>
      </c>
      <c r="G1452" s="7" t="s">
        <v>2097</v>
      </c>
      <c r="H1452" s="9" t="n">
        <v>150</v>
      </c>
      <c r="I1452" s="9" t="n">
        <v>19.83</v>
      </c>
      <c r="J1452" s="9" t="n">
        <v>59.5</v>
      </c>
      <c r="K1452" s="52" t="n">
        <v>100</v>
      </c>
      <c r="L1452" s="58" t="n">
        <v>45.6</v>
      </c>
      <c r="M1452" s="59" t="n">
        <v>82.8</v>
      </c>
      <c r="N1452" s="9" t="n">
        <v>0.869863</v>
      </c>
      <c r="O1452" s="8" t="n">
        <v>78.2541</v>
      </c>
      <c r="P1452" s="9" t="n">
        <v>90.5</v>
      </c>
      <c r="Q1452" s="7" t="s">
        <v>2098</v>
      </c>
      <c r="R1452" s="7" t="s">
        <v>2099</v>
      </c>
      <c r="S1452" s="58" t="n">
        <v>0.5</v>
      </c>
      <c r="T1452" s="9" t="n">
        <v>100</v>
      </c>
      <c r="U1452" s="56" t="n">
        <f aca="false">I1452*O1452</f>
        <v>1551.778803</v>
      </c>
      <c r="V1452" s="56" t="n">
        <f aca="false">J1452*O1452</f>
        <v>4656.11895</v>
      </c>
      <c r="W1452" s="56" t="n">
        <f aca="false">((I1452+J1452)/2)*O1452</f>
        <v>3103.9488765</v>
      </c>
      <c r="X1452" s="56" t="n">
        <f aca="false">H1452*O1452</f>
        <v>11738.115</v>
      </c>
    </row>
    <row r="1453" customFormat="false" ht="22.35" hidden="false" customHeight="false" outlineLevel="0" collapsed="false">
      <c r="A1453" s="79" t="s">
        <v>2065</v>
      </c>
      <c r="B1453" s="49" t="s">
        <v>4060</v>
      </c>
      <c r="C1453" s="49" t="s">
        <v>4061</v>
      </c>
      <c r="D1453" s="49" t="s">
        <v>2101</v>
      </c>
      <c r="E1453" s="57" t="s">
        <v>2102</v>
      </c>
      <c r="F1453" s="49" t="s">
        <v>2097</v>
      </c>
      <c r="G1453" s="49" t="s">
        <v>2097</v>
      </c>
      <c r="H1453" s="51" t="n">
        <v>150</v>
      </c>
      <c r="I1453" s="51" t="n">
        <v>64.27</v>
      </c>
      <c r="J1453" s="51" t="n">
        <v>192.81</v>
      </c>
      <c r="K1453" s="52" t="n">
        <v>200</v>
      </c>
      <c r="L1453" s="53" t="n">
        <v>59.2</v>
      </c>
      <c r="M1453" s="54" t="n">
        <v>65.2</v>
      </c>
      <c r="N1453" s="51" t="n">
        <v>2.171233</v>
      </c>
      <c r="O1453" s="55" t="n">
        <v>95.7939</v>
      </c>
      <c r="P1453" s="51" t="n">
        <v>-42.81</v>
      </c>
      <c r="Q1453" s="49" t="s">
        <v>2103</v>
      </c>
      <c r="R1453" s="49" t="s">
        <v>2099</v>
      </c>
      <c r="S1453" s="53" t="n">
        <v>0.5</v>
      </c>
      <c r="T1453" s="51" t="n">
        <v>100</v>
      </c>
      <c r="U1453" s="56" t="n">
        <f aca="false">I1453*O1453</f>
        <v>6156.673953</v>
      </c>
      <c r="V1453" s="56" t="n">
        <f aca="false">J1453*O1453</f>
        <v>18470.021859</v>
      </c>
      <c r="W1453" s="56" t="n">
        <f aca="false">((I1453+J1453)/2)*O1453</f>
        <v>12313.347906</v>
      </c>
      <c r="X1453" s="56" t="n">
        <f aca="false">H1453*O1453</f>
        <v>14369.085</v>
      </c>
    </row>
    <row r="1454" customFormat="false" ht="32.8" hidden="false" customHeight="false" outlineLevel="0" collapsed="false">
      <c r="A1454" s="79" t="s">
        <v>2065</v>
      </c>
      <c r="B1454" s="62" t="s">
        <v>4062</v>
      </c>
      <c r="C1454" s="62" t="s">
        <v>4063</v>
      </c>
      <c r="D1454" s="62" t="s">
        <v>2101</v>
      </c>
      <c r="E1454" s="78" t="s">
        <v>3474</v>
      </c>
      <c r="F1454" s="64" t="s">
        <v>2170</v>
      </c>
      <c r="G1454" s="62" t="s">
        <v>2097</v>
      </c>
      <c r="H1454" s="65" t="n">
        <v>50</v>
      </c>
      <c r="I1454" s="65" t="n">
        <v>17.54</v>
      </c>
      <c r="J1454" s="65" t="n">
        <v>52.62</v>
      </c>
      <c r="K1454" s="66" t="n">
        <v>80</v>
      </c>
      <c r="L1454" s="67" t="n">
        <v>52.9</v>
      </c>
      <c r="M1454" s="68" t="n">
        <v>50</v>
      </c>
      <c r="N1454" s="65" t="n">
        <v>0.779452</v>
      </c>
      <c r="O1454" s="69" t="n">
        <v>78.4198</v>
      </c>
      <c r="P1454" s="65" t="n">
        <v>-2.62</v>
      </c>
      <c r="Q1454" s="62" t="s">
        <v>2103</v>
      </c>
      <c r="R1454" s="62" t="s">
        <v>4064</v>
      </c>
      <c r="S1454" s="67" t="n">
        <v>0.5</v>
      </c>
      <c r="T1454" s="65" t="n">
        <v>80</v>
      </c>
      <c r="U1454" s="56" t="n">
        <f aca="false">I1454*O1454</f>
        <v>1375.483292</v>
      </c>
      <c r="V1454" s="56" t="n">
        <f aca="false">J1454*O1454</f>
        <v>4126.449876</v>
      </c>
      <c r="W1454" s="56" t="n">
        <f aca="false">((I1454+J1454)/2)*O1454</f>
        <v>2750.966584</v>
      </c>
      <c r="X1454" s="56" t="n">
        <f aca="false">H1454*O1454</f>
        <v>3920.99</v>
      </c>
    </row>
    <row r="1455" customFormat="false" ht="22.35" hidden="false" customHeight="false" outlineLevel="0" collapsed="false">
      <c r="A1455" s="79" t="s">
        <v>2065</v>
      </c>
      <c r="B1455" s="49" t="s">
        <v>4065</v>
      </c>
      <c r="C1455" s="49" t="s">
        <v>4066</v>
      </c>
      <c r="D1455" s="49" t="s">
        <v>2109</v>
      </c>
      <c r="E1455" s="60" t="s">
        <v>2110</v>
      </c>
      <c r="F1455" s="49" t="s">
        <v>2097</v>
      </c>
      <c r="G1455" s="49" t="s">
        <v>2097</v>
      </c>
      <c r="H1455" s="51" t="n">
        <v>38479</v>
      </c>
      <c r="I1455" s="51" t="n">
        <v>103276.18</v>
      </c>
      <c r="J1455" s="51" t="n">
        <v>172126.96</v>
      </c>
      <c r="K1455" s="52" t="n">
        <v>180000</v>
      </c>
      <c r="L1455" s="53" t="n">
        <v>97.6</v>
      </c>
      <c r="M1455" s="54" t="n">
        <v>43.8</v>
      </c>
      <c r="N1455" s="51" t="n">
        <v>705.438356</v>
      </c>
      <c r="O1455" s="55" t="n">
        <v>0.3681</v>
      </c>
      <c r="P1455" s="51" t="n">
        <v>-133647.96</v>
      </c>
      <c r="Q1455" s="49" t="s">
        <v>2103</v>
      </c>
      <c r="R1455" s="49" t="s">
        <v>2099</v>
      </c>
      <c r="S1455" s="53" t="n">
        <v>1.5</v>
      </c>
      <c r="T1455" s="51" t="n">
        <v>12000</v>
      </c>
      <c r="U1455" s="56" t="n">
        <f aca="false">I1455*O1455</f>
        <v>38015.961858</v>
      </c>
      <c r="V1455" s="56" t="n">
        <f aca="false">J1455*O1455</f>
        <v>63359.933976</v>
      </c>
      <c r="W1455" s="56" t="n">
        <f aca="false">((I1455+J1455)/2)*O1455</f>
        <v>50687.947917</v>
      </c>
      <c r="X1455" s="56" t="n">
        <f aca="false">H1455*O1455</f>
        <v>14164.1199</v>
      </c>
    </row>
    <row r="1456" customFormat="false" ht="22.35" hidden="false" customHeight="false" outlineLevel="0" collapsed="false">
      <c r="A1456" s="79" t="s">
        <v>2065</v>
      </c>
      <c r="B1456" s="7" t="s">
        <v>4067</v>
      </c>
      <c r="C1456" s="7" t="s">
        <v>4068</v>
      </c>
      <c r="D1456" s="7" t="s">
        <v>2101</v>
      </c>
      <c r="E1456" s="57" t="s">
        <v>2102</v>
      </c>
      <c r="F1456" s="7" t="s">
        <v>2097</v>
      </c>
      <c r="G1456" s="7" t="s">
        <v>2097</v>
      </c>
      <c r="H1456" s="9" t="n">
        <v>2506</v>
      </c>
      <c r="I1456" s="9" t="n">
        <v>1550.2</v>
      </c>
      <c r="J1456" s="9" t="n">
        <v>4650.6</v>
      </c>
      <c r="K1456" s="52" t="n">
        <v>5000</v>
      </c>
      <c r="L1456" s="58" t="n">
        <v>76.2</v>
      </c>
      <c r="M1456" s="59" t="n">
        <v>50</v>
      </c>
      <c r="N1456" s="9" t="n">
        <v>40.687671</v>
      </c>
      <c r="O1456" s="8" t="n">
        <v>1.2085</v>
      </c>
      <c r="P1456" s="9" t="n">
        <v>-2144.6</v>
      </c>
      <c r="Q1456" s="7" t="s">
        <v>2103</v>
      </c>
      <c r="R1456" s="7" t="s">
        <v>2099</v>
      </c>
      <c r="S1456" s="58" t="n">
        <v>0.5</v>
      </c>
      <c r="T1456" s="9" t="n">
        <v>500</v>
      </c>
      <c r="U1456" s="56" t="n">
        <f aca="false">I1456*O1456</f>
        <v>1873.4167</v>
      </c>
      <c r="V1456" s="56" t="n">
        <f aca="false">J1456*O1456</f>
        <v>5620.2501</v>
      </c>
      <c r="W1456" s="56" t="n">
        <f aca="false">((I1456+J1456)/2)*O1456</f>
        <v>3746.8334</v>
      </c>
      <c r="X1456" s="56" t="n">
        <f aca="false">H1456*O1456</f>
        <v>3028.501</v>
      </c>
    </row>
    <row r="1457" customFormat="false" ht="22.35" hidden="false" customHeight="false" outlineLevel="0" collapsed="false">
      <c r="A1457" s="79" t="s">
        <v>2065</v>
      </c>
      <c r="B1457" s="49" t="s">
        <v>4069</v>
      </c>
      <c r="C1457" s="49" t="s">
        <v>4070</v>
      </c>
      <c r="D1457" s="49" t="s">
        <v>2095</v>
      </c>
      <c r="E1457" s="61" t="s">
        <v>2113</v>
      </c>
      <c r="F1457" s="49" t="s">
        <v>2097</v>
      </c>
      <c r="G1457" s="49" t="s">
        <v>2097</v>
      </c>
      <c r="H1457" s="51" t="n">
        <v>3701</v>
      </c>
      <c r="I1457" s="51" t="n">
        <v>6954.96</v>
      </c>
      <c r="J1457" s="51" t="n">
        <v>13909.92</v>
      </c>
      <c r="K1457" s="52" t="n">
        <v>14000</v>
      </c>
      <c r="L1457" s="53" t="n">
        <v>115.3</v>
      </c>
      <c r="M1457" s="54" t="n">
        <v>66.7</v>
      </c>
      <c r="N1457" s="51" t="n">
        <v>60.320548</v>
      </c>
      <c r="O1457" s="55" t="n">
        <v>1.5072</v>
      </c>
      <c r="P1457" s="51" t="n">
        <v>-10208.92</v>
      </c>
      <c r="Q1457" s="49" t="s">
        <v>2103</v>
      </c>
      <c r="R1457" s="49" t="s">
        <v>2099</v>
      </c>
      <c r="S1457" s="53" t="n">
        <v>1</v>
      </c>
      <c r="T1457" s="51" t="n">
        <v>500</v>
      </c>
      <c r="U1457" s="56" t="n">
        <f aca="false">I1457*O1457</f>
        <v>10482.515712</v>
      </c>
      <c r="V1457" s="56" t="n">
        <f aca="false">J1457*O1457</f>
        <v>20965.031424</v>
      </c>
      <c r="W1457" s="56" t="n">
        <f aca="false">((I1457+J1457)/2)*O1457</f>
        <v>15723.773568</v>
      </c>
      <c r="X1457" s="56" t="n">
        <f aca="false">H1457*O1457</f>
        <v>5578.1472</v>
      </c>
    </row>
    <row r="1458" customFormat="false" ht="22.35" hidden="false" customHeight="false" outlineLevel="0" collapsed="false">
      <c r="A1458" s="79" t="s">
        <v>2065</v>
      </c>
      <c r="B1458" s="7" t="s">
        <v>4071</v>
      </c>
      <c r="C1458" s="7" t="s">
        <v>4072</v>
      </c>
      <c r="D1458" s="7" t="s">
        <v>2109</v>
      </c>
      <c r="E1458" s="60" t="s">
        <v>2110</v>
      </c>
      <c r="F1458" s="7" t="s">
        <v>2097</v>
      </c>
      <c r="G1458" s="7" t="s">
        <v>2097</v>
      </c>
      <c r="H1458" s="9" t="n">
        <v>36961</v>
      </c>
      <c r="I1458" s="9" t="n">
        <v>89516.99</v>
      </c>
      <c r="J1458" s="9" t="n">
        <v>149194.98</v>
      </c>
      <c r="K1458" s="52" t="n">
        <v>180000</v>
      </c>
      <c r="L1458" s="58" t="n">
        <v>88.4</v>
      </c>
      <c r="M1458" s="59" t="n">
        <v>25</v>
      </c>
      <c r="N1458" s="9" t="n">
        <v>675.090411</v>
      </c>
      <c r="O1458" s="8" t="n">
        <v>0.2255</v>
      </c>
      <c r="P1458" s="9" t="n">
        <v>-112233.98</v>
      </c>
      <c r="Q1458" s="7" t="s">
        <v>2103</v>
      </c>
      <c r="R1458" s="7" t="s">
        <v>2099</v>
      </c>
      <c r="S1458" s="58" t="n">
        <v>1.5</v>
      </c>
      <c r="T1458" s="9" t="n">
        <v>36000</v>
      </c>
      <c r="U1458" s="56" t="n">
        <f aca="false">I1458*O1458</f>
        <v>20186.081245</v>
      </c>
      <c r="V1458" s="56" t="n">
        <f aca="false">J1458*O1458</f>
        <v>33643.46799</v>
      </c>
      <c r="W1458" s="56" t="n">
        <f aca="false">((I1458+J1458)/2)*O1458</f>
        <v>26914.7746175</v>
      </c>
      <c r="X1458" s="56" t="n">
        <f aca="false">H1458*O1458</f>
        <v>8334.7055</v>
      </c>
    </row>
    <row r="1459" customFormat="false" ht="22.35" hidden="false" customHeight="false" outlineLevel="0" collapsed="false">
      <c r="A1459" s="79" t="s">
        <v>2065</v>
      </c>
      <c r="B1459" s="49" t="s">
        <v>4073</v>
      </c>
      <c r="C1459" s="49" t="s">
        <v>4074</v>
      </c>
      <c r="D1459" s="49" t="s">
        <v>2095</v>
      </c>
      <c r="E1459" s="61" t="s">
        <v>2113</v>
      </c>
      <c r="F1459" s="49" t="s">
        <v>2097</v>
      </c>
      <c r="G1459" s="49" t="s">
        <v>2097</v>
      </c>
      <c r="H1459" s="51" t="n">
        <v>8932</v>
      </c>
      <c r="I1459" s="51" t="n">
        <v>11043.01</v>
      </c>
      <c r="J1459" s="51" t="n">
        <v>22086.02</v>
      </c>
      <c r="K1459" s="52" t="n">
        <v>31968</v>
      </c>
      <c r="L1459" s="53" t="n">
        <v>84</v>
      </c>
      <c r="M1459" s="54" t="n">
        <v>60</v>
      </c>
      <c r="N1459" s="51" t="n">
        <v>131.464384</v>
      </c>
      <c r="O1459" s="55" t="n">
        <v>0.2702</v>
      </c>
      <c r="P1459" s="51" t="n">
        <v>-13154.02</v>
      </c>
      <c r="Q1459" s="49" t="s">
        <v>2103</v>
      </c>
      <c r="R1459" s="49" t="s">
        <v>2099</v>
      </c>
      <c r="S1459" s="53" t="n">
        <v>1</v>
      </c>
      <c r="T1459" s="51" t="n">
        <v>10656</v>
      </c>
      <c r="U1459" s="56" t="n">
        <f aca="false">I1459*O1459</f>
        <v>2983.821302</v>
      </c>
      <c r="V1459" s="56" t="n">
        <f aca="false">J1459*O1459</f>
        <v>5967.642604</v>
      </c>
      <c r="W1459" s="56" t="n">
        <f aca="false">((I1459+J1459)/2)*O1459</f>
        <v>4475.731953</v>
      </c>
      <c r="X1459" s="56" t="n">
        <f aca="false">H1459*O1459</f>
        <v>2413.4264</v>
      </c>
    </row>
    <row r="1460" customFormat="false" ht="22.35" hidden="false" customHeight="false" outlineLevel="0" collapsed="false">
      <c r="A1460" s="79" t="s">
        <v>2065</v>
      </c>
      <c r="B1460" s="7" t="s">
        <v>4075</v>
      </c>
      <c r="C1460" s="7" t="s">
        <v>4076</v>
      </c>
      <c r="D1460" s="7" t="s">
        <v>2095</v>
      </c>
      <c r="E1460" s="61" t="s">
        <v>2113</v>
      </c>
      <c r="F1460" s="7" t="s">
        <v>2097</v>
      </c>
      <c r="G1460" s="7" t="s">
        <v>2097</v>
      </c>
      <c r="H1460" s="9" t="n">
        <v>5588</v>
      </c>
      <c r="I1460" s="9" t="n">
        <v>6859.15</v>
      </c>
      <c r="J1460" s="9" t="n">
        <v>13718.3</v>
      </c>
      <c r="K1460" s="52" t="n">
        <v>13718.3</v>
      </c>
      <c r="L1460" s="58" t="n">
        <v>79</v>
      </c>
      <c r="M1460" s="59" t="n">
        <v>100</v>
      </c>
      <c r="N1460" s="9" t="n">
        <v>86.824658</v>
      </c>
      <c r="O1460" s="8" t="n">
        <v>0.1398</v>
      </c>
      <c r="P1460" s="9" t="n">
        <v>-8130.3</v>
      </c>
      <c r="Q1460" s="7" t="s">
        <v>2103</v>
      </c>
      <c r="R1460" s="7" t="s">
        <v>2099</v>
      </c>
      <c r="S1460" s="58" t="n">
        <v>1</v>
      </c>
      <c r="T1460" s="9" t="n">
        <v>1</v>
      </c>
      <c r="U1460" s="56" t="n">
        <f aca="false">I1460*O1460</f>
        <v>958.90917</v>
      </c>
      <c r="V1460" s="56" t="n">
        <f aca="false">J1460*O1460</f>
        <v>1917.81834</v>
      </c>
      <c r="W1460" s="56" t="n">
        <f aca="false">((I1460+J1460)/2)*O1460</f>
        <v>1438.363755</v>
      </c>
      <c r="X1460" s="56" t="n">
        <f aca="false">H1460*O1460</f>
        <v>781.2024</v>
      </c>
    </row>
    <row r="1461" customFormat="false" ht="22.35" hidden="false" customHeight="false" outlineLevel="0" collapsed="false">
      <c r="A1461" s="79" t="s">
        <v>2065</v>
      </c>
      <c r="B1461" s="49" t="s">
        <v>4077</v>
      </c>
      <c r="C1461" s="49" t="s">
        <v>4078</v>
      </c>
      <c r="D1461" s="49" t="s">
        <v>2095</v>
      </c>
      <c r="E1461" s="61" t="s">
        <v>2113</v>
      </c>
      <c r="F1461" s="49" t="s">
        <v>2097</v>
      </c>
      <c r="G1461" s="49" t="s">
        <v>2097</v>
      </c>
      <c r="H1461" s="51" t="n">
        <v>6747</v>
      </c>
      <c r="I1461" s="51" t="n">
        <v>5469.56</v>
      </c>
      <c r="J1461" s="51" t="n">
        <v>10939.12</v>
      </c>
      <c r="K1461" s="52" t="n">
        <v>11000</v>
      </c>
      <c r="L1461" s="53" t="n">
        <v>55</v>
      </c>
      <c r="M1461" s="54" t="n">
        <v>50</v>
      </c>
      <c r="N1461" s="51" t="n">
        <v>99.446575</v>
      </c>
      <c r="O1461" s="55" t="n">
        <v>0.0906</v>
      </c>
      <c r="P1461" s="51" t="n">
        <v>-4192.12</v>
      </c>
      <c r="Q1461" s="49" t="s">
        <v>2103</v>
      </c>
      <c r="R1461" s="49" t="s">
        <v>2099</v>
      </c>
      <c r="S1461" s="53" t="n">
        <v>1</v>
      </c>
      <c r="T1461" s="51" t="n">
        <v>500</v>
      </c>
      <c r="U1461" s="56" t="n">
        <f aca="false">I1461*O1461</f>
        <v>495.542136</v>
      </c>
      <c r="V1461" s="56" t="n">
        <f aca="false">J1461*O1461</f>
        <v>991.084272</v>
      </c>
      <c r="W1461" s="56" t="n">
        <f aca="false">((I1461+J1461)/2)*O1461</f>
        <v>743.313204</v>
      </c>
      <c r="X1461" s="56" t="n">
        <f aca="false">H1461*O1461</f>
        <v>611.2782</v>
      </c>
    </row>
    <row r="1462" customFormat="false" ht="22.35" hidden="false" customHeight="false" outlineLevel="0" collapsed="false">
      <c r="A1462" s="79" t="s">
        <v>2065</v>
      </c>
      <c r="B1462" s="7" t="s">
        <v>2162</v>
      </c>
      <c r="C1462" s="7" t="s">
        <v>1615</v>
      </c>
      <c r="D1462" s="7" t="s">
        <v>2101</v>
      </c>
      <c r="E1462" s="57" t="s">
        <v>2102</v>
      </c>
      <c r="F1462" s="7" t="s">
        <v>2097</v>
      </c>
      <c r="G1462" s="7" t="s">
        <v>2097</v>
      </c>
      <c r="H1462" s="9" t="n">
        <v>150</v>
      </c>
      <c r="I1462" s="9" t="n">
        <v>76.47</v>
      </c>
      <c r="J1462" s="9" t="n">
        <v>229.42</v>
      </c>
      <c r="K1462" s="52" t="n">
        <v>418.87</v>
      </c>
      <c r="L1462" s="58" t="n">
        <v>21.5</v>
      </c>
      <c r="M1462" s="59" t="n">
        <v>87.9</v>
      </c>
      <c r="N1462" s="9" t="n">
        <v>7.113753</v>
      </c>
      <c r="O1462" s="8" t="n">
        <v>3.08</v>
      </c>
      <c r="P1462" s="9" t="n">
        <v>-79.42</v>
      </c>
      <c r="Q1462" s="7" t="s">
        <v>2103</v>
      </c>
      <c r="R1462" s="7" t="s">
        <v>2099</v>
      </c>
      <c r="S1462" s="58" t="n">
        <v>0.5</v>
      </c>
      <c r="T1462" s="9" t="n">
        <v>418.87</v>
      </c>
      <c r="U1462" s="56" t="n">
        <f aca="false">I1462*O1462</f>
        <v>235.5276</v>
      </c>
      <c r="V1462" s="56" t="n">
        <f aca="false">J1462*O1462</f>
        <v>706.6136</v>
      </c>
      <c r="W1462" s="56" t="n">
        <f aca="false">((I1462+J1462)/2)*O1462</f>
        <v>471.0706</v>
      </c>
      <c r="X1462" s="56" t="n">
        <f aca="false">H1462*O1462</f>
        <v>462</v>
      </c>
    </row>
    <row r="1463" customFormat="false" ht="15" hidden="false" customHeight="false" outlineLevel="0" collapsed="false">
      <c r="A1463" s="79" t="s">
        <v>2065</v>
      </c>
      <c r="B1463" s="49" t="s">
        <v>2163</v>
      </c>
      <c r="C1463" s="49" t="s">
        <v>1615</v>
      </c>
      <c r="D1463" s="49" t="s">
        <v>2101</v>
      </c>
      <c r="E1463" s="50" t="s">
        <v>2096</v>
      </c>
      <c r="F1463" s="49" t="s">
        <v>2097</v>
      </c>
      <c r="G1463" s="49" t="s">
        <v>2097</v>
      </c>
      <c r="H1463" s="51" t="n">
        <v>150</v>
      </c>
      <c r="I1463" s="51" t="n">
        <v>7.52</v>
      </c>
      <c r="J1463" s="51" t="n">
        <v>22.56</v>
      </c>
      <c r="K1463" s="52" t="n">
        <v>441</v>
      </c>
      <c r="L1463" s="53" t="n">
        <v>12.8</v>
      </c>
      <c r="M1463" s="54" t="n">
        <v>80.8</v>
      </c>
      <c r="N1463" s="51" t="n">
        <v>1.175137</v>
      </c>
      <c r="O1463" s="55" t="n">
        <v>4.5826</v>
      </c>
      <c r="P1463" s="51" t="n">
        <v>127.44</v>
      </c>
      <c r="Q1463" s="49" t="s">
        <v>2098</v>
      </c>
      <c r="R1463" s="49" t="s">
        <v>2099</v>
      </c>
      <c r="S1463" s="53" t="n">
        <v>0.5</v>
      </c>
      <c r="T1463" s="51" t="n">
        <v>441</v>
      </c>
      <c r="U1463" s="56" t="n">
        <f aca="false">I1463*O1463</f>
        <v>34.461152</v>
      </c>
      <c r="V1463" s="56" t="n">
        <f aca="false">J1463*O1463</f>
        <v>103.383456</v>
      </c>
      <c r="W1463" s="56" t="n">
        <f aca="false">((I1463+J1463)/2)*O1463</f>
        <v>68.922304</v>
      </c>
      <c r="X1463" s="56" t="n">
        <f aca="false">H1463*O1463</f>
        <v>687.39</v>
      </c>
    </row>
    <row r="1464" customFormat="false" ht="22.35" hidden="false" customHeight="false" outlineLevel="0" collapsed="false">
      <c r="A1464" s="79" t="s">
        <v>2065</v>
      </c>
      <c r="B1464" s="4" t="s">
        <v>4079</v>
      </c>
      <c r="C1464" s="4" t="s">
        <v>1615</v>
      </c>
      <c r="D1464" s="4" t="s">
        <v>2101</v>
      </c>
      <c r="E1464" s="70" t="s">
        <v>2193</v>
      </c>
      <c r="F1464" s="4" t="s">
        <v>2097</v>
      </c>
      <c r="G1464" s="71" t="s">
        <v>2194</v>
      </c>
      <c r="H1464" s="6" t="n">
        <v>150</v>
      </c>
      <c r="I1464" s="6" t="n">
        <v>0</v>
      </c>
      <c r="J1464" s="6" t="n">
        <v>0</v>
      </c>
      <c r="K1464" s="52" t="n">
        <v>0</v>
      </c>
      <c r="L1464" s="72" t="n">
        <v>50.7</v>
      </c>
      <c r="M1464" s="73" t="n">
        <v>100</v>
      </c>
      <c r="N1464" s="6" t="n">
        <v>2.82274</v>
      </c>
      <c r="O1464" s="5" t="n">
        <v>4.87</v>
      </c>
      <c r="P1464" s="6" t="n">
        <v>150</v>
      </c>
      <c r="Q1464" s="4" t="s">
        <v>2098</v>
      </c>
      <c r="R1464" s="4" t="s">
        <v>2195</v>
      </c>
      <c r="S1464" s="72" t="n">
        <v>0</v>
      </c>
      <c r="T1464" s="6" t="n">
        <v>40</v>
      </c>
      <c r="U1464" s="56" t="n">
        <f aca="false">I1464*O1464</f>
        <v>0</v>
      </c>
      <c r="V1464" s="56" t="n">
        <f aca="false">J1464*O1464</f>
        <v>0</v>
      </c>
      <c r="W1464" s="56" t="n">
        <f aca="false">((I1464+J1464)/2)*O1464</f>
        <v>0</v>
      </c>
      <c r="X1464" s="56" t="n">
        <f aca="false">H1464*O1464</f>
        <v>730.5</v>
      </c>
    </row>
    <row r="1465" customFormat="false" ht="15" hidden="false" customHeight="false" outlineLevel="0" collapsed="false">
      <c r="A1465" s="79" t="s">
        <v>2065</v>
      </c>
      <c r="B1465" s="49" t="s">
        <v>3532</v>
      </c>
      <c r="C1465" s="49" t="s">
        <v>1615</v>
      </c>
      <c r="D1465" s="49" t="s">
        <v>2095</v>
      </c>
      <c r="E1465" s="50" t="s">
        <v>2096</v>
      </c>
      <c r="F1465" s="49" t="s">
        <v>2097</v>
      </c>
      <c r="G1465" s="49" t="s">
        <v>2097</v>
      </c>
      <c r="H1465" s="51" t="n">
        <v>150</v>
      </c>
      <c r="I1465" s="51" t="n">
        <v>58.72</v>
      </c>
      <c r="J1465" s="51" t="n">
        <v>117.44</v>
      </c>
      <c r="K1465" s="52" t="n">
        <v>449.7</v>
      </c>
      <c r="L1465" s="53" t="n">
        <v>39.8</v>
      </c>
      <c r="M1465" s="54" t="n">
        <v>75</v>
      </c>
      <c r="N1465" s="51" t="n">
        <v>1.475327</v>
      </c>
      <c r="O1465" s="55" t="n">
        <v>4.04</v>
      </c>
      <c r="P1465" s="51" t="n">
        <v>32.56</v>
      </c>
      <c r="Q1465" s="49" t="s">
        <v>2098</v>
      </c>
      <c r="R1465" s="49" t="s">
        <v>2099</v>
      </c>
      <c r="S1465" s="53" t="n">
        <v>1</v>
      </c>
      <c r="T1465" s="51" t="n">
        <v>449.7</v>
      </c>
      <c r="U1465" s="56" t="n">
        <f aca="false">I1465*O1465</f>
        <v>237.2288</v>
      </c>
      <c r="V1465" s="56" t="n">
        <f aca="false">J1465*O1465</f>
        <v>474.4576</v>
      </c>
      <c r="W1465" s="56" t="n">
        <f aca="false">((I1465+J1465)/2)*O1465</f>
        <v>355.8432</v>
      </c>
      <c r="X1465" s="56" t="n">
        <f aca="false">H1465*O1465</f>
        <v>606</v>
      </c>
    </row>
    <row r="1466" customFormat="false" ht="22.35" hidden="false" customHeight="false" outlineLevel="0" collapsed="false">
      <c r="A1466" s="79" t="s">
        <v>2065</v>
      </c>
      <c r="B1466" s="7" t="s">
        <v>2164</v>
      </c>
      <c r="C1466" s="7" t="s">
        <v>1965</v>
      </c>
      <c r="D1466" s="7" t="s">
        <v>2101</v>
      </c>
      <c r="E1466" s="57" t="s">
        <v>2102</v>
      </c>
      <c r="F1466" s="7" t="s">
        <v>2097</v>
      </c>
      <c r="G1466" s="7" t="s">
        <v>2097</v>
      </c>
      <c r="H1466" s="9" t="n">
        <v>150</v>
      </c>
      <c r="I1466" s="9" t="n">
        <v>56.18</v>
      </c>
      <c r="J1466" s="9" t="n">
        <v>168.54</v>
      </c>
      <c r="K1466" s="52" t="n">
        <v>432</v>
      </c>
      <c r="L1466" s="58" t="n">
        <v>16.2</v>
      </c>
      <c r="M1466" s="59" t="n">
        <v>85.3</v>
      </c>
      <c r="N1466" s="9" t="n">
        <v>6.935936</v>
      </c>
      <c r="O1466" s="8" t="n">
        <v>4.7453</v>
      </c>
      <c r="P1466" s="9" t="n">
        <v>-18.54</v>
      </c>
      <c r="Q1466" s="7" t="s">
        <v>2103</v>
      </c>
      <c r="R1466" s="7" t="s">
        <v>2099</v>
      </c>
      <c r="S1466" s="58" t="n">
        <v>0.5</v>
      </c>
      <c r="T1466" s="9" t="n">
        <v>432</v>
      </c>
      <c r="U1466" s="56" t="n">
        <f aca="false">I1466*O1466</f>
        <v>266.590954</v>
      </c>
      <c r="V1466" s="56" t="n">
        <f aca="false">J1466*O1466</f>
        <v>799.772862</v>
      </c>
      <c r="W1466" s="56" t="n">
        <f aca="false">((I1466+J1466)/2)*O1466</f>
        <v>533.181908</v>
      </c>
      <c r="X1466" s="56" t="n">
        <f aca="false">H1466*O1466</f>
        <v>711.795</v>
      </c>
    </row>
    <row r="1467" customFormat="false" ht="22.35" hidden="false" customHeight="false" outlineLevel="0" collapsed="false">
      <c r="A1467" s="79" t="s">
        <v>2065</v>
      </c>
      <c r="B1467" s="4" t="s">
        <v>4080</v>
      </c>
      <c r="C1467" s="4" t="s">
        <v>1838</v>
      </c>
      <c r="D1467" s="4" t="s">
        <v>2101</v>
      </c>
      <c r="E1467" s="70" t="s">
        <v>2193</v>
      </c>
      <c r="F1467" s="4" t="s">
        <v>2097</v>
      </c>
      <c r="G1467" s="71" t="s">
        <v>2194</v>
      </c>
      <c r="H1467" s="6" t="n">
        <v>150</v>
      </c>
      <c r="I1467" s="6" t="n">
        <v>0</v>
      </c>
      <c r="J1467" s="6" t="n">
        <v>0</v>
      </c>
      <c r="K1467" s="52" t="n">
        <v>0</v>
      </c>
      <c r="L1467" s="72" t="n">
        <v>24</v>
      </c>
      <c r="M1467" s="73" t="n">
        <v>80</v>
      </c>
      <c r="N1467" s="6" t="n">
        <v>0.083178</v>
      </c>
      <c r="O1467" s="5" t="n">
        <v>5.8887</v>
      </c>
      <c r="P1467" s="6" t="n">
        <v>150</v>
      </c>
      <c r="Q1467" s="4" t="s">
        <v>2098</v>
      </c>
      <c r="R1467" s="4" t="s">
        <v>2195</v>
      </c>
      <c r="S1467" s="72" t="n">
        <v>0</v>
      </c>
      <c r="T1467" s="6" t="n">
        <v>40</v>
      </c>
      <c r="U1467" s="56" t="n">
        <f aca="false">I1467*O1467</f>
        <v>0</v>
      </c>
      <c r="V1467" s="56" t="n">
        <f aca="false">J1467*O1467</f>
        <v>0</v>
      </c>
      <c r="W1467" s="56" t="n">
        <f aca="false">((I1467+J1467)/2)*O1467</f>
        <v>0</v>
      </c>
      <c r="X1467" s="56" t="n">
        <f aca="false">H1467*O1467</f>
        <v>883.305</v>
      </c>
    </row>
    <row r="1468" customFormat="false" ht="22.35" hidden="false" customHeight="false" outlineLevel="0" collapsed="false">
      <c r="A1468" s="79" t="s">
        <v>2065</v>
      </c>
      <c r="B1468" s="4" t="s">
        <v>4081</v>
      </c>
      <c r="C1468" s="4" t="s">
        <v>2192</v>
      </c>
      <c r="D1468" s="4" t="s">
        <v>2101</v>
      </c>
      <c r="E1468" s="70" t="s">
        <v>2193</v>
      </c>
      <c r="F1468" s="4" t="s">
        <v>2097</v>
      </c>
      <c r="G1468" s="71" t="s">
        <v>2194</v>
      </c>
      <c r="H1468" s="6" t="n">
        <v>150</v>
      </c>
      <c r="I1468" s="6" t="n">
        <v>0</v>
      </c>
      <c r="J1468" s="6" t="n">
        <v>0</v>
      </c>
      <c r="K1468" s="52" t="n">
        <v>0</v>
      </c>
      <c r="L1468" s="72" t="n">
        <v>12.5</v>
      </c>
      <c r="M1468" s="73" t="n">
        <v>50</v>
      </c>
      <c r="N1468" s="6" t="n">
        <v>0.011575</v>
      </c>
      <c r="O1468" s="5" t="n">
        <v>4.959</v>
      </c>
      <c r="P1468" s="6" t="n">
        <v>150</v>
      </c>
      <c r="Q1468" s="4" t="s">
        <v>2098</v>
      </c>
      <c r="R1468" s="4" t="s">
        <v>2195</v>
      </c>
      <c r="S1468" s="72" t="n">
        <v>0</v>
      </c>
      <c r="T1468" s="6" t="n">
        <v>460</v>
      </c>
      <c r="U1468" s="56" t="n">
        <f aca="false">I1468*O1468</f>
        <v>0</v>
      </c>
      <c r="V1468" s="56" t="n">
        <f aca="false">J1468*O1468</f>
        <v>0</v>
      </c>
      <c r="W1468" s="56" t="n">
        <f aca="false">((I1468+J1468)/2)*O1468</f>
        <v>0</v>
      </c>
      <c r="X1468" s="56" t="n">
        <f aca="false">H1468*O1468</f>
        <v>743.85</v>
      </c>
    </row>
    <row r="1469" customFormat="false" ht="15" hidden="false" customHeight="false" outlineLevel="0" collapsed="false">
      <c r="A1469" s="79" t="s">
        <v>2065</v>
      </c>
      <c r="B1469" s="49" t="s">
        <v>3534</v>
      </c>
      <c r="C1469" s="49" t="s">
        <v>1531</v>
      </c>
      <c r="D1469" s="49" t="s">
        <v>2101</v>
      </c>
      <c r="E1469" s="50" t="s">
        <v>2096</v>
      </c>
      <c r="F1469" s="49" t="s">
        <v>2097</v>
      </c>
      <c r="G1469" s="49" t="s">
        <v>2097</v>
      </c>
      <c r="H1469" s="51" t="n">
        <v>150</v>
      </c>
      <c r="I1469" s="51" t="n">
        <v>3.22</v>
      </c>
      <c r="J1469" s="51" t="n">
        <v>9.65</v>
      </c>
      <c r="K1469" s="52" t="n">
        <v>40</v>
      </c>
      <c r="L1469" s="53" t="n">
        <v>20.7</v>
      </c>
      <c r="M1469" s="54" t="n">
        <v>79.2</v>
      </c>
      <c r="N1469" s="51" t="n">
        <v>0.310773</v>
      </c>
      <c r="O1469" s="55" t="n">
        <v>13.538</v>
      </c>
      <c r="P1469" s="51" t="n">
        <v>140.35</v>
      </c>
      <c r="Q1469" s="49" t="s">
        <v>2098</v>
      </c>
      <c r="R1469" s="49" t="s">
        <v>2099</v>
      </c>
      <c r="S1469" s="53" t="n">
        <v>0.5</v>
      </c>
      <c r="T1469" s="51" t="n">
        <v>40</v>
      </c>
      <c r="U1469" s="56" t="n">
        <f aca="false">I1469*O1469</f>
        <v>43.59236</v>
      </c>
      <c r="V1469" s="56" t="n">
        <f aca="false">J1469*O1469</f>
        <v>130.6417</v>
      </c>
      <c r="W1469" s="56" t="n">
        <f aca="false">((I1469+J1469)/2)*O1469</f>
        <v>87.11703</v>
      </c>
      <c r="X1469" s="56" t="n">
        <f aca="false">H1469*O1469</f>
        <v>2030.7</v>
      </c>
    </row>
    <row r="1470" customFormat="false" ht="15" hidden="false" customHeight="false" outlineLevel="0" collapsed="false">
      <c r="A1470" s="79" t="s">
        <v>2065</v>
      </c>
      <c r="B1470" s="7" t="s">
        <v>2172</v>
      </c>
      <c r="C1470" s="7" t="s">
        <v>2173</v>
      </c>
      <c r="D1470" s="7" t="s">
        <v>2101</v>
      </c>
      <c r="E1470" s="50" t="s">
        <v>2096</v>
      </c>
      <c r="F1470" s="7" t="s">
        <v>2097</v>
      </c>
      <c r="G1470" s="7" t="s">
        <v>2097</v>
      </c>
      <c r="H1470" s="9" t="n">
        <v>150</v>
      </c>
      <c r="I1470" s="9" t="n">
        <v>22.93</v>
      </c>
      <c r="J1470" s="9" t="n">
        <v>68.79</v>
      </c>
      <c r="K1470" s="52" t="n">
        <v>439</v>
      </c>
      <c r="L1470" s="58" t="n">
        <v>28.4</v>
      </c>
      <c r="M1470" s="59" t="n">
        <v>74.3</v>
      </c>
      <c r="N1470" s="9" t="n">
        <v>1.614676</v>
      </c>
      <c r="O1470" s="8" t="n">
        <v>9.34</v>
      </c>
      <c r="P1470" s="9" t="n">
        <v>81.21</v>
      </c>
      <c r="Q1470" s="7" t="s">
        <v>2098</v>
      </c>
      <c r="R1470" s="7" t="s">
        <v>2099</v>
      </c>
      <c r="S1470" s="58" t="n">
        <v>0.5</v>
      </c>
      <c r="T1470" s="9" t="n">
        <v>439</v>
      </c>
      <c r="U1470" s="56" t="n">
        <f aca="false">I1470*O1470</f>
        <v>214.1662</v>
      </c>
      <c r="V1470" s="56" t="n">
        <f aca="false">J1470*O1470</f>
        <v>642.4986</v>
      </c>
      <c r="W1470" s="56" t="n">
        <f aca="false">((I1470+J1470)/2)*O1470</f>
        <v>428.3324</v>
      </c>
      <c r="X1470" s="56" t="n">
        <f aca="false">H1470*O1470</f>
        <v>1401</v>
      </c>
    </row>
    <row r="1471" customFormat="false" ht="22.35" hidden="false" customHeight="false" outlineLevel="0" collapsed="false">
      <c r="A1471" s="79" t="s">
        <v>2065</v>
      </c>
      <c r="B1471" s="49" t="s">
        <v>4082</v>
      </c>
      <c r="C1471" s="49" t="s">
        <v>1992</v>
      </c>
      <c r="D1471" s="49" t="s">
        <v>2101</v>
      </c>
      <c r="E1471" s="57" t="s">
        <v>2102</v>
      </c>
      <c r="F1471" s="49" t="s">
        <v>2097</v>
      </c>
      <c r="G1471" s="49" t="s">
        <v>2097</v>
      </c>
      <c r="H1471" s="51" t="n">
        <v>400</v>
      </c>
      <c r="I1471" s="51" t="n">
        <v>585.07</v>
      </c>
      <c r="J1471" s="51" t="n">
        <v>1755.2</v>
      </c>
      <c r="K1471" s="52" t="n">
        <v>1913.6</v>
      </c>
      <c r="L1471" s="53" t="n">
        <v>28.6</v>
      </c>
      <c r="M1471" s="54" t="n">
        <v>81.2</v>
      </c>
      <c r="N1471" s="51" t="n">
        <v>40.913685</v>
      </c>
      <c r="O1471" s="55" t="n">
        <v>4.128</v>
      </c>
      <c r="P1471" s="51" t="n">
        <v>-1355.2</v>
      </c>
      <c r="Q1471" s="49" t="s">
        <v>2103</v>
      </c>
      <c r="R1471" s="49" t="s">
        <v>2099</v>
      </c>
      <c r="S1471" s="53" t="n">
        <v>0.5</v>
      </c>
      <c r="T1471" s="51" t="n">
        <v>478.4</v>
      </c>
      <c r="U1471" s="56" t="n">
        <f aca="false">I1471*O1471</f>
        <v>2415.16896</v>
      </c>
      <c r="V1471" s="56" t="n">
        <f aca="false">J1471*O1471</f>
        <v>7245.4656</v>
      </c>
      <c r="W1471" s="56" t="n">
        <f aca="false">((I1471+J1471)/2)*O1471</f>
        <v>4830.31728</v>
      </c>
      <c r="X1471" s="56" t="n">
        <f aca="false">H1471*O1471</f>
        <v>1651.2</v>
      </c>
    </row>
    <row r="1472" customFormat="false" ht="22.35" hidden="false" customHeight="false" outlineLevel="0" collapsed="false">
      <c r="A1472" s="79" t="s">
        <v>2065</v>
      </c>
      <c r="B1472" s="7" t="s">
        <v>2176</v>
      </c>
      <c r="C1472" s="7" t="s">
        <v>1615</v>
      </c>
      <c r="D1472" s="7" t="s">
        <v>2109</v>
      </c>
      <c r="E1472" s="60" t="s">
        <v>2110</v>
      </c>
      <c r="F1472" s="7" t="s">
        <v>2097</v>
      </c>
      <c r="G1472" s="7" t="s">
        <v>2097</v>
      </c>
      <c r="H1472" s="9" t="n">
        <v>1233</v>
      </c>
      <c r="I1472" s="9" t="n">
        <v>3050.95</v>
      </c>
      <c r="J1472" s="9" t="n">
        <v>5084.91</v>
      </c>
      <c r="K1472" s="52" t="n">
        <v>6000</v>
      </c>
      <c r="L1472" s="58" t="n">
        <v>43.4</v>
      </c>
      <c r="M1472" s="59" t="n">
        <v>79.2</v>
      </c>
      <c r="N1472" s="9" t="n">
        <v>46.86552</v>
      </c>
      <c r="O1472" s="8" t="n">
        <v>2.655</v>
      </c>
      <c r="P1472" s="9" t="n">
        <v>-3851.91</v>
      </c>
      <c r="Q1472" s="7" t="s">
        <v>2103</v>
      </c>
      <c r="R1472" s="7" t="s">
        <v>2099</v>
      </c>
      <c r="S1472" s="58" t="n">
        <v>1.5</v>
      </c>
      <c r="T1472" s="9" t="n">
        <v>2000</v>
      </c>
      <c r="U1472" s="56" t="n">
        <f aca="false">I1472*O1472</f>
        <v>8100.27225</v>
      </c>
      <c r="V1472" s="56" t="n">
        <f aca="false">J1472*O1472</f>
        <v>13500.43605</v>
      </c>
      <c r="W1472" s="56" t="n">
        <f aca="false">((I1472+J1472)/2)*O1472</f>
        <v>10800.35415</v>
      </c>
      <c r="X1472" s="56" t="n">
        <f aca="false">H1472*O1472</f>
        <v>3273.615</v>
      </c>
    </row>
    <row r="1473" customFormat="false" ht="15" hidden="false" customHeight="false" outlineLevel="0" collapsed="false">
      <c r="A1473" s="79" t="s">
        <v>2065</v>
      </c>
      <c r="B1473" s="49" t="s">
        <v>2182</v>
      </c>
      <c r="C1473" s="49" t="s">
        <v>1531</v>
      </c>
      <c r="D1473" s="49" t="s">
        <v>2101</v>
      </c>
      <c r="E1473" s="50" t="s">
        <v>2096</v>
      </c>
      <c r="F1473" s="49" t="s">
        <v>2097</v>
      </c>
      <c r="G1473" s="49" t="s">
        <v>2097</v>
      </c>
      <c r="H1473" s="51" t="n">
        <v>150</v>
      </c>
      <c r="I1473" s="51" t="n">
        <v>17.13</v>
      </c>
      <c r="J1473" s="51" t="n">
        <v>51.4</v>
      </c>
      <c r="K1473" s="52" t="n">
        <v>80</v>
      </c>
      <c r="L1473" s="53" t="n">
        <v>25</v>
      </c>
      <c r="M1473" s="54" t="n">
        <v>77.8</v>
      </c>
      <c r="N1473" s="51" t="n">
        <v>1.370741</v>
      </c>
      <c r="O1473" s="55" t="n">
        <v>5.34</v>
      </c>
      <c r="P1473" s="51" t="n">
        <v>98.6</v>
      </c>
      <c r="Q1473" s="49" t="s">
        <v>2098</v>
      </c>
      <c r="R1473" s="49" t="s">
        <v>2099</v>
      </c>
      <c r="S1473" s="53" t="n">
        <v>0.5</v>
      </c>
      <c r="T1473" s="51" t="n">
        <v>40</v>
      </c>
      <c r="U1473" s="56" t="n">
        <f aca="false">I1473*O1473</f>
        <v>91.4742</v>
      </c>
      <c r="V1473" s="56" t="n">
        <f aca="false">J1473*O1473</f>
        <v>274.476</v>
      </c>
      <c r="W1473" s="56" t="n">
        <f aca="false">((I1473+J1473)/2)*O1473</f>
        <v>182.9751</v>
      </c>
      <c r="X1473" s="56" t="n">
        <f aca="false">H1473*O1473</f>
        <v>801</v>
      </c>
    </row>
    <row r="1474" customFormat="false" ht="15" hidden="false" customHeight="false" outlineLevel="0" collapsed="false">
      <c r="A1474" s="79" t="s">
        <v>2065</v>
      </c>
      <c r="B1474" s="7" t="s">
        <v>2183</v>
      </c>
      <c r="C1474" s="7" t="s">
        <v>1531</v>
      </c>
      <c r="D1474" s="7" t="s">
        <v>2101</v>
      </c>
      <c r="E1474" s="50" t="s">
        <v>2096</v>
      </c>
      <c r="F1474" s="7" t="s">
        <v>2097</v>
      </c>
      <c r="G1474" s="7" t="s">
        <v>2097</v>
      </c>
      <c r="H1474" s="9" t="n">
        <v>150</v>
      </c>
      <c r="I1474" s="9" t="n">
        <v>1.6</v>
      </c>
      <c r="J1474" s="9" t="n">
        <v>4.8</v>
      </c>
      <c r="K1474" s="52" t="n">
        <v>40</v>
      </c>
      <c r="L1474" s="58" t="n">
        <v>15.8</v>
      </c>
      <c r="M1474" s="59" t="n">
        <v>73.7</v>
      </c>
      <c r="N1474" s="9" t="n">
        <v>0.202301</v>
      </c>
      <c r="O1474" s="8" t="n">
        <v>15.385</v>
      </c>
      <c r="P1474" s="9" t="n">
        <v>145.2</v>
      </c>
      <c r="Q1474" s="7" t="s">
        <v>2098</v>
      </c>
      <c r="R1474" s="7" t="s">
        <v>2099</v>
      </c>
      <c r="S1474" s="58" t="n">
        <v>0.5</v>
      </c>
      <c r="T1474" s="9" t="n">
        <v>40</v>
      </c>
      <c r="U1474" s="56" t="n">
        <f aca="false">I1474*O1474</f>
        <v>24.616</v>
      </c>
      <c r="V1474" s="56" t="n">
        <f aca="false">J1474*O1474</f>
        <v>73.848</v>
      </c>
      <c r="W1474" s="56" t="n">
        <f aca="false">((I1474+J1474)/2)*O1474</f>
        <v>49.232</v>
      </c>
      <c r="X1474" s="56" t="n">
        <f aca="false">H1474*O1474</f>
        <v>2307.75</v>
      </c>
    </row>
    <row r="1475" customFormat="false" ht="22.35" hidden="false" customHeight="false" outlineLevel="0" collapsed="false">
      <c r="A1475" s="79" t="s">
        <v>2065</v>
      </c>
      <c r="B1475" s="49" t="s">
        <v>4083</v>
      </c>
      <c r="C1475" s="49" t="s">
        <v>2215</v>
      </c>
      <c r="D1475" s="49" t="s">
        <v>2101</v>
      </c>
      <c r="E1475" s="57" t="s">
        <v>2102</v>
      </c>
      <c r="F1475" s="49" t="s">
        <v>2097</v>
      </c>
      <c r="G1475" s="49" t="s">
        <v>2097</v>
      </c>
      <c r="H1475" s="51" t="n">
        <v>295</v>
      </c>
      <c r="I1475" s="51" t="n">
        <v>151.89</v>
      </c>
      <c r="J1475" s="51" t="n">
        <v>455.66</v>
      </c>
      <c r="K1475" s="52" t="n">
        <v>465.176</v>
      </c>
      <c r="L1475" s="53" t="n">
        <v>28.7</v>
      </c>
      <c r="M1475" s="54" t="n">
        <v>50</v>
      </c>
      <c r="N1475" s="51" t="n">
        <v>10.584466</v>
      </c>
      <c r="O1475" s="55" t="n">
        <v>5.21</v>
      </c>
      <c r="P1475" s="51" t="n">
        <v>-160.66</v>
      </c>
      <c r="Q1475" s="49" t="s">
        <v>2103</v>
      </c>
      <c r="R1475" s="49" t="s">
        <v>2099</v>
      </c>
      <c r="S1475" s="53" t="n">
        <v>0.5</v>
      </c>
      <c r="T1475" s="51" t="n">
        <v>465.176</v>
      </c>
      <c r="U1475" s="56" t="n">
        <f aca="false">I1475*O1475</f>
        <v>791.3469</v>
      </c>
      <c r="V1475" s="56" t="n">
        <f aca="false">J1475*O1475</f>
        <v>2373.9886</v>
      </c>
      <c r="W1475" s="56" t="n">
        <f aca="false">((I1475+J1475)/2)*O1475</f>
        <v>1582.66775</v>
      </c>
      <c r="X1475" s="56" t="n">
        <f aca="false">H1475*O1475</f>
        <v>1536.95</v>
      </c>
    </row>
    <row r="1476" customFormat="false" ht="22.35" hidden="false" customHeight="false" outlineLevel="0" collapsed="false">
      <c r="A1476" s="79" t="s">
        <v>2065</v>
      </c>
      <c r="B1476" s="7" t="s">
        <v>4084</v>
      </c>
      <c r="C1476" s="7" t="s">
        <v>1615</v>
      </c>
      <c r="D1476" s="7" t="s">
        <v>2101</v>
      </c>
      <c r="E1476" s="57" t="s">
        <v>2102</v>
      </c>
      <c r="F1476" s="7" t="s">
        <v>2097</v>
      </c>
      <c r="G1476" s="7" t="s">
        <v>2097</v>
      </c>
      <c r="H1476" s="9" t="n">
        <v>371</v>
      </c>
      <c r="I1476" s="9" t="n">
        <v>183.88</v>
      </c>
      <c r="J1476" s="9" t="n">
        <v>551.64</v>
      </c>
      <c r="K1476" s="52" t="n">
        <v>900</v>
      </c>
      <c r="L1476" s="58" t="n">
        <v>21.6</v>
      </c>
      <c r="M1476" s="59" t="n">
        <v>75</v>
      </c>
      <c r="N1476" s="9" t="n">
        <v>17.026148</v>
      </c>
      <c r="O1476" s="8" t="n">
        <v>4.87</v>
      </c>
      <c r="P1476" s="9" t="n">
        <v>-180.64</v>
      </c>
      <c r="Q1476" s="7" t="s">
        <v>2103</v>
      </c>
      <c r="R1476" s="7" t="s">
        <v>2099</v>
      </c>
      <c r="S1476" s="58" t="n">
        <v>0.5</v>
      </c>
      <c r="T1476" s="9" t="n">
        <v>450</v>
      </c>
      <c r="U1476" s="56" t="n">
        <f aca="false">I1476*O1476</f>
        <v>895.4956</v>
      </c>
      <c r="V1476" s="56" t="n">
        <f aca="false">J1476*O1476</f>
        <v>2686.4868</v>
      </c>
      <c r="W1476" s="56" t="n">
        <f aca="false">((I1476+J1476)/2)*O1476</f>
        <v>1790.9912</v>
      </c>
      <c r="X1476" s="56" t="n">
        <f aca="false">H1476*O1476</f>
        <v>1806.77</v>
      </c>
    </row>
    <row r="1477" customFormat="false" ht="22.35" hidden="false" customHeight="false" outlineLevel="0" collapsed="false">
      <c r="A1477" s="79" t="s">
        <v>2065</v>
      </c>
      <c r="B1477" s="49" t="s">
        <v>4085</v>
      </c>
      <c r="C1477" s="49" t="s">
        <v>1615</v>
      </c>
      <c r="D1477" s="49" t="s">
        <v>2095</v>
      </c>
      <c r="E1477" s="61" t="s">
        <v>2113</v>
      </c>
      <c r="F1477" s="49" t="s">
        <v>2097</v>
      </c>
      <c r="G1477" s="49" t="s">
        <v>2097</v>
      </c>
      <c r="H1477" s="51" t="n">
        <v>10490</v>
      </c>
      <c r="I1477" s="51" t="n">
        <v>16629.76</v>
      </c>
      <c r="J1477" s="51" t="n">
        <v>33259.52</v>
      </c>
      <c r="K1477" s="52" t="n">
        <v>33440</v>
      </c>
      <c r="L1477" s="53" t="n">
        <v>52.6</v>
      </c>
      <c r="M1477" s="54" t="n">
        <v>50</v>
      </c>
      <c r="N1477" s="51" t="n">
        <v>316.155208</v>
      </c>
      <c r="O1477" s="55" t="n">
        <v>4.101</v>
      </c>
      <c r="P1477" s="51" t="n">
        <v>-22769.52</v>
      </c>
      <c r="Q1477" s="49" t="s">
        <v>2103</v>
      </c>
      <c r="R1477" s="49" t="s">
        <v>2099</v>
      </c>
      <c r="S1477" s="53" t="n">
        <v>1</v>
      </c>
      <c r="T1477" s="51" t="n">
        <v>440</v>
      </c>
      <c r="U1477" s="56" t="n">
        <f aca="false">I1477*O1477</f>
        <v>68198.64576</v>
      </c>
      <c r="V1477" s="56" t="n">
        <f aca="false">J1477*O1477</f>
        <v>136397.29152</v>
      </c>
      <c r="W1477" s="56" t="n">
        <f aca="false">((I1477+J1477)/2)*O1477</f>
        <v>102297.96864</v>
      </c>
      <c r="X1477" s="56" t="n">
        <f aca="false">H1477*O1477</f>
        <v>43019.49</v>
      </c>
    </row>
    <row r="1478" customFormat="false" ht="22.35" hidden="false" customHeight="false" outlineLevel="0" collapsed="false">
      <c r="A1478" s="79" t="s">
        <v>2065</v>
      </c>
      <c r="B1478" s="7" t="s">
        <v>4086</v>
      </c>
      <c r="C1478" s="7" t="s">
        <v>1615</v>
      </c>
      <c r="D1478" s="7" t="s">
        <v>2095</v>
      </c>
      <c r="E1478" s="61" t="s">
        <v>2113</v>
      </c>
      <c r="F1478" s="7" t="s">
        <v>2097</v>
      </c>
      <c r="G1478" s="7" t="s">
        <v>2097</v>
      </c>
      <c r="H1478" s="9" t="n">
        <v>5350</v>
      </c>
      <c r="I1478" s="9" t="n">
        <v>8093.53</v>
      </c>
      <c r="J1478" s="9" t="n">
        <v>16187.06</v>
      </c>
      <c r="K1478" s="52" t="n">
        <v>16200</v>
      </c>
      <c r="L1478" s="58" t="n">
        <v>49.7</v>
      </c>
      <c r="M1478" s="59" t="n">
        <v>68.8</v>
      </c>
      <c r="N1478" s="9" t="n">
        <v>162.847653</v>
      </c>
      <c r="O1478" s="8" t="n">
        <v>3.07</v>
      </c>
      <c r="P1478" s="9" t="n">
        <v>-10837.06</v>
      </c>
      <c r="Q1478" s="7" t="s">
        <v>2103</v>
      </c>
      <c r="R1478" s="7" t="s">
        <v>2099</v>
      </c>
      <c r="S1478" s="58" t="n">
        <v>1</v>
      </c>
      <c r="T1478" s="9" t="n">
        <v>40</v>
      </c>
      <c r="U1478" s="56" t="n">
        <f aca="false">I1478*O1478</f>
        <v>24847.1371</v>
      </c>
      <c r="V1478" s="56" t="n">
        <f aca="false">J1478*O1478</f>
        <v>49694.2742</v>
      </c>
      <c r="W1478" s="56" t="n">
        <f aca="false">((I1478+J1478)/2)*O1478</f>
        <v>37270.70565</v>
      </c>
      <c r="X1478" s="56" t="n">
        <f aca="false">H1478*O1478</f>
        <v>16424.5</v>
      </c>
    </row>
    <row r="1479" customFormat="false" ht="22.35" hidden="false" customHeight="false" outlineLevel="0" collapsed="false">
      <c r="A1479" s="79" t="s">
        <v>2065</v>
      </c>
      <c r="B1479" s="49" t="s">
        <v>4087</v>
      </c>
      <c r="C1479" s="49" t="s">
        <v>1615</v>
      </c>
      <c r="D1479" s="49" t="s">
        <v>2101</v>
      </c>
      <c r="E1479" s="57" t="s">
        <v>2102</v>
      </c>
      <c r="F1479" s="49" t="s">
        <v>2097</v>
      </c>
      <c r="G1479" s="49" t="s">
        <v>2097</v>
      </c>
      <c r="H1479" s="51" t="n">
        <v>2729</v>
      </c>
      <c r="I1479" s="51" t="n">
        <v>1684.28</v>
      </c>
      <c r="J1479" s="51" t="n">
        <v>5052.83</v>
      </c>
      <c r="K1479" s="52" t="n">
        <v>5873.13</v>
      </c>
      <c r="L1479" s="53" t="n">
        <v>41.8</v>
      </c>
      <c r="M1479" s="54" t="n">
        <v>75</v>
      </c>
      <c r="N1479" s="51" t="n">
        <v>80.587413</v>
      </c>
      <c r="O1479" s="55" t="n">
        <v>7.19</v>
      </c>
      <c r="P1479" s="51" t="n">
        <v>-2323.83</v>
      </c>
      <c r="Q1479" s="49" t="s">
        <v>2103</v>
      </c>
      <c r="R1479" s="49" t="s">
        <v>2099</v>
      </c>
      <c r="S1479" s="53" t="n">
        <v>0.5</v>
      </c>
      <c r="T1479" s="51" t="n">
        <v>1957.71</v>
      </c>
      <c r="U1479" s="56" t="n">
        <f aca="false">I1479*O1479</f>
        <v>12109.9732</v>
      </c>
      <c r="V1479" s="56" t="n">
        <f aca="false">J1479*O1479</f>
        <v>36329.8477</v>
      </c>
      <c r="W1479" s="56" t="n">
        <f aca="false">((I1479+J1479)/2)*O1479</f>
        <v>24219.91045</v>
      </c>
      <c r="X1479" s="56" t="n">
        <f aca="false">H1479*O1479</f>
        <v>19621.51</v>
      </c>
    </row>
    <row r="1480" customFormat="false" ht="22.35" hidden="false" customHeight="false" outlineLevel="0" collapsed="false">
      <c r="A1480" s="79" t="s">
        <v>2065</v>
      </c>
      <c r="B1480" s="7" t="s">
        <v>4088</v>
      </c>
      <c r="C1480" s="7" t="s">
        <v>1615</v>
      </c>
      <c r="D1480" s="7" t="s">
        <v>2101</v>
      </c>
      <c r="E1480" s="57" t="s">
        <v>2102</v>
      </c>
      <c r="F1480" s="7" t="s">
        <v>2097</v>
      </c>
      <c r="G1480" s="7" t="s">
        <v>2097</v>
      </c>
      <c r="H1480" s="9" t="n">
        <v>1629</v>
      </c>
      <c r="I1480" s="9" t="n">
        <v>1007.98</v>
      </c>
      <c r="J1480" s="9" t="n">
        <v>3023.94</v>
      </c>
      <c r="K1480" s="52" t="n">
        <v>3040</v>
      </c>
      <c r="L1480" s="58" t="n">
        <v>35.9</v>
      </c>
      <c r="M1480" s="59" t="n">
        <v>55.6</v>
      </c>
      <c r="N1480" s="9" t="n">
        <v>56.155004</v>
      </c>
      <c r="O1480" s="8" t="n">
        <v>6.67</v>
      </c>
      <c r="P1480" s="9" t="n">
        <v>-1394.94</v>
      </c>
      <c r="Q1480" s="7" t="s">
        <v>2103</v>
      </c>
      <c r="R1480" s="7" t="s">
        <v>2099</v>
      </c>
      <c r="S1480" s="58" t="n">
        <v>0.5</v>
      </c>
      <c r="T1480" s="9" t="n">
        <v>40</v>
      </c>
      <c r="U1480" s="56" t="n">
        <f aca="false">I1480*O1480</f>
        <v>6723.2266</v>
      </c>
      <c r="V1480" s="56" t="n">
        <f aca="false">J1480*O1480</f>
        <v>20169.6798</v>
      </c>
      <c r="W1480" s="56" t="n">
        <f aca="false">((I1480+J1480)/2)*O1480</f>
        <v>13446.4532</v>
      </c>
      <c r="X1480" s="56" t="n">
        <f aca="false">H1480*O1480</f>
        <v>10865.43</v>
      </c>
    </row>
    <row r="1481" customFormat="false" ht="15" hidden="false" customHeight="false" outlineLevel="0" collapsed="false">
      <c r="A1481" s="79" t="s">
        <v>2065</v>
      </c>
      <c r="B1481" s="49" t="s">
        <v>4089</v>
      </c>
      <c r="C1481" s="49" t="s">
        <v>1615</v>
      </c>
      <c r="D1481" s="49" t="s">
        <v>2101</v>
      </c>
      <c r="E1481" s="50" t="s">
        <v>2096</v>
      </c>
      <c r="F1481" s="49" t="s">
        <v>2097</v>
      </c>
      <c r="G1481" s="49" t="s">
        <v>2097</v>
      </c>
      <c r="H1481" s="51" t="n">
        <v>1371</v>
      </c>
      <c r="I1481" s="51" t="n">
        <v>433.36</v>
      </c>
      <c r="J1481" s="51" t="n">
        <v>1300.08</v>
      </c>
      <c r="K1481" s="52" t="n">
        <v>7500</v>
      </c>
      <c r="L1481" s="53" t="n">
        <v>24.4</v>
      </c>
      <c r="M1481" s="54" t="n">
        <v>64.3</v>
      </c>
      <c r="N1481" s="51" t="n">
        <v>35.521192</v>
      </c>
      <c r="O1481" s="55" t="n">
        <v>4.72</v>
      </c>
      <c r="P1481" s="51" t="n">
        <v>70.92</v>
      </c>
      <c r="Q1481" s="49" t="s">
        <v>2098</v>
      </c>
      <c r="R1481" s="49" t="s">
        <v>2099</v>
      </c>
      <c r="S1481" s="53" t="n">
        <v>0.5</v>
      </c>
      <c r="T1481" s="51" t="n">
        <v>7500</v>
      </c>
      <c r="U1481" s="56" t="n">
        <f aca="false">I1481*O1481</f>
        <v>2045.4592</v>
      </c>
      <c r="V1481" s="56" t="n">
        <f aca="false">J1481*O1481</f>
        <v>6136.3776</v>
      </c>
      <c r="W1481" s="56" t="n">
        <f aca="false">((I1481+J1481)/2)*O1481</f>
        <v>4090.9184</v>
      </c>
      <c r="X1481" s="56" t="n">
        <f aca="false">H1481*O1481</f>
        <v>6471.12</v>
      </c>
    </row>
    <row r="1482" customFormat="false" ht="22.35" hidden="false" customHeight="false" outlineLevel="0" collapsed="false">
      <c r="A1482" s="79" t="s">
        <v>2065</v>
      </c>
      <c r="B1482" s="4" t="s">
        <v>4090</v>
      </c>
      <c r="C1482" s="4" t="s">
        <v>1542</v>
      </c>
      <c r="D1482" s="4" t="s">
        <v>2101</v>
      </c>
      <c r="E1482" s="70" t="s">
        <v>2193</v>
      </c>
      <c r="F1482" s="4" t="s">
        <v>2097</v>
      </c>
      <c r="G1482" s="71" t="s">
        <v>2194</v>
      </c>
      <c r="H1482" s="6" t="n">
        <v>150</v>
      </c>
      <c r="I1482" s="6" t="n">
        <v>0</v>
      </c>
      <c r="J1482" s="6" t="n">
        <v>0</v>
      </c>
      <c r="K1482" s="52" t="n">
        <v>0</v>
      </c>
      <c r="L1482" s="72" t="n">
        <v>34.4</v>
      </c>
      <c r="M1482" s="73" t="n">
        <v>71.4</v>
      </c>
      <c r="N1482" s="6" t="n">
        <v>0.753531</v>
      </c>
      <c r="O1482" s="5" t="n">
        <v>6.67</v>
      </c>
      <c r="P1482" s="6" t="n">
        <v>150</v>
      </c>
      <c r="Q1482" s="4" t="s">
        <v>2098</v>
      </c>
      <c r="R1482" s="4" t="s">
        <v>2195</v>
      </c>
      <c r="S1482" s="72" t="n">
        <v>0</v>
      </c>
      <c r="T1482" s="6" t="n">
        <v>40</v>
      </c>
      <c r="U1482" s="56" t="n">
        <f aca="false">I1482*O1482</f>
        <v>0</v>
      </c>
      <c r="V1482" s="56" t="n">
        <f aca="false">J1482*O1482</f>
        <v>0</v>
      </c>
      <c r="W1482" s="56" t="n">
        <f aca="false">((I1482+J1482)/2)*O1482</f>
        <v>0</v>
      </c>
      <c r="X1482" s="56" t="n">
        <f aca="false">H1482*O1482</f>
        <v>1000.5</v>
      </c>
    </row>
    <row r="1483" customFormat="false" ht="22.35" hidden="false" customHeight="false" outlineLevel="0" collapsed="false">
      <c r="A1483" s="79" t="s">
        <v>2065</v>
      </c>
      <c r="B1483" s="4" t="s">
        <v>4091</v>
      </c>
      <c r="C1483" s="4" t="s">
        <v>2192</v>
      </c>
      <c r="D1483" s="4" t="s">
        <v>2101</v>
      </c>
      <c r="E1483" s="70" t="s">
        <v>2193</v>
      </c>
      <c r="F1483" s="4" t="s">
        <v>2097</v>
      </c>
      <c r="G1483" s="71" t="s">
        <v>2194</v>
      </c>
      <c r="H1483" s="6" t="n">
        <v>150</v>
      </c>
      <c r="I1483" s="6" t="n">
        <v>0</v>
      </c>
      <c r="J1483" s="6" t="n">
        <v>0</v>
      </c>
      <c r="K1483" s="52" t="n">
        <v>0</v>
      </c>
      <c r="L1483" s="72" t="n">
        <v>47.1</v>
      </c>
      <c r="M1483" s="73" t="n">
        <v>62.5</v>
      </c>
      <c r="N1483" s="6" t="n">
        <v>0.836411</v>
      </c>
      <c r="O1483" s="5" t="n">
        <v>28.6219</v>
      </c>
      <c r="P1483" s="6" t="n">
        <v>150</v>
      </c>
      <c r="Q1483" s="4" t="s">
        <v>2098</v>
      </c>
      <c r="R1483" s="4" t="s">
        <v>2195</v>
      </c>
      <c r="S1483" s="72" t="n">
        <v>0</v>
      </c>
      <c r="T1483" s="6" t="n">
        <v>500</v>
      </c>
      <c r="U1483" s="56" t="n">
        <f aca="false">I1483*O1483</f>
        <v>0</v>
      </c>
      <c r="V1483" s="56" t="n">
        <f aca="false">J1483*O1483</f>
        <v>0</v>
      </c>
      <c r="W1483" s="56" t="n">
        <f aca="false">((I1483+J1483)/2)*O1483</f>
        <v>0</v>
      </c>
      <c r="X1483" s="56" t="n">
        <f aca="false">H1483*O1483</f>
        <v>4293.285</v>
      </c>
    </row>
    <row r="1484" customFormat="false" ht="22.35" hidden="false" customHeight="false" outlineLevel="0" collapsed="false">
      <c r="A1484" s="79" t="s">
        <v>2065</v>
      </c>
      <c r="B1484" s="4" t="s">
        <v>4092</v>
      </c>
      <c r="C1484" s="4" t="s">
        <v>4093</v>
      </c>
      <c r="D1484" s="4" t="s">
        <v>2101</v>
      </c>
      <c r="E1484" s="70" t="s">
        <v>2193</v>
      </c>
      <c r="F1484" s="4" t="s">
        <v>2097</v>
      </c>
      <c r="G1484" s="71" t="s">
        <v>2194</v>
      </c>
      <c r="H1484" s="6" t="n">
        <v>150</v>
      </c>
      <c r="I1484" s="6" t="n">
        <v>0</v>
      </c>
      <c r="J1484" s="6" t="n">
        <v>0</v>
      </c>
      <c r="K1484" s="52" t="n">
        <v>0</v>
      </c>
      <c r="L1484" s="72" t="n">
        <v>59.8</v>
      </c>
      <c r="M1484" s="73" t="n">
        <v>25</v>
      </c>
      <c r="N1484" s="6" t="n">
        <v>0.493753</v>
      </c>
      <c r="O1484" s="5" t="n">
        <v>16.4055</v>
      </c>
      <c r="P1484" s="6" t="n">
        <v>150</v>
      </c>
      <c r="Q1484" s="4" t="s">
        <v>2098</v>
      </c>
      <c r="R1484" s="4" t="s">
        <v>2195</v>
      </c>
      <c r="S1484" s="72" t="n">
        <v>0</v>
      </c>
      <c r="T1484" s="6" t="n">
        <v>40</v>
      </c>
      <c r="U1484" s="56" t="n">
        <f aca="false">I1484*O1484</f>
        <v>0</v>
      </c>
      <c r="V1484" s="56" t="n">
        <f aca="false">J1484*O1484</f>
        <v>0</v>
      </c>
      <c r="W1484" s="56" t="n">
        <f aca="false">((I1484+J1484)/2)*O1484</f>
        <v>0</v>
      </c>
      <c r="X1484" s="56" t="n">
        <f aca="false">H1484*O1484</f>
        <v>2460.825</v>
      </c>
    </row>
    <row r="1485" customFormat="false" ht="22.35" hidden="false" customHeight="false" outlineLevel="0" collapsed="false">
      <c r="A1485" s="79" t="s">
        <v>2065</v>
      </c>
      <c r="B1485" s="49" t="s">
        <v>4094</v>
      </c>
      <c r="C1485" s="49" t="s">
        <v>1965</v>
      </c>
      <c r="D1485" s="49" t="s">
        <v>2101</v>
      </c>
      <c r="E1485" s="57" t="s">
        <v>2102</v>
      </c>
      <c r="F1485" s="49" t="s">
        <v>2097</v>
      </c>
      <c r="G1485" s="49" t="s">
        <v>2097</v>
      </c>
      <c r="H1485" s="51" t="n">
        <v>3687</v>
      </c>
      <c r="I1485" s="51" t="n">
        <v>2076.19</v>
      </c>
      <c r="J1485" s="51" t="n">
        <v>6228.57</v>
      </c>
      <c r="K1485" s="52" t="n">
        <v>8000</v>
      </c>
      <c r="L1485" s="53" t="n">
        <v>34.4</v>
      </c>
      <c r="M1485" s="54" t="n">
        <v>76.5</v>
      </c>
      <c r="N1485" s="51" t="n">
        <v>120.708736</v>
      </c>
      <c r="O1485" s="55" t="n">
        <v>4.72</v>
      </c>
      <c r="P1485" s="51" t="n">
        <v>-2541.57</v>
      </c>
      <c r="Q1485" s="49" t="s">
        <v>2103</v>
      </c>
      <c r="R1485" s="49" t="s">
        <v>2099</v>
      </c>
      <c r="S1485" s="53" t="n">
        <v>0.5</v>
      </c>
      <c r="T1485" s="51" t="n">
        <v>2000</v>
      </c>
      <c r="U1485" s="56" t="n">
        <f aca="false">I1485*O1485</f>
        <v>9799.6168</v>
      </c>
      <c r="V1485" s="56" t="n">
        <f aca="false">J1485*O1485</f>
        <v>29398.8504</v>
      </c>
      <c r="W1485" s="56" t="n">
        <f aca="false">((I1485+J1485)/2)*O1485</f>
        <v>19599.2336</v>
      </c>
      <c r="X1485" s="56" t="n">
        <f aca="false">H1485*O1485</f>
        <v>17402.64</v>
      </c>
    </row>
    <row r="1486" customFormat="false" ht="22.35" hidden="false" customHeight="false" outlineLevel="0" collapsed="false">
      <c r="A1486" s="79" t="s">
        <v>2065</v>
      </c>
      <c r="B1486" s="7" t="s">
        <v>3564</v>
      </c>
      <c r="C1486" s="7" t="s">
        <v>3565</v>
      </c>
      <c r="D1486" s="7" t="s">
        <v>2109</v>
      </c>
      <c r="E1486" s="60" t="s">
        <v>2110</v>
      </c>
      <c r="F1486" s="7" t="s">
        <v>2097</v>
      </c>
      <c r="G1486" s="7" t="s">
        <v>2097</v>
      </c>
      <c r="H1486" s="9" t="n">
        <v>7930</v>
      </c>
      <c r="I1486" s="9" t="n">
        <v>10312.23</v>
      </c>
      <c r="J1486" s="9" t="n">
        <v>17187.05</v>
      </c>
      <c r="K1486" s="52" t="n">
        <v>17200</v>
      </c>
      <c r="L1486" s="58" t="n">
        <v>24.7</v>
      </c>
      <c r="M1486" s="59" t="n">
        <v>84.4</v>
      </c>
      <c r="N1486" s="9" t="n">
        <v>278.332752</v>
      </c>
      <c r="O1486" s="8" t="n">
        <v>0.04</v>
      </c>
      <c r="P1486" s="9" t="n">
        <v>-9257.05</v>
      </c>
      <c r="Q1486" s="7" t="s">
        <v>2103</v>
      </c>
      <c r="R1486" s="7" t="s">
        <v>2099</v>
      </c>
      <c r="S1486" s="58" t="n">
        <v>1.5</v>
      </c>
      <c r="T1486" s="9" t="n">
        <v>40</v>
      </c>
      <c r="U1486" s="56" t="n">
        <f aca="false">I1486*O1486</f>
        <v>412.4892</v>
      </c>
      <c r="V1486" s="56" t="n">
        <f aca="false">J1486*O1486</f>
        <v>687.482</v>
      </c>
      <c r="W1486" s="56" t="n">
        <f aca="false">((I1486+J1486)/2)*O1486</f>
        <v>549.9856</v>
      </c>
      <c r="X1486" s="56" t="n">
        <f aca="false">H1486*O1486</f>
        <v>317.2</v>
      </c>
    </row>
    <row r="1487" customFormat="false" ht="22.35" hidden="false" customHeight="false" outlineLevel="0" collapsed="false">
      <c r="A1487" s="79" t="s">
        <v>2065</v>
      </c>
      <c r="B1487" s="49" t="s">
        <v>2188</v>
      </c>
      <c r="C1487" s="49" t="s">
        <v>1624</v>
      </c>
      <c r="D1487" s="49" t="s">
        <v>2101</v>
      </c>
      <c r="E1487" s="57" t="s">
        <v>2102</v>
      </c>
      <c r="F1487" s="49" t="s">
        <v>2097</v>
      </c>
      <c r="G1487" s="49" t="s">
        <v>2097</v>
      </c>
      <c r="H1487" s="51" t="n">
        <v>439</v>
      </c>
      <c r="I1487" s="51" t="n">
        <v>275.6</v>
      </c>
      <c r="J1487" s="51" t="n">
        <v>826.8</v>
      </c>
      <c r="K1487" s="52" t="n">
        <v>840</v>
      </c>
      <c r="L1487" s="53" t="n">
        <v>34</v>
      </c>
      <c r="M1487" s="54" t="n">
        <v>82</v>
      </c>
      <c r="N1487" s="51" t="n">
        <v>16.211788</v>
      </c>
      <c r="O1487" s="55" t="n">
        <v>3.54</v>
      </c>
      <c r="P1487" s="51" t="n">
        <v>-387.8</v>
      </c>
      <c r="Q1487" s="49" t="s">
        <v>2103</v>
      </c>
      <c r="R1487" s="49" t="s">
        <v>2099</v>
      </c>
      <c r="S1487" s="53" t="n">
        <v>0.5</v>
      </c>
      <c r="T1487" s="51" t="n">
        <v>420</v>
      </c>
      <c r="U1487" s="56" t="n">
        <f aca="false">I1487*O1487</f>
        <v>975.624</v>
      </c>
      <c r="V1487" s="56" t="n">
        <f aca="false">J1487*O1487</f>
        <v>2926.872</v>
      </c>
      <c r="W1487" s="56" t="n">
        <f aca="false">((I1487+J1487)/2)*O1487</f>
        <v>1951.248</v>
      </c>
      <c r="X1487" s="56" t="n">
        <f aca="false">H1487*O1487</f>
        <v>1554.06</v>
      </c>
    </row>
    <row r="1488" customFormat="false" ht="15" hidden="false" customHeight="false" outlineLevel="0" collapsed="false">
      <c r="A1488" s="79" t="s">
        <v>2065</v>
      </c>
      <c r="B1488" s="7" t="s">
        <v>2189</v>
      </c>
      <c r="C1488" s="7" t="s">
        <v>2190</v>
      </c>
      <c r="D1488" s="7" t="s">
        <v>2101</v>
      </c>
      <c r="E1488" s="50" t="s">
        <v>2096</v>
      </c>
      <c r="F1488" s="7" t="s">
        <v>2097</v>
      </c>
      <c r="G1488" s="7" t="s">
        <v>2097</v>
      </c>
      <c r="H1488" s="9" t="n">
        <v>150</v>
      </c>
      <c r="I1488" s="9" t="n">
        <v>18.94</v>
      </c>
      <c r="J1488" s="9" t="n">
        <v>56.82</v>
      </c>
      <c r="K1488" s="52" t="n">
        <v>375</v>
      </c>
      <c r="L1488" s="58" t="n">
        <v>21.5</v>
      </c>
      <c r="M1488" s="59" t="n">
        <v>80</v>
      </c>
      <c r="N1488" s="9" t="n">
        <v>1.761959</v>
      </c>
      <c r="O1488" s="8" t="n">
        <v>4.007</v>
      </c>
      <c r="P1488" s="9" t="n">
        <v>93.18</v>
      </c>
      <c r="Q1488" s="7" t="s">
        <v>2098</v>
      </c>
      <c r="R1488" s="7" t="s">
        <v>2099</v>
      </c>
      <c r="S1488" s="58" t="n">
        <v>0.5</v>
      </c>
      <c r="T1488" s="9" t="n">
        <v>375</v>
      </c>
      <c r="U1488" s="56" t="n">
        <f aca="false">I1488*O1488</f>
        <v>75.89258</v>
      </c>
      <c r="V1488" s="56" t="n">
        <f aca="false">J1488*O1488</f>
        <v>227.67774</v>
      </c>
      <c r="W1488" s="56" t="n">
        <f aca="false">((I1488+J1488)/2)*O1488</f>
        <v>151.78516</v>
      </c>
      <c r="X1488" s="56" t="n">
        <f aca="false">H1488*O1488</f>
        <v>601.05</v>
      </c>
    </row>
    <row r="1489" customFormat="false" ht="22.35" hidden="false" customHeight="false" outlineLevel="0" collapsed="false">
      <c r="A1489" s="79" t="s">
        <v>2065</v>
      </c>
      <c r="B1489" s="4" t="s">
        <v>4095</v>
      </c>
      <c r="C1489" s="4" t="s">
        <v>2173</v>
      </c>
      <c r="D1489" s="4" t="s">
        <v>2101</v>
      </c>
      <c r="E1489" s="70" t="s">
        <v>2193</v>
      </c>
      <c r="F1489" s="4" t="s">
        <v>2097</v>
      </c>
      <c r="G1489" s="71" t="s">
        <v>2194</v>
      </c>
      <c r="H1489" s="6" t="n">
        <v>150</v>
      </c>
      <c r="I1489" s="6" t="n">
        <v>0</v>
      </c>
      <c r="J1489" s="6" t="n">
        <v>0</v>
      </c>
      <c r="K1489" s="52" t="n">
        <v>0</v>
      </c>
      <c r="L1489" s="72" t="n">
        <v>22</v>
      </c>
      <c r="M1489" s="73" t="n">
        <v>100</v>
      </c>
      <c r="N1489" s="6" t="n">
        <v>1.232541</v>
      </c>
      <c r="O1489" s="5" t="n">
        <v>2.252</v>
      </c>
      <c r="P1489" s="6" t="n">
        <v>150</v>
      </c>
      <c r="Q1489" s="4" t="s">
        <v>2098</v>
      </c>
      <c r="R1489" s="4" t="s">
        <v>2195</v>
      </c>
      <c r="S1489" s="72" t="n">
        <v>0</v>
      </c>
      <c r="T1489" s="6" t="n">
        <v>450</v>
      </c>
      <c r="U1489" s="56" t="n">
        <f aca="false">I1489*O1489</f>
        <v>0</v>
      </c>
      <c r="V1489" s="56" t="n">
        <f aca="false">J1489*O1489</f>
        <v>0</v>
      </c>
      <c r="W1489" s="56" t="n">
        <f aca="false">((I1489+J1489)/2)*O1489</f>
        <v>0</v>
      </c>
      <c r="X1489" s="56" t="n">
        <f aca="false">H1489*O1489</f>
        <v>337.8</v>
      </c>
    </row>
    <row r="1490" customFormat="false" ht="22.35" hidden="false" customHeight="false" outlineLevel="0" collapsed="false">
      <c r="A1490" s="79" t="s">
        <v>2065</v>
      </c>
      <c r="B1490" s="4" t="s">
        <v>4096</v>
      </c>
      <c r="C1490" s="4" t="s">
        <v>2207</v>
      </c>
      <c r="D1490" s="4" t="s">
        <v>2101</v>
      </c>
      <c r="E1490" s="70" t="s">
        <v>2193</v>
      </c>
      <c r="F1490" s="4" t="s">
        <v>2097</v>
      </c>
      <c r="G1490" s="71" t="s">
        <v>2194</v>
      </c>
      <c r="H1490" s="6" t="n">
        <v>150</v>
      </c>
      <c r="I1490" s="6" t="n">
        <v>0</v>
      </c>
      <c r="J1490" s="6" t="n">
        <v>0</v>
      </c>
      <c r="K1490" s="52" t="n">
        <v>0</v>
      </c>
      <c r="L1490" s="72" t="n">
        <v>12</v>
      </c>
      <c r="M1490" s="73" t="n">
        <v>100</v>
      </c>
      <c r="N1490" s="6" t="n">
        <v>0.159425</v>
      </c>
      <c r="O1490" s="5" t="n">
        <v>4.545</v>
      </c>
      <c r="P1490" s="6" t="n">
        <v>150</v>
      </c>
      <c r="Q1490" s="4" t="s">
        <v>2098</v>
      </c>
      <c r="R1490" s="4" t="s">
        <v>2195</v>
      </c>
      <c r="S1490" s="72" t="n">
        <v>0</v>
      </c>
      <c r="T1490" s="6" t="n">
        <v>460</v>
      </c>
      <c r="U1490" s="56" t="n">
        <f aca="false">I1490*O1490</f>
        <v>0</v>
      </c>
      <c r="V1490" s="56" t="n">
        <f aca="false">J1490*O1490</f>
        <v>0</v>
      </c>
      <c r="W1490" s="56" t="n">
        <f aca="false">((I1490+J1490)/2)*O1490</f>
        <v>0</v>
      </c>
      <c r="X1490" s="56" t="n">
        <f aca="false">H1490*O1490</f>
        <v>681.75</v>
      </c>
    </row>
    <row r="1491" customFormat="false" ht="22.35" hidden="false" customHeight="false" outlineLevel="0" collapsed="false">
      <c r="A1491" s="79" t="s">
        <v>2065</v>
      </c>
      <c r="B1491" s="49" t="s">
        <v>3573</v>
      </c>
      <c r="C1491" s="49" t="s">
        <v>2203</v>
      </c>
      <c r="D1491" s="49" t="s">
        <v>2095</v>
      </c>
      <c r="E1491" s="61" t="s">
        <v>2113</v>
      </c>
      <c r="F1491" s="49" t="s">
        <v>2097</v>
      </c>
      <c r="G1491" s="49" t="s">
        <v>2097</v>
      </c>
      <c r="H1491" s="51" t="n">
        <v>2646</v>
      </c>
      <c r="I1491" s="51" t="n">
        <v>2291.09</v>
      </c>
      <c r="J1491" s="51" t="n">
        <v>4582.18</v>
      </c>
      <c r="K1491" s="52" t="n">
        <v>6000</v>
      </c>
      <c r="L1491" s="53" t="n">
        <v>33.8</v>
      </c>
      <c r="M1491" s="54" t="n">
        <v>62.7</v>
      </c>
      <c r="N1491" s="51" t="n">
        <v>67.78384</v>
      </c>
      <c r="O1491" s="55" t="n">
        <v>5.64</v>
      </c>
      <c r="P1491" s="51" t="n">
        <v>-1936.18</v>
      </c>
      <c r="Q1491" s="49" t="s">
        <v>2103</v>
      </c>
      <c r="R1491" s="49" t="s">
        <v>2099</v>
      </c>
      <c r="S1491" s="53" t="n">
        <v>1</v>
      </c>
      <c r="T1491" s="51" t="n">
        <v>2000</v>
      </c>
      <c r="U1491" s="56" t="n">
        <f aca="false">I1491*O1491</f>
        <v>12921.7476</v>
      </c>
      <c r="V1491" s="56" t="n">
        <f aca="false">J1491*O1491</f>
        <v>25843.4952</v>
      </c>
      <c r="W1491" s="56" t="n">
        <f aca="false">((I1491+J1491)/2)*O1491</f>
        <v>19382.6214</v>
      </c>
      <c r="X1491" s="56" t="n">
        <f aca="false">H1491*O1491</f>
        <v>14923.44</v>
      </c>
    </row>
    <row r="1492" customFormat="false" ht="22.35" hidden="false" customHeight="false" outlineLevel="0" collapsed="false">
      <c r="A1492" s="79" t="s">
        <v>2065</v>
      </c>
      <c r="B1492" s="7" t="s">
        <v>2201</v>
      </c>
      <c r="C1492" s="7" t="s">
        <v>1554</v>
      </c>
      <c r="D1492" s="7" t="s">
        <v>2101</v>
      </c>
      <c r="E1492" s="57" t="s">
        <v>2102</v>
      </c>
      <c r="F1492" s="7" t="s">
        <v>2097</v>
      </c>
      <c r="G1492" s="7" t="s">
        <v>2097</v>
      </c>
      <c r="H1492" s="9" t="n">
        <v>150</v>
      </c>
      <c r="I1492" s="9" t="n">
        <v>55.78</v>
      </c>
      <c r="J1492" s="9" t="n">
        <v>167.34</v>
      </c>
      <c r="K1492" s="52" t="n">
        <v>524.7</v>
      </c>
      <c r="L1492" s="58" t="n">
        <v>40.4</v>
      </c>
      <c r="M1492" s="59" t="n">
        <v>95</v>
      </c>
      <c r="N1492" s="9" t="n">
        <v>2.761414</v>
      </c>
      <c r="O1492" s="8" t="n">
        <v>1.3</v>
      </c>
      <c r="P1492" s="9" t="n">
        <v>-17.34</v>
      </c>
      <c r="Q1492" s="7" t="s">
        <v>2103</v>
      </c>
      <c r="R1492" s="7" t="s">
        <v>2099</v>
      </c>
      <c r="S1492" s="58" t="n">
        <v>0.5</v>
      </c>
      <c r="T1492" s="9" t="n">
        <v>524.7</v>
      </c>
      <c r="U1492" s="56" t="n">
        <f aca="false">I1492*O1492</f>
        <v>72.514</v>
      </c>
      <c r="V1492" s="56" t="n">
        <f aca="false">J1492*O1492</f>
        <v>217.542</v>
      </c>
      <c r="W1492" s="56" t="n">
        <f aca="false">((I1492+J1492)/2)*O1492</f>
        <v>145.028</v>
      </c>
      <c r="X1492" s="56" t="n">
        <f aca="false">H1492*O1492</f>
        <v>195</v>
      </c>
    </row>
    <row r="1493" customFormat="false" ht="15" hidden="false" customHeight="false" outlineLevel="0" collapsed="false">
      <c r="A1493" s="79" t="s">
        <v>2065</v>
      </c>
      <c r="B1493" s="49" t="s">
        <v>2202</v>
      </c>
      <c r="C1493" s="49" t="s">
        <v>2203</v>
      </c>
      <c r="D1493" s="49" t="s">
        <v>2101</v>
      </c>
      <c r="E1493" s="50" t="s">
        <v>2096</v>
      </c>
      <c r="F1493" s="49" t="s">
        <v>2097</v>
      </c>
      <c r="G1493" s="49" t="s">
        <v>2097</v>
      </c>
      <c r="H1493" s="51" t="n">
        <v>224</v>
      </c>
      <c r="I1493" s="51" t="n">
        <v>34.13</v>
      </c>
      <c r="J1493" s="51" t="n">
        <v>102.39</v>
      </c>
      <c r="K1493" s="52" t="n">
        <v>418.88</v>
      </c>
      <c r="L1493" s="53" t="n">
        <v>34.6</v>
      </c>
      <c r="M1493" s="54" t="n">
        <v>57.7</v>
      </c>
      <c r="N1493" s="51" t="n">
        <v>1.972772</v>
      </c>
      <c r="O1493" s="55" t="n">
        <v>3.35</v>
      </c>
      <c r="P1493" s="51" t="n">
        <v>121.61</v>
      </c>
      <c r="Q1493" s="49" t="s">
        <v>2098</v>
      </c>
      <c r="R1493" s="49" t="s">
        <v>2099</v>
      </c>
      <c r="S1493" s="53" t="n">
        <v>0.5</v>
      </c>
      <c r="T1493" s="51" t="n">
        <v>418.88</v>
      </c>
      <c r="U1493" s="56" t="n">
        <f aca="false">I1493*O1493</f>
        <v>114.3355</v>
      </c>
      <c r="V1493" s="56" t="n">
        <f aca="false">J1493*O1493</f>
        <v>343.0065</v>
      </c>
      <c r="W1493" s="56" t="n">
        <f aca="false">((I1493+J1493)/2)*O1493</f>
        <v>228.671</v>
      </c>
      <c r="X1493" s="56" t="n">
        <f aca="false">H1493*O1493</f>
        <v>750.4</v>
      </c>
    </row>
    <row r="1494" customFormat="false" ht="15" hidden="false" customHeight="false" outlineLevel="0" collapsed="false">
      <c r="A1494" s="79" t="s">
        <v>2065</v>
      </c>
      <c r="B1494" s="7" t="s">
        <v>3574</v>
      </c>
      <c r="C1494" s="7" t="s">
        <v>3575</v>
      </c>
      <c r="D1494" s="7" t="s">
        <v>2101</v>
      </c>
      <c r="E1494" s="50" t="s">
        <v>2096</v>
      </c>
      <c r="F1494" s="7" t="s">
        <v>2097</v>
      </c>
      <c r="G1494" s="7" t="s">
        <v>2097</v>
      </c>
      <c r="H1494" s="9" t="n">
        <v>150</v>
      </c>
      <c r="I1494" s="9" t="n">
        <v>24.96</v>
      </c>
      <c r="J1494" s="9" t="n">
        <v>74.88</v>
      </c>
      <c r="K1494" s="52" t="n">
        <v>100</v>
      </c>
      <c r="L1494" s="58" t="n">
        <v>32.2</v>
      </c>
      <c r="M1494" s="59" t="n">
        <v>91.3</v>
      </c>
      <c r="N1494" s="9" t="n">
        <v>1.550337</v>
      </c>
      <c r="O1494" s="8" t="n">
        <v>3.579</v>
      </c>
      <c r="P1494" s="9" t="n">
        <v>75.12</v>
      </c>
      <c r="Q1494" s="7" t="s">
        <v>2098</v>
      </c>
      <c r="R1494" s="7" t="s">
        <v>2099</v>
      </c>
      <c r="S1494" s="58" t="n">
        <v>0.5</v>
      </c>
      <c r="T1494" s="9" t="n">
        <v>50</v>
      </c>
      <c r="U1494" s="56" t="n">
        <f aca="false">I1494*O1494</f>
        <v>89.33184</v>
      </c>
      <c r="V1494" s="56" t="n">
        <f aca="false">J1494*O1494</f>
        <v>267.99552</v>
      </c>
      <c r="W1494" s="56" t="n">
        <f aca="false">((I1494+J1494)/2)*O1494</f>
        <v>178.66368</v>
      </c>
      <c r="X1494" s="56" t="n">
        <f aca="false">H1494*O1494</f>
        <v>536.85</v>
      </c>
    </row>
    <row r="1495" customFormat="false" ht="15" hidden="false" customHeight="false" outlineLevel="0" collapsed="false">
      <c r="A1495" s="79" t="s">
        <v>2065</v>
      </c>
      <c r="B1495" s="49" t="s">
        <v>2204</v>
      </c>
      <c r="C1495" s="49" t="s">
        <v>2205</v>
      </c>
      <c r="D1495" s="49" t="s">
        <v>2101</v>
      </c>
      <c r="E1495" s="50" t="s">
        <v>2096</v>
      </c>
      <c r="F1495" s="49" t="s">
        <v>2097</v>
      </c>
      <c r="G1495" s="49" t="s">
        <v>2097</v>
      </c>
      <c r="H1495" s="51" t="n">
        <v>150</v>
      </c>
      <c r="I1495" s="51" t="n">
        <v>10.01</v>
      </c>
      <c r="J1495" s="51" t="n">
        <v>30.04</v>
      </c>
      <c r="K1495" s="52" t="n">
        <v>399.4</v>
      </c>
      <c r="L1495" s="53" t="n">
        <v>23.3</v>
      </c>
      <c r="M1495" s="54" t="n">
        <v>72.2</v>
      </c>
      <c r="N1495" s="51" t="n">
        <v>0.859477</v>
      </c>
      <c r="O1495" s="55" t="n">
        <v>12.3487</v>
      </c>
      <c r="P1495" s="51" t="n">
        <v>119.96</v>
      </c>
      <c r="Q1495" s="49" t="s">
        <v>2098</v>
      </c>
      <c r="R1495" s="49" t="s">
        <v>2099</v>
      </c>
      <c r="S1495" s="53" t="n">
        <v>0.5</v>
      </c>
      <c r="T1495" s="51" t="n">
        <v>399.4</v>
      </c>
      <c r="U1495" s="56" t="n">
        <f aca="false">I1495*O1495</f>
        <v>123.610487</v>
      </c>
      <c r="V1495" s="56" t="n">
        <f aca="false">J1495*O1495</f>
        <v>370.954948</v>
      </c>
      <c r="W1495" s="56" t="n">
        <f aca="false">((I1495+J1495)/2)*O1495</f>
        <v>247.2827175</v>
      </c>
      <c r="X1495" s="56" t="n">
        <f aca="false">H1495*O1495</f>
        <v>1852.305</v>
      </c>
    </row>
    <row r="1496" customFormat="false" ht="15" hidden="false" customHeight="false" outlineLevel="0" collapsed="false">
      <c r="A1496" s="79" t="s">
        <v>2065</v>
      </c>
      <c r="B1496" s="7" t="s">
        <v>2206</v>
      </c>
      <c r="C1496" s="7" t="s">
        <v>2207</v>
      </c>
      <c r="D1496" s="7" t="s">
        <v>2101</v>
      </c>
      <c r="E1496" s="50" t="s">
        <v>2096</v>
      </c>
      <c r="F1496" s="7" t="s">
        <v>2097</v>
      </c>
      <c r="G1496" s="7" t="s">
        <v>2097</v>
      </c>
      <c r="H1496" s="9" t="n">
        <v>150</v>
      </c>
      <c r="I1496" s="9" t="n">
        <v>29.73</v>
      </c>
      <c r="J1496" s="9" t="n">
        <v>89.2</v>
      </c>
      <c r="K1496" s="52" t="n">
        <v>480</v>
      </c>
      <c r="L1496" s="58" t="n">
        <v>35.9</v>
      </c>
      <c r="M1496" s="59" t="n">
        <v>92.9</v>
      </c>
      <c r="N1496" s="9" t="n">
        <v>1.656502</v>
      </c>
      <c r="O1496" s="8" t="n">
        <v>3.8737</v>
      </c>
      <c r="P1496" s="9" t="n">
        <v>60.8</v>
      </c>
      <c r="Q1496" s="7" t="s">
        <v>2098</v>
      </c>
      <c r="R1496" s="7" t="s">
        <v>2099</v>
      </c>
      <c r="S1496" s="58" t="n">
        <v>0.5</v>
      </c>
      <c r="T1496" s="9" t="n">
        <v>480</v>
      </c>
      <c r="U1496" s="56" t="n">
        <f aca="false">I1496*O1496</f>
        <v>115.165101</v>
      </c>
      <c r="V1496" s="56" t="n">
        <f aca="false">J1496*O1496</f>
        <v>345.53404</v>
      </c>
      <c r="W1496" s="56" t="n">
        <f aca="false">((I1496+J1496)/2)*O1496</f>
        <v>230.3495705</v>
      </c>
      <c r="X1496" s="56" t="n">
        <f aca="false">H1496*O1496</f>
        <v>581.055</v>
      </c>
    </row>
    <row r="1497" customFormat="false" ht="15" hidden="false" customHeight="false" outlineLevel="0" collapsed="false">
      <c r="A1497" s="79" t="s">
        <v>2065</v>
      </c>
      <c r="B1497" s="49" t="s">
        <v>2208</v>
      </c>
      <c r="C1497" s="49" t="s">
        <v>2209</v>
      </c>
      <c r="D1497" s="49" t="s">
        <v>2101</v>
      </c>
      <c r="E1497" s="50" t="s">
        <v>2096</v>
      </c>
      <c r="F1497" s="49" t="s">
        <v>2097</v>
      </c>
      <c r="G1497" s="49" t="s">
        <v>2097</v>
      </c>
      <c r="H1497" s="51" t="n">
        <v>150</v>
      </c>
      <c r="I1497" s="51" t="n">
        <v>15.94</v>
      </c>
      <c r="J1497" s="51" t="n">
        <v>47.81</v>
      </c>
      <c r="K1497" s="52" t="n">
        <v>88.18</v>
      </c>
      <c r="L1497" s="53" t="n">
        <v>18.3</v>
      </c>
      <c r="M1497" s="54" t="n">
        <v>81.6</v>
      </c>
      <c r="N1497" s="51" t="n">
        <v>1.741797</v>
      </c>
      <c r="O1497" s="55" t="n">
        <v>6.81</v>
      </c>
      <c r="P1497" s="51" t="n">
        <v>102.19</v>
      </c>
      <c r="Q1497" s="49" t="s">
        <v>2098</v>
      </c>
      <c r="R1497" s="49" t="s">
        <v>2099</v>
      </c>
      <c r="S1497" s="53" t="n">
        <v>0.5</v>
      </c>
      <c r="T1497" s="51" t="n">
        <v>44.09</v>
      </c>
      <c r="U1497" s="56" t="n">
        <f aca="false">I1497*O1497</f>
        <v>108.5514</v>
      </c>
      <c r="V1497" s="56" t="n">
        <f aca="false">J1497*O1497</f>
        <v>325.5861</v>
      </c>
      <c r="W1497" s="56" t="n">
        <f aca="false">((I1497+J1497)/2)*O1497</f>
        <v>217.06875</v>
      </c>
      <c r="X1497" s="56" t="n">
        <f aca="false">H1497*O1497</f>
        <v>1021.5</v>
      </c>
    </row>
    <row r="1498" customFormat="false" ht="22.35" hidden="false" customHeight="false" outlineLevel="0" collapsed="false">
      <c r="A1498" s="79" t="s">
        <v>2065</v>
      </c>
      <c r="B1498" s="7" t="s">
        <v>3586</v>
      </c>
      <c r="C1498" s="7" t="s">
        <v>3587</v>
      </c>
      <c r="D1498" s="7" t="s">
        <v>2101</v>
      </c>
      <c r="E1498" s="57" t="s">
        <v>2102</v>
      </c>
      <c r="F1498" s="7" t="s">
        <v>2097</v>
      </c>
      <c r="G1498" s="7" t="s">
        <v>2097</v>
      </c>
      <c r="H1498" s="9" t="n">
        <v>262</v>
      </c>
      <c r="I1498" s="9" t="n">
        <v>132.36</v>
      </c>
      <c r="J1498" s="9" t="n">
        <v>397.08</v>
      </c>
      <c r="K1498" s="52" t="n">
        <v>400</v>
      </c>
      <c r="L1498" s="58" t="n">
        <v>24.9</v>
      </c>
      <c r="M1498" s="59" t="n">
        <v>79.4</v>
      </c>
      <c r="N1498" s="9" t="n">
        <v>10.631371</v>
      </c>
      <c r="O1498" s="8" t="n">
        <v>0.65</v>
      </c>
      <c r="P1498" s="9" t="n">
        <v>-135.08</v>
      </c>
      <c r="Q1498" s="7" t="s">
        <v>2103</v>
      </c>
      <c r="R1498" s="7" t="s">
        <v>2099</v>
      </c>
      <c r="S1498" s="58" t="n">
        <v>0.5</v>
      </c>
      <c r="T1498" s="9" t="n">
        <v>50</v>
      </c>
      <c r="U1498" s="56" t="n">
        <f aca="false">I1498*O1498</f>
        <v>86.034</v>
      </c>
      <c r="V1498" s="56" t="n">
        <f aca="false">J1498*O1498</f>
        <v>258.102</v>
      </c>
      <c r="W1498" s="56" t="n">
        <f aca="false">((I1498+J1498)/2)*O1498</f>
        <v>172.068</v>
      </c>
      <c r="X1498" s="56" t="n">
        <f aca="false">H1498*O1498</f>
        <v>170.3</v>
      </c>
    </row>
    <row r="1499" customFormat="false" ht="22.35" hidden="false" customHeight="false" outlineLevel="0" collapsed="false">
      <c r="A1499" s="79" t="s">
        <v>2065</v>
      </c>
      <c r="B1499" s="49" t="s">
        <v>2214</v>
      </c>
      <c r="C1499" s="49" t="s">
        <v>2215</v>
      </c>
      <c r="D1499" s="49" t="s">
        <v>2101</v>
      </c>
      <c r="E1499" s="57" t="s">
        <v>2102</v>
      </c>
      <c r="F1499" s="49" t="s">
        <v>2097</v>
      </c>
      <c r="G1499" s="49" t="s">
        <v>2097</v>
      </c>
      <c r="H1499" s="51" t="n">
        <v>150</v>
      </c>
      <c r="I1499" s="51" t="n">
        <v>105.27</v>
      </c>
      <c r="J1499" s="51" t="n">
        <v>315.82</v>
      </c>
      <c r="K1499" s="52" t="n">
        <v>320</v>
      </c>
      <c r="L1499" s="53" t="n">
        <v>29</v>
      </c>
      <c r="M1499" s="54" t="n">
        <v>73.3</v>
      </c>
      <c r="N1499" s="51" t="n">
        <v>7.260308</v>
      </c>
      <c r="O1499" s="55" t="n">
        <v>6.74</v>
      </c>
      <c r="P1499" s="51" t="n">
        <v>-165.82</v>
      </c>
      <c r="Q1499" s="49" t="s">
        <v>2103</v>
      </c>
      <c r="R1499" s="49" t="s">
        <v>2099</v>
      </c>
      <c r="S1499" s="53" t="n">
        <v>0.5</v>
      </c>
      <c r="T1499" s="51" t="n">
        <v>40</v>
      </c>
      <c r="U1499" s="56" t="n">
        <f aca="false">I1499*O1499</f>
        <v>709.5198</v>
      </c>
      <c r="V1499" s="56" t="n">
        <f aca="false">J1499*O1499</f>
        <v>2128.6268</v>
      </c>
      <c r="W1499" s="56" t="n">
        <f aca="false">((I1499+J1499)/2)*O1499</f>
        <v>1419.0733</v>
      </c>
      <c r="X1499" s="56" t="n">
        <f aca="false">H1499*O1499</f>
        <v>1011</v>
      </c>
    </row>
    <row r="1500" customFormat="false" ht="22.35" hidden="false" customHeight="false" outlineLevel="0" collapsed="false">
      <c r="A1500" s="79" t="s">
        <v>2065</v>
      </c>
      <c r="B1500" s="7" t="s">
        <v>2216</v>
      </c>
      <c r="C1500" s="7" t="s">
        <v>2217</v>
      </c>
      <c r="D1500" s="7" t="s">
        <v>2095</v>
      </c>
      <c r="E1500" s="61" t="s">
        <v>2113</v>
      </c>
      <c r="F1500" s="7" t="s">
        <v>2097</v>
      </c>
      <c r="G1500" s="7" t="s">
        <v>2097</v>
      </c>
      <c r="H1500" s="9" t="n">
        <v>1137</v>
      </c>
      <c r="I1500" s="9" t="n">
        <v>1233.67</v>
      </c>
      <c r="J1500" s="9" t="n">
        <v>2467.34</v>
      </c>
      <c r="K1500" s="52" t="n">
        <v>4254</v>
      </c>
      <c r="L1500" s="58" t="n">
        <v>31</v>
      </c>
      <c r="M1500" s="59" t="n">
        <v>86.7</v>
      </c>
      <c r="N1500" s="9" t="n">
        <v>39.795859</v>
      </c>
      <c r="O1500" s="8" t="n">
        <v>2.28</v>
      </c>
      <c r="P1500" s="9" t="n">
        <v>-1330.34</v>
      </c>
      <c r="Q1500" s="7" t="s">
        <v>2103</v>
      </c>
      <c r="R1500" s="7" t="s">
        <v>2099</v>
      </c>
      <c r="S1500" s="58" t="n">
        <v>1</v>
      </c>
      <c r="T1500" s="9" t="n">
        <v>2127</v>
      </c>
      <c r="U1500" s="56" t="n">
        <f aca="false">I1500*O1500</f>
        <v>2812.7676</v>
      </c>
      <c r="V1500" s="56" t="n">
        <f aca="false">J1500*O1500</f>
        <v>5625.5352</v>
      </c>
      <c r="W1500" s="56" t="n">
        <f aca="false">((I1500+J1500)/2)*O1500</f>
        <v>4219.1514</v>
      </c>
      <c r="X1500" s="56" t="n">
        <f aca="false">H1500*O1500</f>
        <v>2592.36</v>
      </c>
    </row>
    <row r="1501" customFormat="false" ht="22.35" hidden="false" customHeight="false" outlineLevel="0" collapsed="false">
      <c r="A1501" s="79" t="s">
        <v>2065</v>
      </c>
      <c r="B1501" s="62" t="s">
        <v>3590</v>
      </c>
      <c r="C1501" s="62" t="s">
        <v>1838</v>
      </c>
      <c r="D1501" s="62" t="s">
        <v>2101</v>
      </c>
      <c r="E1501" s="63" t="s">
        <v>2169</v>
      </c>
      <c r="F1501" s="64" t="s">
        <v>2170</v>
      </c>
      <c r="G1501" s="62" t="s">
        <v>2097</v>
      </c>
      <c r="H1501" s="65" t="n">
        <v>150</v>
      </c>
      <c r="I1501" s="65" t="n">
        <v>1.9</v>
      </c>
      <c r="J1501" s="65" t="n">
        <v>5.69</v>
      </c>
      <c r="K1501" s="66" t="n">
        <v>420</v>
      </c>
      <c r="L1501" s="67" t="n">
        <v>24.4</v>
      </c>
      <c r="M1501" s="68" t="n">
        <v>88.9</v>
      </c>
      <c r="N1501" s="65" t="n">
        <v>0.142562</v>
      </c>
      <c r="O1501" s="69" t="n">
        <v>3.501</v>
      </c>
      <c r="P1501" s="65" t="n">
        <v>144.31</v>
      </c>
      <c r="Q1501" s="62" t="s">
        <v>2098</v>
      </c>
      <c r="R1501" s="62" t="s">
        <v>3591</v>
      </c>
      <c r="S1501" s="67" t="n">
        <v>0.5</v>
      </c>
      <c r="T1501" s="65" t="n">
        <v>420</v>
      </c>
      <c r="U1501" s="56" t="n">
        <f aca="false">I1501*O1501</f>
        <v>6.6519</v>
      </c>
      <c r="V1501" s="56" t="n">
        <f aca="false">J1501*O1501</f>
        <v>19.92069</v>
      </c>
      <c r="W1501" s="56" t="n">
        <f aca="false">((I1501+J1501)/2)*O1501</f>
        <v>13.286295</v>
      </c>
      <c r="X1501" s="56" t="n">
        <f aca="false">H1501*O1501</f>
        <v>525.15</v>
      </c>
    </row>
    <row r="1502" customFormat="false" ht="22.35" hidden="false" customHeight="false" outlineLevel="0" collapsed="false">
      <c r="A1502" s="79" t="s">
        <v>2065</v>
      </c>
      <c r="B1502" s="7" t="s">
        <v>2224</v>
      </c>
      <c r="C1502" s="7" t="s">
        <v>2225</v>
      </c>
      <c r="D1502" s="7" t="s">
        <v>2095</v>
      </c>
      <c r="E1502" s="61" t="s">
        <v>2113</v>
      </c>
      <c r="F1502" s="7" t="s">
        <v>2097</v>
      </c>
      <c r="G1502" s="7" t="s">
        <v>2097</v>
      </c>
      <c r="H1502" s="9" t="n">
        <v>380</v>
      </c>
      <c r="I1502" s="9" t="n">
        <v>500.77</v>
      </c>
      <c r="J1502" s="9" t="n">
        <v>1001.54</v>
      </c>
      <c r="K1502" s="52" t="n">
        <v>1140</v>
      </c>
      <c r="L1502" s="58" t="n">
        <v>33.2</v>
      </c>
      <c r="M1502" s="59" t="n">
        <v>81.8</v>
      </c>
      <c r="N1502" s="9" t="n">
        <v>15.083364</v>
      </c>
      <c r="O1502" s="8" t="n">
        <v>3.96</v>
      </c>
      <c r="P1502" s="9" t="n">
        <v>-621.54</v>
      </c>
      <c r="Q1502" s="7" t="s">
        <v>2103</v>
      </c>
      <c r="R1502" s="7" t="s">
        <v>2099</v>
      </c>
      <c r="S1502" s="58" t="n">
        <v>1</v>
      </c>
      <c r="T1502" s="9" t="n">
        <v>380</v>
      </c>
      <c r="U1502" s="56" t="n">
        <f aca="false">I1502*O1502</f>
        <v>1983.0492</v>
      </c>
      <c r="V1502" s="56" t="n">
        <f aca="false">J1502*O1502</f>
        <v>3966.0984</v>
      </c>
      <c r="W1502" s="56" t="n">
        <f aca="false">((I1502+J1502)/2)*O1502</f>
        <v>2974.5738</v>
      </c>
      <c r="X1502" s="56" t="n">
        <f aca="false">H1502*O1502</f>
        <v>1504.8</v>
      </c>
    </row>
    <row r="1503" customFormat="false" ht="22.35" hidden="false" customHeight="false" outlineLevel="0" collapsed="false">
      <c r="A1503" s="79" t="s">
        <v>2065</v>
      </c>
      <c r="B1503" s="49" t="s">
        <v>3594</v>
      </c>
      <c r="C1503" s="49" t="s">
        <v>3595</v>
      </c>
      <c r="D1503" s="49" t="s">
        <v>2101</v>
      </c>
      <c r="E1503" s="57" t="s">
        <v>2102</v>
      </c>
      <c r="F1503" s="49" t="s">
        <v>2097</v>
      </c>
      <c r="G1503" s="49" t="s">
        <v>2097</v>
      </c>
      <c r="H1503" s="51" t="n">
        <v>150</v>
      </c>
      <c r="I1503" s="51" t="n">
        <v>103.28</v>
      </c>
      <c r="J1503" s="51" t="n">
        <v>309.84</v>
      </c>
      <c r="K1503" s="52" t="n">
        <v>330</v>
      </c>
      <c r="L1503" s="53" t="n">
        <v>14.1</v>
      </c>
      <c r="M1503" s="54" t="n">
        <v>73.7</v>
      </c>
      <c r="N1503" s="51" t="n">
        <v>14.649644</v>
      </c>
      <c r="O1503" s="55" t="n">
        <v>4.54</v>
      </c>
      <c r="P1503" s="51" t="n">
        <v>-159.84</v>
      </c>
      <c r="Q1503" s="49" t="s">
        <v>2103</v>
      </c>
      <c r="R1503" s="49" t="s">
        <v>2099</v>
      </c>
      <c r="S1503" s="53" t="n">
        <v>0.5</v>
      </c>
      <c r="T1503" s="51" t="n">
        <v>165</v>
      </c>
      <c r="U1503" s="56" t="n">
        <f aca="false">I1503*O1503</f>
        <v>468.8912</v>
      </c>
      <c r="V1503" s="56" t="n">
        <f aca="false">J1503*O1503</f>
        <v>1406.6736</v>
      </c>
      <c r="W1503" s="56" t="n">
        <f aca="false">((I1503+J1503)/2)*O1503</f>
        <v>937.7824</v>
      </c>
      <c r="X1503" s="56" t="n">
        <f aca="false">H1503*O1503</f>
        <v>681</v>
      </c>
    </row>
    <row r="1504" customFormat="false" ht="22.35" hidden="false" customHeight="false" outlineLevel="0" collapsed="false">
      <c r="A1504" s="79" t="s">
        <v>2065</v>
      </c>
      <c r="B1504" s="4" t="s">
        <v>4097</v>
      </c>
      <c r="C1504" s="4" t="s">
        <v>2173</v>
      </c>
      <c r="D1504" s="4" t="s">
        <v>2101</v>
      </c>
      <c r="E1504" s="70" t="s">
        <v>2193</v>
      </c>
      <c r="F1504" s="4" t="s">
        <v>2097</v>
      </c>
      <c r="G1504" s="71" t="s">
        <v>2194</v>
      </c>
      <c r="H1504" s="6" t="n">
        <v>150</v>
      </c>
      <c r="I1504" s="6" t="n">
        <v>0</v>
      </c>
      <c r="J1504" s="6" t="n">
        <v>0</v>
      </c>
      <c r="K1504" s="52" t="n">
        <v>0</v>
      </c>
      <c r="L1504" s="72" t="n">
        <v>17.4</v>
      </c>
      <c r="M1504" s="73" t="n">
        <v>85.7</v>
      </c>
      <c r="N1504" s="6" t="n">
        <v>2.323908</v>
      </c>
      <c r="O1504" s="5" t="n">
        <v>2.24</v>
      </c>
      <c r="P1504" s="6" t="n">
        <v>150</v>
      </c>
      <c r="Q1504" s="4" t="s">
        <v>2098</v>
      </c>
      <c r="R1504" s="4" t="s">
        <v>2195</v>
      </c>
      <c r="S1504" s="72" t="n">
        <v>0</v>
      </c>
      <c r="T1504" s="6" t="n">
        <v>473.99</v>
      </c>
      <c r="U1504" s="56" t="n">
        <f aca="false">I1504*O1504</f>
        <v>0</v>
      </c>
      <c r="V1504" s="56" t="n">
        <f aca="false">J1504*O1504</f>
        <v>0</v>
      </c>
      <c r="W1504" s="56" t="n">
        <f aca="false">((I1504+J1504)/2)*O1504</f>
        <v>0</v>
      </c>
      <c r="X1504" s="56" t="n">
        <f aca="false">H1504*O1504</f>
        <v>336</v>
      </c>
    </row>
    <row r="1505" customFormat="false" ht="22.35" hidden="false" customHeight="false" outlineLevel="0" collapsed="false">
      <c r="A1505" s="79" t="s">
        <v>2065</v>
      </c>
      <c r="B1505" s="49" t="s">
        <v>2226</v>
      </c>
      <c r="C1505" s="49" t="s">
        <v>2227</v>
      </c>
      <c r="D1505" s="49" t="s">
        <v>2101</v>
      </c>
      <c r="E1505" s="57" t="s">
        <v>2102</v>
      </c>
      <c r="F1505" s="49" t="s">
        <v>2097</v>
      </c>
      <c r="G1505" s="49" t="s">
        <v>2097</v>
      </c>
      <c r="H1505" s="51" t="n">
        <v>150</v>
      </c>
      <c r="I1505" s="51" t="n">
        <v>55.46</v>
      </c>
      <c r="J1505" s="51" t="n">
        <v>166.38</v>
      </c>
      <c r="K1505" s="52" t="n">
        <v>220.4</v>
      </c>
      <c r="L1505" s="53" t="n">
        <v>31.4</v>
      </c>
      <c r="M1505" s="54" t="n">
        <v>83.8</v>
      </c>
      <c r="N1505" s="51" t="n">
        <v>3.532432</v>
      </c>
      <c r="O1505" s="55" t="n">
        <v>3.1</v>
      </c>
      <c r="P1505" s="51" t="n">
        <v>-16.38</v>
      </c>
      <c r="Q1505" s="49" t="s">
        <v>2103</v>
      </c>
      <c r="R1505" s="49" t="s">
        <v>2099</v>
      </c>
      <c r="S1505" s="53" t="n">
        <v>0.5</v>
      </c>
      <c r="T1505" s="51" t="n">
        <v>55.1</v>
      </c>
      <c r="U1505" s="56" t="n">
        <f aca="false">I1505*O1505</f>
        <v>171.926</v>
      </c>
      <c r="V1505" s="56" t="n">
        <f aca="false">J1505*O1505</f>
        <v>515.778</v>
      </c>
      <c r="W1505" s="56" t="n">
        <f aca="false">((I1505+J1505)/2)*O1505</f>
        <v>343.852</v>
      </c>
      <c r="X1505" s="56" t="n">
        <f aca="false">H1505*O1505</f>
        <v>465</v>
      </c>
    </row>
    <row r="1506" customFormat="false" ht="15" hidden="false" customHeight="false" outlineLevel="0" collapsed="false">
      <c r="A1506" s="79" t="s">
        <v>2065</v>
      </c>
      <c r="B1506" s="7" t="s">
        <v>2228</v>
      </c>
      <c r="C1506" s="7" t="s">
        <v>1542</v>
      </c>
      <c r="D1506" s="7" t="s">
        <v>2101</v>
      </c>
      <c r="E1506" s="50" t="s">
        <v>2096</v>
      </c>
      <c r="F1506" s="7" t="s">
        <v>2097</v>
      </c>
      <c r="G1506" s="7" t="s">
        <v>2097</v>
      </c>
      <c r="H1506" s="9" t="n">
        <v>150</v>
      </c>
      <c r="I1506" s="9" t="n">
        <v>2.66</v>
      </c>
      <c r="J1506" s="9" t="n">
        <v>7.98</v>
      </c>
      <c r="K1506" s="52" t="n">
        <v>330</v>
      </c>
      <c r="L1506" s="58" t="n">
        <v>24.1</v>
      </c>
      <c r="M1506" s="59" t="n">
        <v>78</v>
      </c>
      <c r="N1506" s="9" t="n">
        <v>0.220922</v>
      </c>
      <c r="O1506" s="8" t="n">
        <v>11.224</v>
      </c>
      <c r="P1506" s="9" t="n">
        <v>142.02</v>
      </c>
      <c r="Q1506" s="7" t="s">
        <v>2098</v>
      </c>
      <c r="R1506" s="7" t="s">
        <v>2099</v>
      </c>
      <c r="S1506" s="58" t="n">
        <v>0.5</v>
      </c>
      <c r="T1506" s="9" t="n">
        <v>330</v>
      </c>
      <c r="U1506" s="56" t="n">
        <f aca="false">I1506*O1506</f>
        <v>29.85584</v>
      </c>
      <c r="V1506" s="56" t="n">
        <f aca="false">J1506*O1506</f>
        <v>89.56752</v>
      </c>
      <c r="W1506" s="56" t="n">
        <f aca="false">((I1506+J1506)/2)*O1506</f>
        <v>59.71168</v>
      </c>
      <c r="X1506" s="56" t="n">
        <f aca="false">H1506*O1506</f>
        <v>1683.6</v>
      </c>
    </row>
    <row r="1507" customFormat="false" ht="15" hidden="false" customHeight="false" outlineLevel="0" collapsed="false">
      <c r="A1507" s="79" t="s">
        <v>2065</v>
      </c>
      <c r="B1507" s="49" t="s">
        <v>2229</v>
      </c>
      <c r="C1507" s="49" t="s">
        <v>2230</v>
      </c>
      <c r="D1507" s="49" t="s">
        <v>2101</v>
      </c>
      <c r="E1507" s="50" t="s">
        <v>2096</v>
      </c>
      <c r="F1507" s="49" t="s">
        <v>2097</v>
      </c>
      <c r="G1507" s="49" t="s">
        <v>2097</v>
      </c>
      <c r="H1507" s="51" t="n">
        <v>150</v>
      </c>
      <c r="I1507" s="51" t="n">
        <v>41.98</v>
      </c>
      <c r="J1507" s="51" t="n">
        <v>125.93</v>
      </c>
      <c r="K1507" s="52" t="n">
        <v>1763</v>
      </c>
      <c r="L1507" s="53" t="n">
        <v>28.3</v>
      </c>
      <c r="M1507" s="54" t="n">
        <v>79.2</v>
      </c>
      <c r="N1507" s="51" t="n">
        <v>2.966563</v>
      </c>
      <c r="O1507" s="55" t="n">
        <v>4.1845</v>
      </c>
      <c r="P1507" s="51" t="n">
        <v>24.07</v>
      </c>
      <c r="Q1507" s="49" t="s">
        <v>2098</v>
      </c>
      <c r="R1507" s="49" t="s">
        <v>2099</v>
      </c>
      <c r="S1507" s="53" t="n">
        <v>0.5</v>
      </c>
      <c r="T1507" s="51" t="n">
        <v>1763</v>
      </c>
      <c r="U1507" s="56" t="n">
        <f aca="false">I1507*O1507</f>
        <v>175.66531</v>
      </c>
      <c r="V1507" s="56" t="n">
        <f aca="false">J1507*O1507</f>
        <v>526.954085</v>
      </c>
      <c r="W1507" s="56" t="n">
        <f aca="false">((I1507+J1507)/2)*O1507</f>
        <v>351.3096975</v>
      </c>
      <c r="X1507" s="56" t="n">
        <f aca="false">H1507*O1507</f>
        <v>627.675</v>
      </c>
    </row>
    <row r="1508" customFormat="false" ht="22.35" hidden="false" customHeight="false" outlineLevel="0" collapsed="false">
      <c r="A1508" s="79" t="s">
        <v>2065</v>
      </c>
      <c r="B1508" s="7" t="s">
        <v>2232</v>
      </c>
      <c r="C1508" s="7" t="s">
        <v>2233</v>
      </c>
      <c r="D1508" s="7" t="s">
        <v>2101</v>
      </c>
      <c r="E1508" s="57" t="s">
        <v>2102</v>
      </c>
      <c r="F1508" s="7" t="s">
        <v>2097</v>
      </c>
      <c r="G1508" s="7" t="s">
        <v>2097</v>
      </c>
      <c r="H1508" s="9" t="n">
        <v>217</v>
      </c>
      <c r="I1508" s="9" t="n">
        <v>300.52</v>
      </c>
      <c r="J1508" s="9" t="n">
        <v>901.56</v>
      </c>
      <c r="K1508" s="52" t="n">
        <v>1200</v>
      </c>
      <c r="L1508" s="58" t="n">
        <v>36.4</v>
      </c>
      <c r="M1508" s="59" t="n">
        <v>71.7</v>
      </c>
      <c r="N1508" s="9" t="n">
        <v>16.512113</v>
      </c>
      <c r="O1508" s="8" t="n">
        <v>3.1</v>
      </c>
      <c r="P1508" s="9" t="n">
        <v>-684.56</v>
      </c>
      <c r="Q1508" s="7" t="s">
        <v>2103</v>
      </c>
      <c r="R1508" s="7" t="s">
        <v>2099</v>
      </c>
      <c r="S1508" s="58" t="n">
        <v>0.5</v>
      </c>
      <c r="T1508" s="9" t="n">
        <v>400</v>
      </c>
      <c r="U1508" s="56" t="n">
        <f aca="false">I1508*O1508</f>
        <v>931.612</v>
      </c>
      <c r="V1508" s="56" t="n">
        <f aca="false">J1508*O1508</f>
        <v>2794.836</v>
      </c>
      <c r="W1508" s="56" t="n">
        <f aca="false">((I1508+J1508)/2)*O1508</f>
        <v>1863.224</v>
      </c>
      <c r="X1508" s="56" t="n">
        <f aca="false">H1508*O1508</f>
        <v>672.7</v>
      </c>
    </row>
    <row r="1509" customFormat="false" ht="22.35" hidden="false" customHeight="false" outlineLevel="0" collapsed="false">
      <c r="A1509" s="79" t="s">
        <v>2065</v>
      </c>
      <c r="B1509" s="49" t="s">
        <v>3603</v>
      </c>
      <c r="C1509" s="49" t="s">
        <v>3604</v>
      </c>
      <c r="D1509" s="49" t="s">
        <v>2101</v>
      </c>
      <c r="E1509" s="57" t="s">
        <v>2102</v>
      </c>
      <c r="F1509" s="49" t="s">
        <v>2097</v>
      </c>
      <c r="G1509" s="49" t="s">
        <v>2097</v>
      </c>
      <c r="H1509" s="51" t="n">
        <v>150</v>
      </c>
      <c r="I1509" s="51" t="n">
        <v>67.43</v>
      </c>
      <c r="J1509" s="51" t="n">
        <v>202.29</v>
      </c>
      <c r="K1509" s="52" t="n">
        <v>420</v>
      </c>
      <c r="L1509" s="53" t="n">
        <v>36.9</v>
      </c>
      <c r="M1509" s="54" t="n">
        <v>28.6</v>
      </c>
      <c r="N1509" s="51" t="n">
        <v>3.654759</v>
      </c>
      <c r="O1509" s="55" t="n">
        <v>1.982</v>
      </c>
      <c r="P1509" s="51" t="n">
        <v>-52.29</v>
      </c>
      <c r="Q1509" s="49" t="s">
        <v>2103</v>
      </c>
      <c r="R1509" s="49" t="s">
        <v>2099</v>
      </c>
      <c r="S1509" s="53" t="n">
        <v>0.5</v>
      </c>
      <c r="T1509" s="51" t="n">
        <v>420</v>
      </c>
      <c r="U1509" s="56" t="n">
        <f aca="false">I1509*O1509</f>
        <v>133.64626</v>
      </c>
      <c r="V1509" s="56" t="n">
        <f aca="false">J1509*O1509</f>
        <v>400.93878</v>
      </c>
      <c r="W1509" s="56" t="n">
        <f aca="false">((I1509+J1509)/2)*O1509</f>
        <v>267.29252</v>
      </c>
      <c r="X1509" s="56" t="n">
        <f aca="false">H1509*O1509</f>
        <v>297.3</v>
      </c>
    </row>
    <row r="1510" customFormat="false" ht="15" hidden="false" customHeight="false" outlineLevel="0" collapsed="false">
      <c r="A1510" s="79" t="s">
        <v>2065</v>
      </c>
      <c r="B1510" s="7" t="s">
        <v>4098</v>
      </c>
      <c r="C1510" s="7" t="s">
        <v>4099</v>
      </c>
      <c r="D1510" s="7" t="s">
        <v>2101</v>
      </c>
      <c r="E1510" s="50" t="s">
        <v>2096</v>
      </c>
      <c r="F1510" s="7" t="s">
        <v>2097</v>
      </c>
      <c r="G1510" s="7" t="s">
        <v>2097</v>
      </c>
      <c r="H1510" s="9" t="n">
        <v>150</v>
      </c>
      <c r="I1510" s="9" t="n">
        <v>12.1</v>
      </c>
      <c r="J1510" s="9" t="n">
        <v>36.3</v>
      </c>
      <c r="K1510" s="52" t="n">
        <v>55.12</v>
      </c>
      <c r="L1510" s="58" t="n">
        <v>25.7</v>
      </c>
      <c r="M1510" s="59" t="n">
        <v>100</v>
      </c>
      <c r="N1510" s="9" t="n">
        <v>0.941693</v>
      </c>
      <c r="O1510" s="8" t="n">
        <v>19.7865</v>
      </c>
      <c r="P1510" s="9" t="n">
        <v>113.7</v>
      </c>
      <c r="Q1510" s="7" t="s">
        <v>2098</v>
      </c>
      <c r="R1510" s="7" t="s">
        <v>2099</v>
      </c>
      <c r="S1510" s="58" t="n">
        <v>0.5</v>
      </c>
      <c r="T1510" s="9" t="n">
        <v>55.12</v>
      </c>
      <c r="U1510" s="56" t="n">
        <f aca="false">I1510*O1510</f>
        <v>239.41665</v>
      </c>
      <c r="V1510" s="56" t="n">
        <f aca="false">J1510*O1510</f>
        <v>718.24995</v>
      </c>
      <c r="W1510" s="56" t="n">
        <f aca="false">((I1510+J1510)/2)*O1510</f>
        <v>478.8333</v>
      </c>
      <c r="X1510" s="56" t="n">
        <f aca="false">H1510*O1510</f>
        <v>2967.975</v>
      </c>
    </row>
    <row r="1511" customFormat="false" ht="15" hidden="false" customHeight="false" outlineLevel="0" collapsed="false">
      <c r="A1511" s="79" t="s">
        <v>2065</v>
      </c>
      <c r="B1511" s="49" t="s">
        <v>2236</v>
      </c>
      <c r="C1511" s="49" t="s">
        <v>2237</v>
      </c>
      <c r="D1511" s="49" t="s">
        <v>2101</v>
      </c>
      <c r="E1511" s="50" t="s">
        <v>2096</v>
      </c>
      <c r="F1511" s="49" t="s">
        <v>2097</v>
      </c>
      <c r="G1511" s="49" t="s">
        <v>2097</v>
      </c>
      <c r="H1511" s="51" t="n">
        <v>150</v>
      </c>
      <c r="I1511" s="51" t="n">
        <v>23.25</v>
      </c>
      <c r="J1511" s="51" t="n">
        <v>69.74</v>
      </c>
      <c r="K1511" s="52" t="n">
        <v>399</v>
      </c>
      <c r="L1511" s="53" t="n">
        <v>34.8</v>
      </c>
      <c r="M1511" s="54" t="n">
        <v>92.3</v>
      </c>
      <c r="N1511" s="51" t="n">
        <v>1.336018</v>
      </c>
      <c r="O1511" s="55" t="n">
        <v>3.2327</v>
      </c>
      <c r="P1511" s="51" t="n">
        <v>80.26</v>
      </c>
      <c r="Q1511" s="49" t="s">
        <v>2098</v>
      </c>
      <c r="R1511" s="49" t="s">
        <v>2099</v>
      </c>
      <c r="S1511" s="53" t="n">
        <v>0.5</v>
      </c>
      <c r="T1511" s="51" t="n">
        <v>399</v>
      </c>
      <c r="U1511" s="56" t="n">
        <f aca="false">I1511*O1511</f>
        <v>75.160275</v>
      </c>
      <c r="V1511" s="56" t="n">
        <f aca="false">J1511*O1511</f>
        <v>225.448498</v>
      </c>
      <c r="W1511" s="56" t="n">
        <f aca="false">((I1511+J1511)/2)*O1511</f>
        <v>150.3043865</v>
      </c>
      <c r="X1511" s="56" t="n">
        <f aca="false">H1511*O1511</f>
        <v>484.905</v>
      </c>
    </row>
    <row r="1512" customFormat="false" ht="22.35" hidden="false" customHeight="false" outlineLevel="0" collapsed="false">
      <c r="A1512" s="79" t="s">
        <v>2065</v>
      </c>
      <c r="B1512" s="7" t="s">
        <v>3608</v>
      </c>
      <c r="C1512" s="7" t="s">
        <v>1497</v>
      </c>
      <c r="D1512" s="7" t="s">
        <v>2101</v>
      </c>
      <c r="E1512" s="57" t="s">
        <v>2102</v>
      </c>
      <c r="F1512" s="7" t="s">
        <v>2097</v>
      </c>
      <c r="G1512" s="7" t="s">
        <v>2097</v>
      </c>
      <c r="H1512" s="9" t="n">
        <v>379</v>
      </c>
      <c r="I1512" s="9" t="n">
        <v>154.07</v>
      </c>
      <c r="J1512" s="9" t="n">
        <v>462.22</v>
      </c>
      <c r="K1512" s="52" t="n">
        <v>480</v>
      </c>
      <c r="L1512" s="58" t="n">
        <v>99</v>
      </c>
      <c r="M1512" s="59" t="n">
        <v>50</v>
      </c>
      <c r="N1512" s="9" t="n">
        <v>3.112577</v>
      </c>
      <c r="O1512" s="8" t="n">
        <v>5.4777</v>
      </c>
      <c r="P1512" s="9" t="n">
        <v>-83.22</v>
      </c>
      <c r="Q1512" s="7" t="s">
        <v>2103</v>
      </c>
      <c r="R1512" s="7" t="s">
        <v>2099</v>
      </c>
      <c r="S1512" s="58" t="n">
        <v>0.5</v>
      </c>
      <c r="T1512" s="9" t="n">
        <v>40</v>
      </c>
      <c r="U1512" s="56" t="n">
        <f aca="false">I1512*O1512</f>
        <v>843.949239</v>
      </c>
      <c r="V1512" s="56" t="n">
        <f aca="false">J1512*O1512</f>
        <v>2531.902494</v>
      </c>
      <c r="W1512" s="56" t="n">
        <f aca="false">((I1512+J1512)/2)*O1512</f>
        <v>1687.9258665</v>
      </c>
      <c r="X1512" s="56" t="n">
        <f aca="false">H1512*O1512</f>
        <v>2076.0483</v>
      </c>
    </row>
    <row r="1513" customFormat="false" ht="22.35" hidden="false" customHeight="false" outlineLevel="0" collapsed="false">
      <c r="A1513" s="79" t="s">
        <v>2065</v>
      </c>
      <c r="B1513" s="4" t="s">
        <v>2238</v>
      </c>
      <c r="C1513" s="4" t="s">
        <v>1547</v>
      </c>
      <c r="D1513" s="4" t="s">
        <v>2101</v>
      </c>
      <c r="E1513" s="70" t="s">
        <v>2193</v>
      </c>
      <c r="F1513" s="4" t="s">
        <v>2097</v>
      </c>
      <c r="G1513" s="71" t="s">
        <v>2194</v>
      </c>
      <c r="H1513" s="6" t="n">
        <v>150</v>
      </c>
      <c r="I1513" s="6" t="n">
        <v>0</v>
      </c>
      <c r="J1513" s="6" t="n">
        <v>0</v>
      </c>
      <c r="K1513" s="52" t="n">
        <v>0</v>
      </c>
      <c r="L1513" s="72" t="n">
        <v>44.7</v>
      </c>
      <c r="M1513" s="73" t="n">
        <v>66.7</v>
      </c>
      <c r="N1513" s="6" t="n">
        <v>0.117784</v>
      </c>
      <c r="O1513" s="5" t="n">
        <v>11.2249</v>
      </c>
      <c r="P1513" s="6" t="n">
        <v>150</v>
      </c>
      <c r="Q1513" s="4" t="s">
        <v>2098</v>
      </c>
      <c r="R1513" s="4" t="s">
        <v>2195</v>
      </c>
      <c r="S1513" s="72" t="n">
        <v>0</v>
      </c>
      <c r="T1513" s="6" t="n">
        <v>55.1</v>
      </c>
      <c r="U1513" s="56" t="n">
        <f aca="false">I1513*O1513</f>
        <v>0</v>
      </c>
      <c r="V1513" s="56" t="n">
        <f aca="false">J1513*O1513</f>
        <v>0</v>
      </c>
      <c r="W1513" s="56" t="n">
        <f aca="false">((I1513+J1513)/2)*O1513</f>
        <v>0</v>
      </c>
      <c r="X1513" s="56" t="n">
        <f aca="false">H1513*O1513</f>
        <v>1683.735</v>
      </c>
    </row>
    <row r="1514" customFormat="false" ht="22.35" hidden="false" customHeight="false" outlineLevel="0" collapsed="false">
      <c r="A1514" s="79" t="s">
        <v>2065</v>
      </c>
      <c r="B1514" s="7" t="s">
        <v>4100</v>
      </c>
      <c r="C1514" s="7" t="s">
        <v>4101</v>
      </c>
      <c r="D1514" s="7" t="s">
        <v>2101</v>
      </c>
      <c r="E1514" s="57" t="s">
        <v>2102</v>
      </c>
      <c r="F1514" s="7" t="s">
        <v>2097</v>
      </c>
      <c r="G1514" s="7" t="s">
        <v>2097</v>
      </c>
      <c r="H1514" s="9" t="n">
        <v>558</v>
      </c>
      <c r="I1514" s="9" t="n">
        <v>471.8</v>
      </c>
      <c r="J1514" s="9" t="n">
        <v>1415.4</v>
      </c>
      <c r="K1514" s="52" t="n">
        <v>1600</v>
      </c>
      <c r="L1514" s="58" t="n">
        <v>53.8</v>
      </c>
      <c r="M1514" s="59" t="n">
        <v>50</v>
      </c>
      <c r="N1514" s="9" t="n">
        <v>17.539075</v>
      </c>
      <c r="O1514" s="8" t="n">
        <v>2.4328</v>
      </c>
      <c r="P1514" s="9" t="n">
        <v>-857.4</v>
      </c>
      <c r="Q1514" s="7" t="s">
        <v>2103</v>
      </c>
      <c r="R1514" s="7" t="s">
        <v>2099</v>
      </c>
      <c r="S1514" s="58" t="n">
        <v>0.5</v>
      </c>
      <c r="T1514" s="9" t="n">
        <v>1600</v>
      </c>
      <c r="U1514" s="56" t="n">
        <f aca="false">I1514*O1514</f>
        <v>1147.79504</v>
      </c>
      <c r="V1514" s="56" t="n">
        <f aca="false">J1514*O1514</f>
        <v>3443.38512</v>
      </c>
      <c r="W1514" s="56" t="n">
        <f aca="false">((I1514+J1514)/2)*O1514</f>
        <v>2295.59008</v>
      </c>
      <c r="X1514" s="56" t="n">
        <f aca="false">H1514*O1514</f>
        <v>1357.5024</v>
      </c>
    </row>
    <row r="1515" customFormat="false" ht="22.35" hidden="false" customHeight="false" outlineLevel="0" collapsed="false">
      <c r="A1515" s="79" t="s">
        <v>2065</v>
      </c>
      <c r="B1515" s="49" t="s">
        <v>2239</v>
      </c>
      <c r="C1515" s="49" t="s">
        <v>2240</v>
      </c>
      <c r="D1515" s="49" t="s">
        <v>2101</v>
      </c>
      <c r="E1515" s="57" t="s">
        <v>2102</v>
      </c>
      <c r="F1515" s="49" t="s">
        <v>2097</v>
      </c>
      <c r="G1515" s="49" t="s">
        <v>2097</v>
      </c>
      <c r="H1515" s="51" t="n">
        <v>150</v>
      </c>
      <c r="I1515" s="51" t="n">
        <v>133.62</v>
      </c>
      <c r="J1515" s="51" t="n">
        <v>400.86</v>
      </c>
      <c r="K1515" s="52" t="n">
        <v>449.74</v>
      </c>
      <c r="L1515" s="53" t="n">
        <v>81.2</v>
      </c>
      <c r="M1515" s="54" t="n">
        <v>100</v>
      </c>
      <c r="N1515" s="51" t="n">
        <v>3.291182</v>
      </c>
      <c r="O1515" s="55" t="n">
        <v>1.9989</v>
      </c>
      <c r="P1515" s="51" t="n">
        <v>-250.86</v>
      </c>
      <c r="Q1515" s="49" t="s">
        <v>2103</v>
      </c>
      <c r="R1515" s="49" t="s">
        <v>2099</v>
      </c>
      <c r="S1515" s="53" t="n">
        <v>0.5</v>
      </c>
      <c r="T1515" s="51" t="n">
        <v>449.74</v>
      </c>
      <c r="U1515" s="56" t="n">
        <f aca="false">I1515*O1515</f>
        <v>267.093018</v>
      </c>
      <c r="V1515" s="56" t="n">
        <f aca="false">J1515*O1515</f>
        <v>801.279054</v>
      </c>
      <c r="W1515" s="56" t="n">
        <f aca="false">((I1515+J1515)/2)*O1515</f>
        <v>534.186036</v>
      </c>
      <c r="X1515" s="56" t="n">
        <f aca="false">H1515*O1515</f>
        <v>299.835</v>
      </c>
    </row>
    <row r="1516" customFormat="false" ht="22.35" hidden="false" customHeight="false" outlineLevel="0" collapsed="false">
      <c r="A1516" s="79" t="s">
        <v>2065</v>
      </c>
      <c r="B1516" s="7" t="s">
        <v>4102</v>
      </c>
      <c r="C1516" s="7" t="s">
        <v>4103</v>
      </c>
      <c r="D1516" s="7" t="s">
        <v>2101</v>
      </c>
      <c r="E1516" s="57" t="s">
        <v>2102</v>
      </c>
      <c r="F1516" s="7" t="s">
        <v>2097</v>
      </c>
      <c r="G1516" s="7" t="s">
        <v>2097</v>
      </c>
      <c r="H1516" s="9" t="n">
        <v>705</v>
      </c>
      <c r="I1516" s="9" t="n">
        <v>710.94</v>
      </c>
      <c r="J1516" s="9" t="n">
        <v>2132.81</v>
      </c>
      <c r="K1516" s="52" t="n">
        <v>2160</v>
      </c>
      <c r="L1516" s="58" t="n">
        <v>56</v>
      </c>
      <c r="M1516" s="59" t="n">
        <v>70</v>
      </c>
      <c r="N1516" s="9" t="n">
        <v>25.390622</v>
      </c>
      <c r="O1516" s="8" t="n">
        <v>5.1688</v>
      </c>
      <c r="P1516" s="9" t="n">
        <v>-1427.81</v>
      </c>
      <c r="Q1516" s="7" t="s">
        <v>2103</v>
      </c>
      <c r="R1516" s="7" t="s">
        <v>2099</v>
      </c>
      <c r="S1516" s="58" t="n">
        <v>0.5</v>
      </c>
      <c r="T1516" s="9" t="n">
        <v>40</v>
      </c>
      <c r="U1516" s="56" t="n">
        <f aca="false">I1516*O1516</f>
        <v>3674.706672</v>
      </c>
      <c r="V1516" s="56" t="n">
        <f aca="false">J1516*O1516</f>
        <v>11024.068328</v>
      </c>
      <c r="W1516" s="56" t="n">
        <f aca="false">((I1516+J1516)/2)*O1516</f>
        <v>7349.3875</v>
      </c>
      <c r="X1516" s="56" t="n">
        <f aca="false">H1516*O1516</f>
        <v>3644.004</v>
      </c>
    </row>
    <row r="1517" customFormat="false" ht="22.35" hidden="false" customHeight="false" outlineLevel="0" collapsed="false">
      <c r="A1517" s="79" t="s">
        <v>2065</v>
      </c>
      <c r="B1517" s="49" t="s">
        <v>4104</v>
      </c>
      <c r="C1517" s="49" t="s">
        <v>4093</v>
      </c>
      <c r="D1517" s="49" t="s">
        <v>2101</v>
      </c>
      <c r="E1517" s="57" t="s">
        <v>2102</v>
      </c>
      <c r="F1517" s="49" t="s">
        <v>2097</v>
      </c>
      <c r="G1517" s="49" t="s">
        <v>2097</v>
      </c>
      <c r="H1517" s="51" t="n">
        <v>553</v>
      </c>
      <c r="I1517" s="51" t="n">
        <v>560.88</v>
      </c>
      <c r="J1517" s="51" t="n">
        <v>1682.63</v>
      </c>
      <c r="K1517" s="52" t="n">
        <v>2646</v>
      </c>
      <c r="L1517" s="53" t="n">
        <v>56.8</v>
      </c>
      <c r="M1517" s="54" t="n">
        <v>58.8</v>
      </c>
      <c r="N1517" s="51" t="n">
        <v>19.749204</v>
      </c>
      <c r="O1517" s="55" t="n">
        <v>20.243</v>
      </c>
      <c r="P1517" s="51" t="n">
        <v>-1129.63</v>
      </c>
      <c r="Q1517" s="49" t="s">
        <v>2103</v>
      </c>
      <c r="R1517" s="49" t="s">
        <v>2099</v>
      </c>
      <c r="S1517" s="53" t="n">
        <v>0.5</v>
      </c>
      <c r="T1517" s="51" t="n">
        <v>2646</v>
      </c>
      <c r="U1517" s="56" t="n">
        <f aca="false">I1517*O1517</f>
        <v>11353.89384</v>
      </c>
      <c r="V1517" s="56" t="n">
        <f aca="false">J1517*O1517</f>
        <v>34061.47909</v>
      </c>
      <c r="W1517" s="56" t="n">
        <f aca="false">((I1517+J1517)/2)*O1517</f>
        <v>22707.686465</v>
      </c>
      <c r="X1517" s="56" t="n">
        <f aca="false">H1517*O1517</f>
        <v>11194.379</v>
      </c>
    </row>
    <row r="1518" customFormat="false" ht="15" hidden="false" customHeight="false" outlineLevel="0" collapsed="false">
      <c r="A1518" s="79" t="s">
        <v>2065</v>
      </c>
      <c r="B1518" s="7" t="s">
        <v>4105</v>
      </c>
      <c r="C1518" s="7" t="s">
        <v>4106</v>
      </c>
      <c r="D1518" s="7" t="s">
        <v>2101</v>
      </c>
      <c r="E1518" s="50" t="s">
        <v>2096</v>
      </c>
      <c r="F1518" s="7" t="s">
        <v>2097</v>
      </c>
      <c r="G1518" s="7" t="s">
        <v>2097</v>
      </c>
      <c r="H1518" s="9" t="n">
        <v>150</v>
      </c>
      <c r="I1518" s="9" t="n">
        <v>43.03</v>
      </c>
      <c r="J1518" s="9" t="n">
        <v>129.08</v>
      </c>
      <c r="K1518" s="52" t="n">
        <v>399.03</v>
      </c>
      <c r="L1518" s="58" t="n">
        <v>28.5</v>
      </c>
      <c r="M1518" s="59" t="n">
        <v>100</v>
      </c>
      <c r="N1518" s="9" t="n">
        <v>3.019466</v>
      </c>
      <c r="O1518" s="8" t="n">
        <v>4.2499</v>
      </c>
      <c r="P1518" s="9" t="n">
        <v>20.92</v>
      </c>
      <c r="Q1518" s="7" t="s">
        <v>2098</v>
      </c>
      <c r="R1518" s="7" t="s">
        <v>2099</v>
      </c>
      <c r="S1518" s="58" t="n">
        <v>0.5</v>
      </c>
      <c r="T1518" s="9" t="n">
        <v>399.03</v>
      </c>
      <c r="U1518" s="56" t="n">
        <f aca="false">I1518*O1518</f>
        <v>182.873197</v>
      </c>
      <c r="V1518" s="56" t="n">
        <f aca="false">J1518*O1518</f>
        <v>548.577092</v>
      </c>
      <c r="W1518" s="56" t="n">
        <f aca="false">((I1518+J1518)/2)*O1518</f>
        <v>365.7251445</v>
      </c>
      <c r="X1518" s="56" t="n">
        <f aca="false">H1518*O1518</f>
        <v>637.485</v>
      </c>
    </row>
    <row r="1519" customFormat="false" ht="15" hidden="false" customHeight="false" outlineLevel="0" collapsed="false">
      <c r="A1519" s="79" t="s">
        <v>2065</v>
      </c>
      <c r="B1519" s="49" t="s">
        <v>3612</v>
      </c>
      <c r="C1519" s="49" t="s">
        <v>1992</v>
      </c>
      <c r="D1519" s="49" t="s">
        <v>2101</v>
      </c>
      <c r="E1519" s="50" t="s">
        <v>2096</v>
      </c>
      <c r="F1519" s="49" t="s">
        <v>2097</v>
      </c>
      <c r="G1519" s="49" t="s">
        <v>2097</v>
      </c>
      <c r="H1519" s="51" t="n">
        <v>275</v>
      </c>
      <c r="I1519" s="51" t="n">
        <v>76.57</v>
      </c>
      <c r="J1519" s="51" t="n">
        <v>229.72</v>
      </c>
      <c r="K1519" s="52" t="n">
        <v>440.9</v>
      </c>
      <c r="L1519" s="53" t="n">
        <v>17.6</v>
      </c>
      <c r="M1519" s="54" t="n">
        <v>100</v>
      </c>
      <c r="N1519" s="51" t="n">
        <v>8.70144</v>
      </c>
      <c r="O1519" s="55" t="n">
        <v>4.67</v>
      </c>
      <c r="P1519" s="51" t="n">
        <v>45.28</v>
      </c>
      <c r="Q1519" s="49" t="s">
        <v>2098</v>
      </c>
      <c r="R1519" s="49" t="s">
        <v>2099</v>
      </c>
      <c r="S1519" s="53" t="n">
        <v>0.5</v>
      </c>
      <c r="T1519" s="51" t="n">
        <v>440.9</v>
      </c>
      <c r="U1519" s="56" t="n">
        <f aca="false">I1519*O1519</f>
        <v>357.5819</v>
      </c>
      <c r="V1519" s="56" t="n">
        <f aca="false">J1519*O1519</f>
        <v>1072.7924</v>
      </c>
      <c r="W1519" s="56" t="n">
        <f aca="false">((I1519+J1519)/2)*O1519</f>
        <v>715.18715</v>
      </c>
      <c r="X1519" s="56" t="n">
        <f aca="false">H1519*O1519</f>
        <v>1284.25</v>
      </c>
    </row>
    <row r="1520" customFormat="false" ht="15" hidden="false" customHeight="false" outlineLevel="0" collapsed="false">
      <c r="A1520" s="79" t="s">
        <v>2065</v>
      </c>
      <c r="B1520" s="7" t="s">
        <v>3613</v>
      </c>
      <c r="C1520" s="7" t="s">
        <v>2356</v>
      </c>
      <c r="D1520" s="7" t="s">
        <v>2101</v>
      </c>
      <c r="E1520" s="50" t="s">
        <v>2096</v>
      </c>
      <c r="F1520" s="7" t="s">
        <v>2097</v>
      </c>
      <c r="G1520" s="7" t="s">
        <v>2097</v>
      </c>
      <c r="H1520" s="9" t="n">
        <v>150</v>
      </c>
      <c r="I1520" s="9" t="n">
        <v>27.26</v>
      </c>
      <c r="J1520" s="9" t="n">
        <v>81.79</v>
      </c>
      <c r="K1520" s="52" t="n">
        <v>100</v>
      </c>
      <c r="L1520" s="58" t="n">
        <v>14</v>
      </c>
      <c r="M1520" s="59" t="n">
        <v>88.1</v>
      </c>
      <c r="N1520" s="9" t="n">
        <v>3.894827</v>
      </c>
      <c r="O1520" s="8" t="n">
        <v>15.6497</v>
      </c>
      <c r="P1520" s="9" t="n">
        <v>68.21</v>
      </c>
      <c r="Q1520" s="7" t="s">
        <v>2098</v>
      </c>
      <c r="R1520" s="7" t="s">
        <v>2099</v>
      </c>
      <c r="S1520" s="58" t="n">
        <v>0.5</v>
      </c>
      <c r="T1520" s="9" t="n">
        <v>50</v>
      </c>
      <c r="U1520" s="56" t="n">
        <f aca="false">I1520*O1520</f>
        <v>426.610822</v>
      </c>
      <c r="V1520" s="56" t="n">
        <f aca="false">J1520*O1520</f>
        <v>1279.988963</v>
      </c>
      <c r="W1520" s="56" t="n">
        <f aca="false">((I1520+J1520)/2)*O1520</f>
        <v>853.2998925</v>
      </c>
      <c r="X1520" s="56" t="n">
        <f aca="false">H1520*O1520</f>
        <v>2347.455</v>
      </c>
    </row>
    <row r="1521" customFormat="false" ht="22.35" hidden="false" customHeight="false" outlineLevel="0" collapsed="false">
      <c r="A1521" s="79" t="s">
        <v>2065</v>
      </c>
      <c r="B1521" s="49" t="s">
        <v>2242</v>
      </c>
      <c r="C1521" s="49" t="s">
        <v>2243</v>
      </c>
      <c r="D1521" s="49" t="s">
        <v>2101</v>
      </c>
      <c r="E1521" s="57" t="s">
        <v>2102</v>
      </c>
      <c r="F1521" s="49" t="s">
        <v>2097</v>
      </c>
      <c r="G1521" s="49" t="s">
        <v>2097</v>
      </c>
      <c r="H1521" s="51" t="n">
        <v>317</v>
      </c>
      <c r="I1521" s="51" t="n">
        <v>411.33</v>
      </c>
      <c r="J1521" s="51" t="n">
        <v>1234</v>
      </c>
      <c r="K1521" s="52" t="n">
        <v>1237.6</v>
      </c>
      <c r="L1521" s="53" t="n">
        <v>80</v>
      </c>
      <c r="M1521" s="54" t="n">
        <v>62.2</v>
      </c>
      <c r="N1521" s="51" t="n">
        <v>10.283315</v>
      </c>
      <c r="O1521" s="55" t="n">
        <v>6.075</v>
      </c>
      <c r="P1521" s="51" t="n">
        <v>-917</v>
      </c>
      <c r="Q1521" s="49" t="s">
        <v>2103</v>
      </c>
      <c r="R1521" s="49" t="s">
        <v>2099</v>
      </c>
      <c r="S1521" s="53" t="n">
        <v>0.5</v>
      </c>
      <c r="T1521" s="51" t="n">
        <v>44.2</v>
      </c>
      <c r="U1521" s="56" t="n">
        <f aca="false">I1521*O1521</f>
        <v>2498.82975</v>
      </c>
      <c r="V1521" s="56" t="n">
        <f aca="false">J1521*O1521</f>
        <v>7496.55</v>
      </c>
      <c r="W1521" s="56" t="n">
        <f aca="false">((I1521+J1521)/2)*O1521</f>
        <v>4997.689875</v>
      </c>
      <c r="X1521" s="56" t="n">
        <f aca="false">H1521*O1521</f>
        <v>1925.775</v>
      </c>
    </row>
    <row r="1522" customFormat="false" ht="22.35" hidden="false" customHeight="false" outlineLevel="0" collapsed="false">
      <c r="A1522" s="79" t="s">
        <v>2065</v>
      </c>
      <c r="B1522" s="4" t="s">
        <v>4107</v>
      </c>
      <c r="C1522" s="4" t="s">
        <v>4108</v>
      </c>
      <c r="D1522" s="4" t="s">
        <v>2101</v>
      </c>
      <c r="E1522" s="70" t="s">
        <v>2193</v>
      </c>
      <c r="F1522" s="4" t="s">
        <v>2097</v>
      </c>
      <c r="G1522" s="71" t="s">
        <v>2194</v>
      </c>
      <c r="H1522" s="6" t="n">
        <v>150</v>
      </c>
      <c r="I1522" s="6" t="n">
        <v>0</v>
      </c>
      <c r="J1522" s="6" t="n">
        <v>0</v>
      </c>
      <c r="K1522" s="52" t="n">
        <v>0</v>
      </c>
      <c r="L1522" s="72" t="n">
        <v>16.8</v>
      </c>
      <c r="M1522" s="73" t="n">
        <v>83.3</v>
      </c>
      <c r="N1522" s="6" t="n">
        <v>0.320072</v>
      </c>
      <c r="O1522" s="5" t="n">
        <v>4.9667</v>
      </c>
      <c r="P1522" s="6" t="n">
        <v>150</v>
      </c>
      <c r="Q1522" s="4" t="s">
        <v>2098</v>
      </c>
      <c r="R1522" s="4" t="s">
        <v>2195</v>
      </c>
      <c r="S1522" s="72" t="n">
        <v>0</v>
      </c>
      <c r="T1522" s="6" t="n">
        <v>40</v>
      </c>
      <c r="U1522" s="56" t="n">
        <f aca="false">I1522*O1522</f>
        <v>0</v>
      </c>
      <c r="V1522" s="56" t="n">
        <f aca="false">J1522*O1522</f>
        <v>0</v>
      </c>
      <c r="W1522" s="56" t="n">
        <f aca="false">((I1522+J1522)/2)*O1522</f>
        <v>0</v>
      </c>
      <c r="X1522" s="56" t="n">
        <f aca="false">H1522*O1522</f>
        <v>745.005</v>
      </c>
    </row>
    <row r="1523" customFormat="false" ht="22.35" hidden="false" customHeight="false" outlineLevel="0" collapsed="false">
      <c r="A1523" s="79" t="s">
        <v>2065</v>
      </c>
      <c r="B1523" s="49" t="s">
        <v>2244</v>
      </c>
      <c r="C1523" s="49" t="s">
        <v>2245</v>
      </c>
      <c r="D1523" s="49" t="s">
        <v>2095</v>
      </c>
      <c r="E1523" s="61" t="s">
        <v>2113</v>
      </c>
      <c r="F1523" s="49" t="s">
        <v>2097</v>
      </c>
      <c r="G1523" s="49" t="s">
        <v>2097</v>
      </c>
      <c r="H1523" s="51" t="n">
        <v>150</v>
      </c>
      <c r="I1523" s="51" t="n">
        <v>143.21</v>
      </c>
      <c r="J1523" s="51" t="n">
        <v>286.42</v>
      </c>
      <c r="K1523" s="52" t="n">
        <v>2204</v>
      </c>
      <c r="L1523" s="53" t="n">
        <v>21.4</v>
      </c>
      <c r="M1523" s="54" t="n">
        <v>77.4</v>
      </c>
      <c r="N1523" s="51" t="n">
        <v>6.691865</v>
      </c>
      <c r="O1523" s="55" t="n">
        <v>1.3465</v>
      </c>
      <c r="P1523" s="51" t="n">
        <v>-136.42</v>
      </c>
      <c r="Q1523" s="49" t="s">
        <v>2103</v>
      </c>
      <c r="R1523" s="49" t="s">
        <v>2099</v>
      </c>
      <c r="S1523" s="53" t="n">
        <v>1</v>
      </c>
      <c r="T1523" s="51" t="n">
        <v>2204</v>
      </c>
      <c r="U1523" s="56" t="n">
        <f aca="false">I1523*O1523</f>
        <v>192.832265</v>
      </c>
      <c r="V1523" s="56" t="n">
        <f aca="false">J1523*O1523</f>
        <v>385.66453</v>
      </c>
      <c r="W1523" s="56" t="n">
        <f aca="false">((I1523+J1523)/2)*O1523</f>
        <v>289.2483975</v>
      </c>
      <c r="X1523" s="56" t="n">
        <f aca="false">H1523*O1523</f>
        <v>201.975</v>
      </c>
    </row>
    <row r="1524" customFormat="false" ht="15" hidden="false" customHeight="false" outlineLevel="0" collapsed="false">
      <c r="A1524" s="79" t="s">
        <v>2065</v>
      </c>
      <c r="B1524" s="7" t="s">
        <v>3618</v>
      </c>
      <c r="C1524" s="7" t="s">
        <v>3544</v>
      </c>
      <c r="D1524" s="7" t="s">
        <v>2101</v>
      </c>
      <c r="E1524" s="50" t="s">
        <v>2096</v>
      </c>
      <c r="F1524" s="7" t="s">
        <v>2097</v>
      </c>
      <c r="G1524" s="7" t="s">
        <v>2097</v>
      </c>
      <c r="H1524" s="9" t="n">
        <v>150</v>
      </c>
      <c r="I1524" s="9" t="n">
        <v>17.18</v>
      </c>
      <c r="J1524" s="9" t="n">
        <v>51.53</v>
      </c>
      <c r="K1524" s="52" t="n">
        <v>110</v>
      </c>
      <c r="L1524" s="58" t="n">
        <v>28.8</v>
      </c>
      <c r="M1524" s="59" t="n">
        <v>87.5</v>
      </c>
      <c r="N1524" s="9" t="n">
        <v>1.192762</v>
      </c>
      <c r="O1524" s="8" t="n">
        <v>9.947</v>
      </c>
      <c r="P1524" s="9" t="n">
        <v>98.47</v>
      </c>
      <c r="Q1524" s="7" t="s">
        <v>2098</v>
      </c>
      <c r="R1524" s="7" t="s">
        <v>2099</v>
      </c>
      <c r="S1524" s="58" t="n">
        <v>0.5</v>
      </c>
      <c r="T1524" s="9" t="n">
        <v>110</v>
      </c>
      <c r="U1524" s="56" t="n">
        <f aca="false">I1524*O1524</f>
        <v>170.88946</v>
      </c>
      <c r="V1524" s="56" t="n">
        <f aca="false">J1524*O1524</f>
        <v>512.56891</v>
      </c>
      <c r="W1524" s="56" t="n">
        <f aca="false">((I1524+J1524)/2)*O1524</f>
        <v>341.729185</v>
      </c>
      <c r="X1524" s="56" t="n">
        <f aca="false">H1524*O1524</f>
        <v>1492.05</v>
      </c>
    </row>
    <row r="1525" customFormat="false" ht="22.35" hidden="false" customHeight="false" outlineLevel="0" collapsed="false">
      <c r="A1525" s="79" t="s">
        <v>2065</v>
      </c>
      <c r="B1525" s="49" t="s">
        <v>4109</v>
      </c>
      <c r="C1525" s="49" t="s">
        <v>2215</v>
      </c>
      <c r="D1525" s="49" t="s">
        <v>2101</v>
      </c>
      <c r="E1525" s="57" t="s">
        <v>2102</v>
      </c>
      <c r="F1525" s="49" t="s">
        <v>2097</v>
      </c>
      <c r="G1525" s="49" t="s">
        <v>2097</v>
      </c>
      <c r="H1525" s="51" t="n">
        <v>450</v>
      </c>
      <c r="I1525" s="51" t="n">
        <v>219.67</v>
      </c>
      <c r="J1525" s="51" t="n">
        <v>659</v>
      </c>
      <c r="K1525" s="52" t="n">
        <v>680</v>
      </c>
      <c r="L1525" s="53" t="n">
        <v>31.1</v>
      </c>
      <c r="M1525" s="54" t="n">
        <v>82.4</v>
      </c>
      <c r="N1525" s="51" t="n">
        <v>14.126447</v>
      </c>
      <c r="O1525" s="55" t="n">
        <v>5.04</v>
      </c>
      <c r="P1525" s="51" t="n">
        <v>-209</v>
      </c>
      <c r="Q1525" s="49" t="s">
        <v>2103</v>
      </c>
      <c r="R1525" s="49" t="s">
        <v>2099</v>
      </c>
      <c r="S1525" s="53" t="n">
        <v>0.5</v>
      </c>
      <c r="T1525" s="51" t="n">
        <v>40</v>
      </c>
      <c r="U1525" s="56" t="n">
        <f aca="false">I1525*O1525</f>
        <v>1107.1368</v>
      </c>
      <c r="V1525" s="56" t="n">
        <f aca="false">J1525*O1525</f>
        <v>3321.36</v>
      </c>
      <c r="W1525" s="56" t="n">
        <f aca="false">((I1525+J1525)/2)*O1525</f>
        <v>2214.2484</v>
      </c>
      <c r="X1525" s="56" t="n">
        <f aca="false">H1525*O1525</f>
        <v>2268</v>
      </c>
    </row>
    <row r="1526" customFormat="false" ht="15" hidden="false" customHeight="false" outlineLevel="0" collapsed="false">
      <c r="A1526" s="79" t="s">
        <v>2065</v>
      </c>
      <c r="B1526" s="7" t="s">
        <v>3620</v>
      </c>
      <c r="C1526" s="7" t="s">
        <v>3621</v>
      </c>
      <c r="D1526" s="7" t="s">
        <v>2101</v>
      </c>
      <c r="E1526" s="50" t="s">
        <v>2096</v>
      </c>
      <c r="F1526" s="7" t="s">
        <v>2097</v>
      </c>
      <c r="G1526" s="7" t="s">
        <v>2097</v>
      </c>
      <c r="H1526" s="9" t="n">
        <v>150</v>
      </c>
      <c r="I1526" s="9" t="n">
        <v>6.04</v>
      </c>
      <c r="J1526" s="9" t="n">
        <v>18.13</v>
      </c>
      <c r="K1526" s="52" t="n">
        <v>40</v>
      </c>
      <c r="L1526" s="58" t="n">
        <v>20.8</v>
      </c>
      <c r="M1526" s="59" t="n">
        <v>56.2</v>
      </c>
      <c r="N1526" s="9" t="n">
        <v>0.581058</v>
      </c>
      <c r="O1526" s="8" t="n">
        <v>16.7912</v>
      </c>
      <c r="P1526" s="9" t="n">
        <v>131.87</v>
      </c>
      <c r="Q1526" s="7" t="s">
        <v>2098</v>
      </c>
      <c r="R1526" s="7" t="s">
        <v>2099</v>
      </c>
      <c r="S1526" s="58" t="n">
        <v>0.5</v>
      </c>
      <c r="T1526" s="9" t="n">
        <v>40</v>
      </c>
      <c r="U1526" s="56" t="n">
        <f aca="false">I1526*O1526</f>
        <v>101.418848</v>
      </c>
      <c r="V1526" s="56" t="n">
        <f aca="false">J1526*O1526</f>
        <v>304.424456</v>
      </c>
      <c r="W1526" s="56" t="n">
        <f aca="false">((I1526+J1526)/2)*O1526</f>
        <v>202.921652</v>
      </c>
      <c r="X1526" s="56" t="n">
        <f aca="false">H1526*O1526</f>
        <v>2518.68</v>
      </c>
    </row>
    <row r="1527" customFormat="false" ht="15" hidden="false" customHeight="false" outlineLevel="0" collapsed="false">
      <c r="A1527" s="79" t="s">
        <v>2065</v>
      </c>
      <c r="B1527" s="49" t="s">
        <v>4110</v>
      </c>
      <c r="C1527" s="49" t="s">
        <v>2207</v>
      </c>
      <c r="D1527" s="49" t="s">
        <v>2101</v>
      </c>
      <c r="E1527" s="50" t="s">
        <v>2096</v>
      </c>
      <c r="F1527" s="49" t="s">
        <v>2097</v>
      </c>
      <c r="G1527" s="49" t="s">
        <v>2097</v>
      </c>
      <c r="H1527" s="51" t="n">
        <v>150</v>
      </c>
      <c r="I1527" s="51" t="n">
        <v>35.67</v>
      </c>
      <c r="J1527" s="51" t="n">
        <v>107.02</v>
      </c>
      <c r="K1527" s="52" t="n">
        <v>400</v>
      </c>
      <c r="L1527" s="53" t="n">
        <v>23.9</v>
      </c>
      <c r="M1527" s="54" t="n">
        <v>71.4</v>
      </c>
      <c r="N1527" s="51" t="n">
        <v>2.985276</v>
      </c>
      <c r="O1527" s="55" t="n">
        <v>8.9908</v>
      </c>
      <c r="P1527" s="51" t="n">
        <v>42.98</v>
      </c>
      <c r="Q1527" s="49" t="s">
        <v>2098</v>
      </c>
      <c r="R1527" s="49" t="s">
        <v>2099</v>
      </c>
      <c r="S1527" s="53" t="n">
        <v>0.5</v>
      </c>
      <c r="T1527" s="51" t="n">
        <v>400</v>
      </c>
      <c r="U1527" s="56" t="n">
        <f aca="false">I1527*O1527</f>
        <v>320.701836</v>
      </c>
      <c r="V1527" s="56" t="n">
        <f aca="false">J1527*O1527</f>
        <v>962.195416</v>
      </c>
      <c r="W1527" s="56" t="n">
        <f aca="false">((I1527+J1527)/2)*O1527</f>
        <v>641.448626</v>
      </c>
      <c r="X1527" s="56" t="n">
        <f aca="false">H1527*O1527</f>
        <v>1348.62</v>
      </c>
    </row>
    <row r="1528" customFormat="false" ht="15" hidden="false" customHeight="false" outlineLevel="0" collapsed="false">
      <c r="A1528" s="79" t="s">
        <v>2065</v>
      </c>
      <c r="B1528" s="7" t="s">
        <v>3622</v>
      </c>
      <c r="C1528" s="7" t="s">
        <v>3623</v>
      </c>
      <c r="D1528" s="7" t="s">
        <v>2101</v>
      </c>
      <c r="E1528" s="50" t="s">
        <v>2096</v>
      </c>
      <c r="F1528" s="7" t="s">
        <v>2097</v>
      </c>
      <c r="G1528" s="7" t="s">
        <v>2097</v>
      </c>
      <c r="H1528" s="9" t="n">
        <v>150</v>
      </c>
      <c r="I1528" s="9" t="n">
        <v>37.12</v>
      </c>
      <c r="J1528" s="9" t="n">
        <v>111.37</v>
      </c>
      <c r="K1528" s="52" t="n">
        <v>150</v>
      </c>
      <c r="L1528" s="58" t="n">
        <v>19.6</v>
      </c>
      <c r="M1528" s="59" t="n">
        <v>84.6</v>
      </c>
      <c r="N1528" s="9" t="n">
        <v>3.788139</v>
      </c>
      <c r="O1528" s="8" t="n">
        <v>1.9317</v>
      </c>
      <c r="P1528" s="9" t="n">
        <v>38.63</v>
      </c>
      <c r="Q1528" s="7" t="s">
        <v>2098</v>
      </c>
      <c r="R1528" s="7" t="s">
        <v>2099</v>
      </c>
      <c r="S1528" s="58" t="n">
        <v>0.5</v>
      </c>
      <c r="T1528" s="9" t="n">
        <v>50</v>
      </c>
      <c r="U1528" s="56" t="n">
        <f aca="false">I1528*O1528</f>
        <v>71.704704</v>
      </c>
      <c r="V1528" s="56" t="n">
        <f aca="false">J1528*O1528</f>
        <v>215.133429</v>
      </c>
      <c r="W1528" s="56" t="n">
        <f aca="false">((I1528+J1528)/2)*O1528</f>
        <v>143.4190665</v>
      </c>
      <c r="X1528" s="56" t="n">
        <f aca="false">H1528*O1528</f>
        <v>289.755</v>
      </c>
    </row>
    <row r="1529" customFormat="false" ht="15" hidden="false" customHeight="false" outlineLevel="0" collapsed="false">
      <c r="A1529" s="79" t="s">
        <v>2065</v>
      </c>
      <c r="B1529" s="49" t="s">
        <v>2252</v>
      </c>
      <c r="C1529" s="49" t="s">
        <v>1628</v>
      </c>
      <c r="D1529" s="49" t="s">
        <v>2101</v>
      </c>
      <c r="E1529" s="50" t="s">
        <v>2096</v>
      </c>
      <c r="F1529" s="49" t="s">
        <v>2097</v>
      </c>
      <c r="G1529" s="49" t="s">
        <v>2097</v>
      </c>
      <c r="H1529" s="51" t="n">
        <v>150</v>
      </c>
      <c r="I1529" s="51" t="n">
        <v>32.77</v>
      </c>
      <c r="J1529" s="51" t="n">
        <v>98.31</v>
      </c>
      <c r="K1529" s="52" t="n">
        <v>412.5</v>
      </c>
      <c r="L1529" s="53" t="n">
        <v>37.5</v>
      </c>
      <c r="M1529" s="54" t="n">
        <v>82.6</v>
      </c>
      <c r="N1529" s="51" t="n">
        <v>1.747659</v>
      </c>
      <c r="O1529" s="55" t="n">
        <v>2.64</v>
      </c>
      <c r="P1529" s="51" t="n">
        <v>51.69</v>
      </c>
      <c r="Q1529" s="49" t="s">
        <v>2098</v>
      </c>
      <c r="R1529" s="49" t="s">
        <v>2099</v>
      </c>
      <c r="S1529" s="53" t="n">
        <v>0.5</v>
      </c>
      <c r="T1529" s="51" t="n">
        <v>412.5</v>
      </c>
      <c r="U1529" s="56" t="n">
        <f aca="false">I1529*O1529</f>
        <v>86.5128</v>
      </c>
      <c r="V1529" s="56" t="n">
        <f aca="false">J1529*O1529</f>
        <v>259.5384</v>
      </c>
      <c r="W1529" s="56" t="n">
        <f aca="false">((I1529+J1529)/2)*O1529</f>
        <v>173.0256</v>
      </c>
      <c r="X1529" s="56" t="n">
        <f aca="false">H1529*O1529</f>
        <v>396</v>
      </c>
    </row>
    <row r="1530" customFormat="false" ht="15" hidden="false" customHeight="false" outlineLevel="0" collapsed="false">
      <c r="A1530" s="79" t="s">
        <v>2065</v>
      </c>
      <c r="B1530" s="7" t="s">
        <v>2253</v>
      </c>
      <c r="C1530" s="7" t="s">
        <v>2254</v>
      </c>
      <c r="D1530" s="7" t="s">
        <v>2101</v>
      </c>
      <c r="E1530" s="50" t="s">
        <v>2096</v>
      </c>
      <c r="F1530" s="7" t="s">
        <v>2097</v>
      </c>
      <c r="G1530" s="7" t="s">
        <v>2097</v>
      </c>
      <c r="H1530" s="9" t="n">
        <v>150</v>
      </c>
      <c r="I1530" s="9" t="n">
        <v>19.11</v>
      </c>
      <c r="J1530" s="9" t="n">
        <v>57.32</v>
      </c>
      <c r="K1530" s="52" t="n">
        <v>374.7</v>
      </c>
      <c r="L1530" s="58" t="n">
        <v>45.6</v>
      </c>
      <c r="M1530" s="59" t="n">
        <v>68.4</v>
      </c>
      <c r="N1530" s="9" t="n">
        <v>0.838018</v>
      </c>
      <c r="O1530" s="8" t="n">
        <v>10.29</v>
      </c>
      <c r="P1530" s="9" t="n">
        <v>92.68</v>
      </c>
      <c r="Q1530" s="7" t="s">
        <v>2098</v>
      </c>
      <c r="R1530" s="7" t="s">
        <v>2099</v>
      </c>
      <c r="S1530" s="58" t="n">
        <v>0.5</v>
      </c>
      <c r="T1530" s="9" t="n">
        <v>374.7</v>
      </c>
      <c r="U1530" s="56" t="n">
        <f aca="false">I1530*O1530</f>
        <v>196.6419</v>
      </c>
      <c r="V1530" s="56" t="n">
        <f aca="false">J1530*O1530</f>
        <v>589.8228</v>
      </c>
      <c r="W1530" s="56" t="n">
        <f aca="false">((I1530+J1530)/2)*O1530</f>
        <v>393.23235</v>
      </c>
      <c r="X1530" s="56" t="n">
        <f aca="false">H1530*O1530</f>
        <v>1543.5</v>
      </c>
    </row>
    <row r="1531" customFormat="false" ht="22.35" hidden="false" customHeight="false" outlineLevel="0" collapsed="false">
      <c r="A1531" s="79" t="s">
        <v>2065</v>
      </c>
      <c r="B1531" s="49" t="s">
        <v>2255</v>
      </c>
      <c r="C1531" s="49" t="s">
        <v>2173</v>
      </c>
      <c r="D1531" s="49" t="s">
        <v>2101</v>
      </c>
      <c r="E1531" s="57" t="s">
        <v>2102</v>
      </c>
      <c r="F1531" s="49" t="s">
        <v>2097</v>
      </c>
      <c r="G1531" s="49" t="s">
        <v>2097</v>
      </c>
      <c r="H1531" s="51" t="n">
        <v>215</v>
      </c>
      <c r="I1531" s="51" t="n">
        <v>94.08</v>
      </c>
      <c r="J1531" s="51" t="n">
        <v>282.24</v>
      </c>
      <c r="K1531" s="52" t="n">
        <v>400</v>
      </c>
      <c r="L1531" s="53" t="n">
        <v>33.6</v>
      </c>
      <c r="M1531" s="54" t="n">
        <v>72.1</v>
      </c>
      <c r="N1531" s="51" t="n">
        <v>5.600073</v>
      </c>
      <c r="O1531" s="55" t="n">
        <v>4.56</v>
      </c>
      <c r="P1531" s="51" t="n">
        <v>-67.24</v>
      </c>
      <c r="Q1531" s="49" t="s">
        <v>2103</v>
      </c>
      <c r="R1531" s="49" t="s">
        <v>2099</v>
      </c>
      <c r="S1531" s="53" t="n">
        <v>0.5</v>
      </c>
      <c r="T1531" s="51" t="n">
        <v>400</v>
      </c>
      <c r="U1531" s="56" t="n">
        <f aca="false">I1531*O1531</f>
        <v>429.0048</v>
      </c>
      <c r="V1531" s="56" t="n">
        <f aca="false">J1531*O1531</f>
        <v>1287.0144</v>
      </c>
      <c r="W1531" s="56" t="n">
        <f aca="false">((I1531+J1531)/2)*O1531</f>
        <v>858.0096</v>
      </c>
      <c r="X1531" s="56" t="n">
        <f aca="false">H1531*O1531</f>
        <v>980.4</v>
      </c>
    </row>
    <row r="1532" customFormat="false" ht="15" hidden="false" customHeight="false" outlineLevel="0" collapsed="false">
      <c r="A1532" s="79" t="s">
        <v>2065</v>
      </c>
      <c r="B1532" s="7" t="s">
        <v>3634</v>
      </c>
      <c r="C1532" s="7" t="s">
        <v>3635</v>
      </c>
      <c r="D1532" s="7" t="s">
        <v>2101</v>
      </c>
      <c r="E1532" s="50" t="s">
        <v>2096</v>
      </c>
      <c r="F1532" s="7" t="s">
        <v>2097</v>
      </c>
      <c r="G1532" s="7" t="s">
        <v>2097</v>
      </c>
      <c r="H1532" s="9" t="n">
        <v>150</v>
      </c>
      <c r="I1532" s="9" t="n">
        <v>22.65</v>
      </c>
      <c r="J1532" s="9" t="n">
        <v>67.95</v>
      </c>
      <c r="K1532" s="52" t="n">
        <v>992.07</v>
      </c>
      <c r="L1532" s="58" t="n">
        <v>14.9</v>
      </c>
      <c r="M1532" s="59" t="n">
        <v>53.3</v>
      </c>
      <c r="N1532" s="9" t="n">
        <v>3.040087</v>
      </c>
      <c r="O1532" s="8" t="n">
        <v>3.94</v>
      </c>
      <c r="P1532" s="9" t="n">
        <v>82.05</v>
      </c>
      <c r="Q1532" s="7" t="s">
        <v>2098</v>
      </c>
      <c r="R1532" s="7" t="s">
        <v>2099</v>
      </c>
      <c r="S1532" s="58" t="n">
        <v>0.5</v>
      </c>
      <c r="T1532" s="9" t="n">
        <v>992.07</v>
      </c>
      <c r="U1532" s="56" t="n">
        <f aca="false">I1532*O1532</f>
        <v>89.241</v>
      </c>
      <c r="V1532" s="56" t="n">
        <f aca="false">J1532*O1532</f>
        <v>267.723</v>
      </c>
      <c r="W1532" s="56" t="n">
        <f aca="false">((I1532+J1532)/2)*O1532</f>
        <v>178.482</v>
      </c>
      <c r="X1532" s="56" t="n">
        <f aca="false">H1532*O1532</f>
        <v>591</v>
      </c>
    </row>
    <row r="1533" customFormat="false" ht="15" hidden="false" customHeight="false" outlineLevel="0" collapsed="false">
      <c r="A1533" s="79" t="s">
        <v>2065</v>
      </c>
      <c r="B1533" s="49" t="s">
        <v>4111</v>
      </c>
      <c r="C1533" s="49" t="s">
        <v>4112</v>
      </c>
      <c r="D1533" s="49" t="s">
        <v>2101</v>
      </c>
      <c r="E1533" s="50" t="s">
        <v>2096</v>
      </c>
      <c r="F1533" s="49" t="s">
        <v>2097</v>
      </c>
      <c r="G1533" s="49" t="s">
        <v>2097</v>
      </c>
      <c r="H1533" s="51" t="n">
        <v>150</v>
      </c>
      <c r="I1533" s="51" t="n">
        <v>49.58</v>
      </c>
      <c r="J1533" s="51" t="n">
        <v>148.74</v>
      </c>
      <c r="K1533" s="52" t="n">
        <v>441</v>
      </c>
      <c r="L1533" s="53" t="n">
        <v>23.6</v>
      </c>
      <c r="M1533" s="54" t="n">
        <v>80</v>
      </c>
      <c r="N1533" s="51" t="n">
        <v>4.201647</v>
      </c>
      <c r="O1533" s="55" t="n">
        <v>4.0793</v>
      </c>
      <c r="P1533" s="51" t="n">
        <v>1.26</v>
      </c>
      <c r="Q1533" s="49" t="s">
        <v>2098</v>
      </c>
      <c r="R1533" s="49" t="s">
        <v>2099</v>
      </c>
      <c r="S1533" s="53" t="n">
        <v>0.5</v>
      </c>
      <c r="T1533" s="51" t="n">
        <v>441</v>
      </c>
      <c r="U1533" s="56" t="n">
        <f aca="false">I1533*O1533</f>
        <v>202.251694</v>
      </c>
      <c r="V1533" s="56" t="n">
        <f aca="false">J1533*O1533</f>
        <v>606.755082</v>
      </c>
      <c r="W1533" s="56" t="n">
        <f aca="false">((I1533+J1533)/2)*O1533</f>
        <v>404.503388</v>
      </c>
      <c r="X1533" s="56" t="n">
        <f aca="false">H1533*O1533</f>
        <v>611.895</v>
      </c>
    </row>
    <row r="1534" customFormat="false" ht="22.35" hidden="false" customHeight="false" outlineLevel="0" collapsed="false">
      <c r="A1534" s="79" t="s">
        <v>2065</v>
      </c>
      <c r="B1534" s="7" t="s">
        <v>2256</v>
      </c>
      <c r="C1534" s="7" t="s">
        <v>1617</v>
      </c>
      <c r="D1534" s="7" t="s">
        <v>2101</v>
      </c>
      <c r="E1534" s="57" t="s">
        <v>2102</v>
      </c>
      <c r="F1534" s="7" t="s">
        <v>2097</v>
      </c>
      <c r="G1534" s="7" t="s">
        <v>2097</v>
      </c>
      <c r="H1534" s="9" t="n">
        <v>373</v>
      </c>
      <c r="I1534" s="9" t="n">
        <v>182.35</v>
      </c>
      <c r="J1534" s="9" t="n">
        <v>547.05</v>
      </c>
      <c r="K1534" s="52" t="n">
        <v>661.2</v>
      </c>
      <c r="L1534" s="58" t="n">
        <v>32.3</v>
      </c>
      <c r="M1534" s="59" t="n">
        <v>83.3</v>
      </c>
      <c r="N1534" s="9" t="n">
        <v>11.291142</v>
      </c>
      <c r="O1534" s="8" t="n">
        <v>10.099</v>
      </c>
      <c r="P1534" s="9" t="n">
        <v>-174.05</v>
      </c>
      <c r="Q1534" s="7" t="s">
        <v>2103</v>
      </c>
      <c r="R1534" s="7" t="s">
        <v>2099</v>
      </c>
      <c r="S1534" s="58" t="n">
        <v>0.5</v>
      </c>
      <c r="T1534" s="9" t="n">
        <v>330.6</v>
      </c>
      <c r="U1534" s="56" t="n">
        <f aca="false">I1534*O1534</f>
        <v>1841.55265</v>
      </c>
      <c r="V1534" s="56" t="n">
        <f aca="false">J1534*O1534</f>
        <v>5524.65795</v>
      </c>
      <c r="W1534" s="56" t="n">
        <f aca="false">((I1534+J1534)/2)*O1534</f>
        <v>3683.1053</v>
      </c>
      <c r="X1534" s="56" t="n">
        <f aca="false">H1534*O1534</f>
        <v>3766.927</v>
      </c>
    </row>
    <row r="1535" customFormat="false" ht="15" hidden="false" customHeight="false" outlineLevel="0" collapsed="false">
      <c r="A1535" s="79" t="s">
        <v>2065</v>
      </c>
      <c r="B1535" s="49" t="s">
        <v>2259</v>
      </c>
      <c r="C1535" s="49" t="s">
        <v>2192</v>
      </c>
      <c r="D1535" s="49" t="s">
        <v>2101</v>
      </c>
      <c r="E1535" s="50" t="s">
        <v>2096</v>
      </c>
      <c r="F1535" s="49" t="s">
        <v>2097</v>
      </c>
      <c r="G1535" s="49" t="s">
        <v>2097</v>
      </c>
      <c r="H1535" s="51" t="n">
        <v>150</v>
      </c>
      <c r="I1535" s="51" t="n">
        <v>47.7</v>
      </c>
      <c r="J1535" s="51" t="n">
        <v>143.1</v>
      </c>
      <c r="K1535" s="52" t="n">
        <v>425</v>
      </c>
      <c r="L1535" s="53" t="n">
        <v>23.5</v>
      </c>
      <c r="M1535" s="54" t="n">
        <v>82.1</v>
      </c>
      <c r="N1535" s="51" t="n">
        <v>4.059381</v>
      </c>
      <c r="O1535" s="55" t="n">
        <v>4.1</v>
      </c>
      <c r="P1535" s="51" t="n">
        <v>6.9</v>
      </c>
      <c r="Q1535" s="49" t="s">
        <v>2098</v>
      </c>
      <c r="R1535" s="49" t="s">
        <v>2099</v>
      </c>
      <c r="S1535" s="53" t="n">
        <v>0.5</v>
      </c>
      <c r="T1535" s="51" t="n">
        <v>425</v>
      </c>
      <c r="U1535" s="56" t="n">
        <f aca="false">I1535*O1535</f>
        <v>195.57</v>
      </c>
      <c r="V1535" s="56" t="n">
        <f aca="false">J1535*O1535</f>
        <v>586.71</v>
      </c>
      <c r="W1535" s="56" t="n">
        <f aca="false">((I1535+J1535)/2)*O1535</f>
        <v>391.14</v>
      </c>
      <c r="X1535" s="56" t="n">
        <f aca="false">H1535*O1535</f>
        <v>615</v>
      </c>
    </row>
    <row r="1536" customFormat="false" ht="22.35" hidden="false" customHeight="false" outlineLevel="0" collapsed="false">
      <c r="A1536" s="79" t="s">
        <v>2065</v>
      </c>
      <c r="B1536" s="7" t="s">
        <v>3639</v>
      </c>
      <c r="C1536" s="7" t="s">
        <v>3640</v>
      </c>
      <c r="D1536" s="7" t="s">
        <v>2095</v>
      </c>
      <c r="E1536" s="61" t="s">
        <v>2113</v>
      </c>
      <c r="F1536" s="7" t="s">
        <v>2097</v>
      </c>
      <c r="G1536" s="7" t="s">
        <v>2097</v>
      </c>
      <c r="H1536" s="9" t="n">
        <v>6190</v>
      </c>
      <c r="I1536" s="9" t="n">
        <v>8349.9</v>
      </c>
      <c r="J1536" s="9" t="n">
        <v>16699.8</v>
      </c>
      <c r="K1536" s="52" t="n">
        <v>16940</v>
      </c>
      <c r="L1536" s="58" t="n">
        <v>55.4</v>
      </c>
      <c r="M1536" s="59" t="n">
        <v>72</v>
      </c>
      <c r="N1536" s="9" t="n">
        <v>150.720162</v>
      </c>
      <c r="O1536" s="8" t="n">
        <v>5.78</v>
      </c>
      <c r="P1536" s="9" t="n">
        <v>-10509.8</v>
      </c>
      <c r="Q1536" s="7" t="s">
        <v>2103</v>
      </c>
      <c r="R1536" s="7" t="s">
        <v>2099</v>
      </c>
      <c r="S1536" s="58" t="n">
        <v>1</v>
      </c>
      <c r="T1536" s="9" t="n">
        <v>484</v>
      </c>
      <c r="U1536" s="56" t="n">
        <f aca="false">I1536*O1536</f>
        <v>48262.422</v>
      </c>
      <c r="V1536" s="56" t="n">
        <f aca="false">J1536*O1536</f>
        <v>96524.844</v>
      </c>
      <c r="W1536" s="56" t="n">
        <f aca="false">((I1536+J1536)/2)*O1536</f>
        <v>72393.633</v>
      </c>
      <c r="X1536" s="56" t="n">
        <f aca="false">H1536*O1536</f>
        <v>35778.2</v>
      </c>
    </row>
    <row r="1537" customFormat="false" ht="22.35" hidden="false" customHeight="false" outlineLevel="0" collapsed="false">
      <c r="A1537" s="79" t="s">
        <v>2065</v>
      </c>
      <c r="B1537" s="4" t="s">
        <v>2260</v>
      </c>
      <c r="C1537" s="4" t="s">
        <v>2173</v>
      </c>
      <c r="D1537" s="4" t="s">
        <v>2101</v>
      </c>
      <c r="E1537" s="70" t="s">
        <v>2193</v>
      </c>
      <c r="F1537" s="4" t="s">
        <v>2097</v>
      </c>
      <c r="G1537" s="71" t="s">
        <v>2194</v>
      </c>
      <c r="H1537" s="6" t="n">
        <v>150</v>
      </c>
      <c r="I1537" s="6" t="n">
        <v>0</v>
      </c>
      <c r="J1537" s="6" t="n">
        <v>0</v>
      </c>
      <c r="K1537" s="52" t="n">
        <v>0</v>
      </c>
      <c r="L1537" s="72" t="n">
        <v>48</v>
      </c>
      <c r="M1537" s="73" t="n">
        <v>50</v>
      </c>
      <c r="N1537" s="6" t="n">
        <v>0.435507</v>
      </c>
      <c r="O1537" s="5" t="n">
        <v>3.447</v>
      </c>
      <c r="P1537" s="6" t="n">
        <v>150</v>
      </c>
      <c r="Q1537" s="4" t="s">
        <v>2098</v>
      </c>
      <c r="R1537" s="4" t="s">
        <v>2195</v>
      </c>
      <c r="S1537" s="72" t="n">
        <v>0</v>
      </c>
      <c r="T1537" s="6" t="n">
        <v>440</v>
      </c>
      <c r="U1537" s="56" t="n">
        <f aca="false">I1537*O1537</f>
        <v>0</v>
      </c>
      <c r="V1537" s="56" t="n">
        <f aca="false">J1537*O1537</f>
        <v>0</v>
      </c>
      <c r="W1537" s="56" t="n">
        <f aca="false">((I1537+J1537)/2)*O1537</f>
        <v>0</v>
      </c>
      <c r="X1537" s="56" t="n">
        <f aca="false">H1537*O1537</f>
        <v>517.05</v>
      </c>
    </row>
    <row r="1538" customFormat="false" ht="15" hidden="false" customHeight="false" outlineLevel="0" collapsed="false">
      <c r="A1538" s="79" t="s">
        <v>2065</v>
      </c>
      <c r="B1538" s="7" t="s">
        <v>2261</v>
      </c>
      <c r="C1538" s="7" t="s">
        <v>2262</v>
      </c>
      <c r="D1538" s="7" t="s">
        <v>2101</v>
      </c>
      <c r="E1538" s="50" t="s">
        <v>2096</v>
      </c>
      <c r="F1538" s="7" t="s">
        <v>2097</v>
      </c>
      <c r="G1538" s="7" t="s">
        <v>2097</v>
      </c>
      <c r="H1538" s="9" t="n">
        <v>150</v>
      </c>
      <c r="I1538" s="9" t="n">
        <v>17.47</v>
      </c>
      <c r="J1538" s="9" t="n">
        <v>52.41</v>
      </c>
      <c r="K1538" s="52" t="n">
        <v>440.92</v>
      </c>
      <c r="L1538" s="58" t="n">
        <v>24.8</v>
      </c>
      <c r="M1538" s="59" t="n">
        <v>60</v>
      </c>
      <c r="N1538" s="9" t="n">
        <v>1.408918</v>
      </c>
      <c r="O1538" s="8" t="n">
        <v>3.84</v>
      </c>
      <c r="P1538" s="9" t="n">
        <v>97.59</v>
      </c>
      <c r="Q1538" s="7" t="s">
        <v>2098</v>
      </c>
      <c r="R1538" s="7" t="s">
        <v>2099</v>
      </c>
      <c r="S1538" s="58" t="n">
        <v>0.5</v>
      </c>
      <c r="T1538" s="9" t="n">
        <v>440.92</v>
      </c>
      <c r="U1538" s="56" t="n">
        <f aca="false">I1538*O1538</f>
        <v>67.0848</v>
      </c>
      <c r="V1538" s="56" t="n">
        <f aca="false">J1538*O1538</f>
        <v>201.2544</v>
      </c>
      <c r="W1538" s="56" t="n">
        <f aca="false">((I1538+J1538)/2)*O1538</f>
        <v>134.1696</v>
      </c>
      <c r="X1538" s="56" t="n">
        <f aca="false">H1538*O1538</f>
        <v>576</v>
      </c>
    </row>
    <row r="1539" customFormat="false" ht="22.35" hidden="false" customHeight="false" outlineLevel="0" collapsed="false">
      <c r="A1539" s="79" t="s">
        <v>2065</v>
      </c>
      <c r="B1539" s="49" t="s">
        <v>2263</v>
      </c>
      <c r="C1539" s="49" t="s">
        <v>2035</v>
      </c>
      <c r="D1539" s="49" t="s">
        <v>2109</v>
      </c>
      <c r="E1539" s="60" t="s">
        <v>2110</v>
      </c>
      <c r="F1539" s="49" t="s">
        <v>2097</v>
      </c>
      <c r="G1539" s="49" t="s">
        <v>2097</v>
      </c>
      <c r="H1539" s="51" t="n">
        <v>34919</v>
      </c>
      <c r="I1539" s="51" t="n">
        <v>202718.71</v>
      </c>
      <c r="J1539" s="51" t="n">
        <v>337864.52</v>
      </c>
      <c r="K1539" s="52" t="n">
        <v>338406.1</v>
      </c>
      <c r="L1539" s="53" t="n">
        <v>82.8</v>
      </c>
      <c r="M1539" s="54" t="n">
        <v>81.6</v>
      </c>
      <c r="N1539" s="51" t="n">
        <v>1632.19574</v>
      </c>
      <c r="O1539" s="55" t="n">
        <v>2.636</v>
      </c>
      <c r="P1539" s="51" t="n">
        <v>-302945.52</v>
      </c>
      <c r="Q1539" s="49" t="s">
        <v>2103</v>
      </c>
      <c r="R1539" s="49" t="s">
        <v>2099</v>
      </c>
      <c r="S1539" s="53" t="n">
        <v>1.5</v>
      </c>
      <c r="T1539" s="51" t="n">
        <v>1102.3</v>
      </c>
      <c r="U1539" s="56" t="n">
        <f aca="false">I1539*O1539</f>
        <v>534366.51956</v>
      </c>
      <c r="V1539" s="56" t="n">
        <f aca="false">J1539*O1539</f>
        <v>890610.87472</v>
      </c>
      <c r="W1539" s="56" t="n">
        <f aca="false">((I1539+J1539)/2)*O1539</f>
        <v>712488.69714</v>
      </c>
      <c r="X1539" s="56" t="n">
        <f aca="false">H1539*O1539</f>
        <v>92046.484</v>
      </c>
    </row>
    <row r="1540" customFormat="false" ht="15" hidden="false" customHeight="false" outlineLevel="0" collapsed="false">
      <c r="A1540" s="79" t="s">
        <v>2065</v>
      </c>
      <c r="B1540" s="7" t="s">
        <v>4113</v>
      </c>
      <c r="C1540" s="7" t="s">
        <v>1617</v>
      </c>
      <c r="D1540" s="7" t="s">
        <v>2101</v>
      </c>
      <c r="E1540" s="50" t="s">
        <v>2096</v>
      </c>
      <c r="F1540" s="7" t="s">
        <v>2097</v>
      </c>
      <c r="G1540" s="7" t="s">
        <v>2097</v>
      </c>
      <c r="H1540" s="9" t="n">
        <v>150</v>
      </c>
      <c r="I1540" s="9" t="n">
        <v>14.16</v>
      </c>
      <c r="J1540" s="9" t="n">
        <v>42.48</v>
      </c>
      <c r="K1540" s="52" t="n">
        <v>80</v>
      </c>
      <c r="L1540" s="58" t="n">
        <v>17.5</v>
      </c>
      <c r="M1540" s="59" t="n">
        <v>50</v>
      </c>
      <c r="N1540" s="9" t="n">
        <v>1.618011</v>
      </c>
      <c r="O1540" s="8" t="n">
        <v>4.31</v>
      </c>
      <c r="P1540" s="9" t="n">
        <v>107.52</v>
      </c>
      <c r="Q1540" s="7" t="s">
        <v>2098</v>
      </c>
      <c r="R1540" s="7" t="s">
        <v>2099</v>
      </c>
      <c r="S1540" s="58" t="n">
        <v>0.5</v>
      </c>
      <c r="T1540" s="9" t="n">
        <v>40</v>
      </c>
      <c r="U1540" s="56" t="n">
        <f aca="false">I1540*O1540</f>
        <v>61.0296</v>
      </c>
      <c r="V1540" s="56" t="n">
        <f aca="false">J1540*O1540</f>
        <v>183.0888</v>
      </c>
      <c r="W1540" s="56" t="n">
        <f aca="false">((I1540+J1540)/2)*O1540</f>
        <v>122.0592</v>
      </c>
      <c r="X1540" s="56" t="n">
        <f aca="false">H1540*O1540</f>
        <v>646.5</v>
      </c>
    </row>
    <row r="1541" customFormat="false" ht="22.35" hidden="false" customHeight="false" outlineLevel="0" collapsed="false">
      <c r="A1541" s="79" t="s">
        <v>2065</v>
      </c>
      <c r="B1541" s="49" t="s">
        <v>2264</v>
      </c>
      <c r="C1541" s="49" t="s">
        <v>2265</v>
      </c>
      <c r="D1541" s="49" t="s">
        <v>2109</v>
      </c>
      <c r="E1541" s="60" t="s">
        <v>2110</v>
      </c>
      <c r="F1541" s="49" t="s">
        <v>2097</v>
      </c>
      <c r="G1541" s="49" t="s">
        <v>2097</v>
      </c>
      <c r="H1541" s="51" t="n">
        <v>4154</v>
      </c>
      <c r="I1541" s="51" t="n">
        <v>16657.65</v>
      </c>
      <c r="J1541" s="51" t="n">
        <v>27762.75</v>
      </c>
      <c r="K1541" s="52" t="n">
        <v>28658.5</v>
      </c>
      <c r="L1541" s="53" t="n">
        <v>75.3</v>
      </c>
      <c r="M1541" s="54" t="n">
        <v>87.8</v>
      </c>
      <c r="N1541" s="51" t="n">
        <v>147.478064</v>
      </c>
      <c r="O1541" s="55" t="n">
        <v>1.93</v>
      </c>
      <c r="P1541" s="51" t="n">
        <v>-23608.75</v>
      </c>
      <c r="Q1541" s="49" t="s">
        <v>2103</v>
      </c>
      <c r="R1541" s="49" t="s">
        <v>2099</v>
      </c>
      <c r="S1541" s="53" t="n">
        <v>1.5</v>
      </c>
      <c r="T1541" s="51" t="n">
        <v>2204.5</v>
      </c>
      <c r="U1541" s="56" t="n">
        <f aca="false">I1541*O1541</f>
        <v>32149.2645</v>
      </c>
      <c r="V1541" s="56" t="n">
        <f aca="false">J1541*O1541</f>
        <v>53582.1075</v>
      </c>
      <c r="W1541" s="56" t="n">
        <f aca="false">((I1541+J1541)/2)*O1541</f>
        <v>42865.686</v>
      </c>
      <c r="X1541" s="56" t="n">
        <f aca="false">H1541*O1541</f>
        <v>8017.22</v>
      </c>
    </row>
    <row r="1542" customFormat="false" ht="15" hidden="false" customHeight="false" outlineLevel="0" collapsed="false">
      <c r="A1542" s="79" t="s">
        <v>2065</v>
      </c>
      <c r="B1542" s="7" t="s">
        <v>4114</v>
      </c>
      <c r="C1542" s="7" t="s">
        <v>4115</v>
      </c>
      <c r="D1542" s="7" t="s">
        <v>2101</v>
      </c>
      <c r="E1542" s="50" t="s">
        <v>2096</v>
      </c>
      <c r="F1542" s="7" t="s">
        <v>2097</v>
      </c>
      <c r="G1542" s="7" t="s">
        <v>2097</v>
      </c>
      <c r="H1542" s="9" t="n">
        <v>271</v>
      </c>
      <c r="I1542" s="9" t="n">
        <v>68.27</v>
      </c>
      <c r="J1542" s="9" t="n">
        <v>204.82</v>
      </c>
      <c r="K1542" s="52" t="n">
        <v>220.4</v>
      </c>
      <c r="L1542" s="58" t="n">
        <v>20.4</v>
      </c>
      <c r="M1542" s="59" t="n">
        <v>55.6</v>
      </c>
      <c r="N1542" s="9" t="n">
        <v>6.693564</v>
      </c>
      <c r="O1542" s="8" t="n">
        <v>4.1857</v>
      </c>
      <c r="P1542" s="9" t="n">
        <v>66.18</v>
      </c>
      <c r="Q1542" s="7" t="s">
        <v>2098</v>
      </c>
      <c r="R1542" s="7" t="s">
        <v>2099</v>
      </c>
      <c r="S1542" s="58" t="n">
        <v>0.5</v>
      </c>
      <c r="T1542" s="9" t="n">
        <v>55.1</v>
      </c>
      <c r="U1542" s="56" t="n">
        <f aca="false">I1542*O1542</f>
        <v>285.757739</v>
      </c>
      <c r="V1542" s="56" t="n">
        <f aca="false">J1542*O1542</f>
        <v>857.315074</v>
      </c>
      <c r="W1542" s="56" t="n">
        <f aca="false">((I1542+J1542)/2)*O1542</f>
        <v>571.5364065</v>
      </c>
      <c r="X1542" s="56" t="n">
        <f aca="false">H1542*O1542</f>
        <v>1134.3247</v>
      </c>
    </row>
    <row r="1543" customFormat="false" ht="22.35" hidden="false" customHeight="false" outlineLevel="0" collapsed="false">
      <c r="A1543" s="79" t="s">
        <v>2065</v>
      </c>
      <c r="B1543" s="49" t="s">
        <v>3642</v>
      </c>
      <c r="C1543" s="49" t="s">
        <v>3643</v>
      </c>
      <c r="D1543" s="49" t="s">
        <v>2101</v>
      </c>
      <c r="E1543" s="57" t="s">
        <v>2102</v>
      </c>
      <c r="F1543" s="49" t="s">
        <v>2097</v>
      </c>
      <c r="G1543" s="49" t="s">
        <v>2097</v>
      </c>
      <c r="H1543" s="51" t="n">
        <v>152</v>
      </c>
      <c r="I1543" s="51" t="n">
        <v>69.66</v>
      </c>
      <c r="J1543" s="51" t="n">
        <v>208.99</v>
      </c>
      <c r="K1543" s="52" t="n">
        <v>380</v>
      </c>
      <c r="L1543" s="53" t="n">
        <v>35.1</v>
      </c>
      <c r="M1543" s="54" t="n">
        <v>70.4</v>
      </c>
      <c r="N1543" s="51" t="n">
        <v>3.96939</v>
      </c>
      <c r="O1543" s="55" t="n">
        <v>6.69</v>
      </c>
      <c r="P1543" s="51" t="n">
        <v>-56.99</v>
      </c>
      <c r="Q1543" s="49" t="s">
        <v>2103</v>
      </c>
      <c r="R1543" s="49" t="s">
        <v>2099</v>
      </c>
      <c r="S1543" s="53" t="n">
        <v>0.5</v>
      </c>
      <c r="T1543" s="51" t="n">
        <v>380</v>
      </c>
      <c r="U1543" s="56" t="n">
        <f aca="false">I1543*O1543</f>
        <v>466.0254</v>
      </c>
      <c r="V1543" s="56" t="n">
        <f aca="false">J1543*O1543</f>
        <v>1398.1431</v>
      </c>
      <c r="W1543" s="56" t="n">
        <f aca="false">((I1543+J1543)/2)*O1543</f>
        <v>932.08425</v>
      </c>
      <c r="X1543" s="56" t="n">
        <f aca="false">H1543*O1543</f>
        <v>1016.88</v>
      </c>
    </row>
    <row r="1544" customFormat="false" ht="22.35" hidden="false" customHeight="false" outlineLevel="0" collapsed="false">
      <c r="A1544" s="79" t="s">
        <v>2065</v>
      </c>
      <c r="B1544" s="7" t="s">
        <v>2267</v>
      </c>
      <c r="C1544" s="7" t="s">
        <v>1615</v>
      </c>
      <c r="D1544" s="7" t="s">
        <v>2109</v>
      </c>
      <c r="E1544" s="60" t="s">
        <v>2110</v>
      </c>
      <c r="F1544" s="7" t="s">
        <v>2097</v>
      </c>
      <c r="G1544" s="7" t="s">
        <v>2097</v>
      </c>
      <c r="H1544" s="9" t="n">
        <v>591</v>
      </c>
      <c r="I1544" s="9" t="n">
        <v>1528.04</v>
      </c>
      <c r="J1544" s="9" t="n">
        <v>2546.73</v>
      </c>
      <c r="K1544" s="52" t="n">
        <v>4300</v>
      </c>
      <c r="L1544" s="58" t="n">
        <v>34</v>
      </c>
      <c r="M1544" s="59" t="n">
        <v>74.7</v>
      </c>
      <c r="N1544" s="9" t="n">
        <v>29.961568</v>
      </c>
      <c r="O1544" s="8" t="n">
        <v>2.568</v>
      </c>
      <c r="P1544" s="9" t="n">
        <v>-1955.73</v>
      </c>
      <c r="Q1544" s="7" t="s">
        <v>2103</v>
      </c>
      <c r="R1544" s="7" t="s">
        <v>2099</v>
      </c>
      <c r="S1544" s="58" t="n">
        <v>1.5</v>
      </c>
      <c r="T1544" s="9" t="n">
        <v>2150</v>
      </c>
      <c r="U1544" s="56" t="n">
        <f aca="false">I1544*O1544</f>
        <v>3924.00672</v>
      </c>
      <c r="V1544" s="56" t="n">
        <f aca="false">J1544*O1544</f>
        <v>6540.00264</v>
      </c>
      <c r="W1544" s="56" t="n">
        <f aca="false">((I1544+J1544)/2)*O1544</f>
        <v>5232.00468</v>
      </c>
      <c r="X1544" s="56" t="n">
        <f aca="false">H1544*O1544</f>
        <v>1517.688</v>
      </c>
    </row>
    <row r="1545" customFormat="false" ht="22.35" hidden="false" customHeight="false" outlineLevel="0" collapsed="false">
      <c r="A1545" s="79" t="s">
        <v>2065</v>
      </c>
      <c r="B1545" s="49" t="s">
        <v>4116</v>
      </c>
      <c r="C1545" s="49" t="s">
        <v>2173</v>
      </c>
      <c r="D1545" s="49" t="s">
        <v>2101</v>
      </c>
      <c r="E1545" s="57" t="s">
        <v>2102</v>
      </c>
      <c r="F1545" s="49" t="s">
        <v>2097</v>
      </c>
      <c r="G1545" s="49" t="s">
        <v>2097</v>
      </c>
      <c r="H1545" s="51" t="n">
        <v>50</v>
      </c>
      <c r="I1545" s="51" t="n">
        <v>18.05</v>
      </c>
      <c r="J1545" s="51" t="n">
        <v>54.14</v>
      </c>
      <c r="K1545" s="52" t="n">
        <v>399</v>
      </c>
      <c r="L1545" s="53" t="n">
        <v>28</v>
      </c>
      <c r="M1545" s="54" t="n">
        <v>87.5</v>
      </c>
      <c r="N1545" s="51" t="n">
        <v>1.289094</v>
      </c>
      <c r="O1545" s="55" t="n">
        <v>6.3</v>
      </c>
      <c r="P1545" s="51" t="n">
        <v>-4.14</v>
      </c>
      <c r="Q1545" s="49" t="s">
        <v>2103</v>
      </c>
      <c r="R1545" s="49" t="s">
        <v>2099</v>
      </c>
      <c r="S1545" s="53" t="n">
        <v>0.5</v>
      </c>
      <c r="T1545" s="51" t="n">
        <v>399</v>
      </c>
      <c r="U1545" s="56" t="n">
        <f aca="false">I1545*O1545</f>
        <v>113.715</v>
      </c>
      <c r="V1545" s="56" t="n">
        <f aca="false">J1545*O1545</f>
        <v>341.082</v>
      </c>
      <c r="W1545" s="56" t="n">
        <f aca="false">((I1545+J1545)/2)*O1545</f>
        <v>227.3985</v>
      </c>
      <c r="X1545" s="56" t="n">
        <f aca="false">H1545*O1545</f>
        <v>315</v>
      </c>
    </row>
    <row r="1546" customFormat="false" ht="15" hidden="false" customHeight="false" outlineLevel="0" collapsed="false">
      <c r="A1546" s="79" t="s">
        <v>2065</v>
      </c>
      <c r="B1546" s="7" t="s">
        <v>3650</v>
      </c>
      <c r="C1546" s="7" t="s">
        <v>1531</v>
      </c>
      <c r="D1546" s="7" t="s">
        <v>2101</v>
      </c>
      <c r="E1546" s="50" t="s">
        <v>2096</v>
      </c>
      <c r="F1546" s="7" t="s">
        <v>2097</v>
      </c>
      <c r="G1546" s="7" t="s">
        <v>2097</v>
      </c>
      <c r="H1546" s="9" t="n">
        <v>150</v>
      </c>
      <c r="I1546" s="9" t="n">
        <v>38.95</v>
      </c>
      <c r="J1546" s="9" t="n">
        <v>116.85</v>
      </c>
      <c r="K1546" s="52" t="n">
        <v>400</v>
      </c>
      <c r="L1546" s="58" t="n">
        <v>31.7</v>
      </c>
      <c r="M1546" s="59" t="n">
        <v>53.8</v>
      </c>
      <c r="N1546" s="9" t="n">
        <v>2.457345</v>
      </c>
      <c r="O1546" s="8" t="n">
        <v>3.3</v>
      </c>
      <c r="P1546" s="9" t="n">
        <v>33.15</v>
      </c>
      <c r="Q1546" s="7" t="s">
        <v>2098</v>
      </c>
      <c r="R1546" s="7" t="s">
        <v>2099</v>
      </c>
      <c r="S1546" s="58" t="n">
        <v>0.5</v>
      </c>
      <c r="T1546" s="9" t="n">
        <v>400</v>
      </c>
      <c r="U1546" s="56" t="n">
        <f aca="false">I1546*O1546</f>
        <v>128.535</v>
      </c>
      <c r="V1546" s="56" t="n">
        <f aca="false">J1546*O1546</f>
        <v>385.605</v>
      </c>
      <c r="W1546" s="56" t="n">
        <f aca="false">((I1546+J1546)/2)*O1546</f>
        <v>257.07</v>
      </c>
      <c r="X1546" s="56" t="n">
        <f aca="false">H1546*O1546</f>
        <v>495</v>
      </c>
    </row>
    <row r="1547" customFormat="false" ht="22.35" hidden="false" customHeight="false" outlineLevel="0" collapsed="false">
      <c r="A1547" s="79" t="s">
        <v>2065</v>
      </c>
      <c r="B1547" s="49" t="s">
        <v>2273</v>
      </c>
      <c r="C1547" s="49" t="s">
        <v>2274</v>
      </c>
      <c r="D1547" s="49" t="s">
        <v>2095</v>
      </c>
      <c r="E1547" s="61" t="s">
        <v>2113</v>
      </c>
      <c r="F1547" s="49" t="s">
        <v>2097</v>
      </c>
      <c r="G1547" s="49" t="s">
        <v>2097</v>
      </c>
      <c r="H1547" s="51" t="n">
        <v>2426</v>
      </c>
      <c r="I1547" s="51" t="n">
        <v>3340.97</v>
      </c>
      <c r="J1547" s="51" t="n">
        <v>6681.94</v>
      </c>
      <c r="K1547" s="52" t="n">
        <v>6800</v>
      </c>
      <c r="L1547" s="53" t="n">
        <v>41</v>
      </c>
      <c r="M1547" s="54" t="n">
        <v>48.1</v>
      </c>
      <c r="N1547" s="51" t="n">
        <v>81.487076</v>
      </c>
      <c r="O1547" s="55" t="n">
        <v>7.253</v>
      </c>
      <c r="P1547" s="51" t="n">
        <v>-4255.94</v>
      </c>
      <c r="Q1547" s="49" t="s">
        <v>2103</v>
      </c>
      <c r="R1547" s="49" t="s">
        <v>2099</v>
      </c>
      <c r="S1547" s="53" t="n">
        <v>1</v>
      </c>
      <c r="T1547" s="51" t="n">
        <v>425</v>
      </c>
      <c r="U1547" s="56" t="n">
        <f aca="false">I1547*O1547</f>
        <v>24232.05541</v>
      </c>
      <c r="V1547" s="56" t="n">
        <f aca="false">J1547*O1547</f>
        <v>48464.11082</v>
      </c>
      <c r="W1547" s="56" t="n">
        <f aca="false">((I1547+J1547)/2)*O1547</f>
        <v>36348.083115</v>
      </c>
      <c r="X1547" s="56" t="n">
        <f aca="false">H1547*O1547</f>
        <v>17595.778</v>
      </c>
    </row>
    <row r="1548" customFormat="false" ht="22.35" hidden="false" customHeight="false" outlineLevel="0" collapsed="false">
      <c r="A1548" s="79" t="s">
        <v>2065</v>
      </c>
      <c r="B1548" s="7" t="s">
        <v>4117</v>
      </c>
      <c r="C1548" s="7" t="s">
        <v>4118</v>
      </c>
      <c r="D1548" s="7" t="s">
        <v>2101</v>
      </c>
      <c r="E1548" s="57" t="s">
        <v>2102</v>
      </c>
      <c r="F1548" s="7" t="s">
        <v>2097</v>
      </c>
      <c r="G1548" s="7" t="s">
        <v>2097</v>
      </c>
      <c r="H1548" s="9" t="n">
        <v>304</v>
      </c>
      <c r="I1548" s="9" t="n">
        <v>355.79</v>
      </c>
      <c r="J1548" s="9" t="n">
        <v>1067.38</v>
      </c>
      <c r="K1548" s="52" t="n">
        <v>1100</v>
      </c>
      <c r="L1548" s="58" t="n">
        <v>71.3</v>
      </c>
      <c r="M1548" s="59" t="n">
        <v>33.3</v>
      </c>
      <c r="N1548" s="9" t="n">
        <v>9.980192</v>
      </c>
      <c r="O1548" s="8" t="n">
        <v>2.9426</v>
      </c>
      <c r="P1548" s="9" t="n">
        <v>-763.38</v>
      </c>
      <c r="Q1548" s="7" t="s">
        <v>2103</v>
      </c>
      <c r="R1548" s="7" t="s">
        <v>2099</v>
      </c>
      <c r="S1548" s="58" t="n">
        <v>0.5</v>
      </c>
      <c r="T1548" s="9" t="n">
        <v>55</v>
      </c>
      <c r="U1548" s="56" t="n">
        <f aca="false">I1548*O1548</f>
        <v>1046.947654</v>
      </c>
      <c r="V1548" s="56" t="n">
        <f aca="false">J1548*O1548</f>
        <v>3140.872388</v>
      </c>
      <c r="W1548" s="56" t="n">
        <f aca="false">((I1548+J1548)/2)*O1548</f>
        <v>2093.910021</v>
      </c>
      <c r="X1548" s="56" t="n">
        <f aca="false">H1548*O1548</f>
        <v>894.5504</v>
      </c>
    </row>
    <row r="1549" customFormat="false" ht="22.35" hidden="false" customHeight="false" outlineLevel="0" collapsed="false">
      <c r="A1549" s="79" t="s">
        <v>2065</v>
      </c>
      <c r="B1549" s="49" t="s">
        <v>2276</v>
      </c>
      <c r="C1549" s="49" t="s">
        <v>2277</v>
      </c>
      <c r="D1549" s="49" t="s">
        <v>2095</v>
      </c>
      <c r="E1549" s="61" t="s">
        <v>2113</v>
      </c>
      <c r="F1549" s="49" t="s">
        <v>2097</v>
      </c>
      <c r="G1549" s="49" t="s">
        <v>2097</v>
      </c>
      <c r="H1549" s="51" t="n">
        <v>363</v>
      </c>
      <c r="I1549" s="51" t="n">
        <v>491.99</v>
      </c>
      <c r="J1549" s="51" t="n">
        <v>983.98</v>
      </c>
      <c r="K1549" s="52" t="n">
        <v>1000</v>
      </c>
      <c r="L1549" s="53" t="n">
        <v>37.9</v>
      </c>
      <c r="M1549" s="54" t="n">
        <v>80.6</v>
      </c>
      <c r="N1549" s="51" t="n">
        <v>12.98137</v>
      </c>
      <c r="O1549" s="55" t="n">
        <v>3.65</v>
      </c>
      <c r="P1549" s="51" t="n">
        <v>-620.98</v>
      </c>
      <c r="Q1549" s="49" t="s">
        <v>2103</v>
      </c>
      <c r="R1549" s="49" t="s">
        <v>2099</v>
      </c>
      <c r="S1549" s="53" t="n">
        <v>1</v>
      </c>
      <c r="T1549" s="51" t="n">
        <v>40</v>
      </c>
      <c r="U1549" s="56" t="n">
        <f aca="false">I1549*O1549</f>
        <v>1795.7635</v>
      </c>
      <c r="V1549" s="56" t="n">
        <f aca="false">J1549*O1549</f>
        <v>3591.527</v>
      </c>
      <c r="W1549" s="56" t="n">
        <f aca="false">((I1549+J1549)/2)*O1549</f>
        <v>2693.64525</v>
      </c>
      <c r="X1549" s="56" t="n">
        <f aca="false">H1549*O1549</f>
        <v>1324.95</v>
      </c>
    </row>
    <row r="1550" customFormat="false" ht="15" hidden="false" customHeight="false" outlineLevel="0" collapsed="false">
      <c r="A1550" s="79" t="s">
        <v>2065</v>
      </c>
      <c r="B1550" s="7" t="s">
        <v>3658</v>
      </c>
      <c r="C1550" s="7" t="s">
        <v>1542</v>
      </c>
      <c r="D1550" s="7" t="s">
        <v>2101</v>
      </c>
      <c r="E1550" s="50" t="s">
        <v>2096</v>
      </c>
      <c r="F1550" s="7" t="s">
        <v>2097</v>
      </c>
      <c r="G1550" s="7" t="s">
        <v>2097</v>
      </c>
      <c r="H1550" s="9" t="n">
        <v>150</v>
      </c>
      <c r="I1550" s="9" t="n">
        <v>1.77</v>
      </c>
      <c r="J1550" s="9" t="n">
        <v>5.32</v>
      </c>
      <c r="K1550" s="52" t="n">
        <v>40</v>
      </c>
      <c r="L1550" s="58" t="n">
        <v>16.1</v>
      </c>
      <c r="M1550" s="59" t="n">
        <v>64.7</v>
      </c>
      <c r="N1550" s="9" t="n">
        <v>0.220272</v>
      </c>
      <c r="O1550" s="8" t="n">
        <v>4.303</v>
      </c>
      <c r="P1550" s="9" t="n">
        <v>144.68</v>
      </c>
      <c r="Q1550" s="7" t="s">
        <v>2098</v>
      </c>
      <c r="R1550" s="7" t="s">
        <v>2099</v>
      </c>
      <c r="S1550" s="58" t="n">
        <v>0.5</v>
      </c>
      <c r="T1550" s="9" t="n">
        <v>40</v>
      </c>
      <c r="U1550" s="56" t="n">
        <f aca="false">I1550*O1550</f>
        <v>7.61631</v>
      </c>
      <c r="V1550" s="56" t="n">
        <f aca="false">J1550*O1550</f>
        <v>22.89196</v>
      </c>
      <c r="W1550" s="56" t="n">
        <f aca="false">((I1550+J1550)/2)*O1550</f>
        <v>15.254135</v>
      </c>
      <c r="X1550" s="56" t="n">
        <f aca="false">H1550*O1550</f>
        <v>645.45</v>
      </c>
    </row>
    <row r="1551" customFormat="false" ht="22.35" hidden="false" customHeight="false" outlineLevel="0" collapsed="false">
      <c r="A1551" s="79" t="s">
        <v>2065</v>
      </c>
      <c r="B1551" s="4" t="s">
        <v>3664</v>
      </c>
      <c r="C1551" s="4" t="s">
        <v>3665</v>
      </c>
      <c r="D1551" s="4" t="s">
        <v>2101</v>
      </c>
      <c r="E1551" s="70" t="s">
        <v>2193</v>
      </c>
      <c r="F1551" s="4" t="s">
        <v>2097</v>
      </c>
      <c r="G1551" s="71" t="s">
        <v>2194</v>
      </c>
      <c r="H1551" s="6" t="n">
        <v>150</v>
      </c>
      <c r="I1551" s="6" t="n">
        <v>0</v>
      </c>
      <c r="J1551" s="6" t="n">
        <v>0</v>
      </c>
      <c r="K1551" s="52" t="n">
        <v>0</v>
      </c>
      <c r="L1551" s="72" t="n">
        <v>28</v>
      </c>
      <c r="M1551" s="73" t="n">
        <v>75</v>
      </c>
      <c r="N1551" s="6" t="n">
        <v>0.519527</v>
      </c>
      <c r="O1551" s="5" t="n">
        <v>2.4831</v>
      </c>
      <c r="P1551" s="6" t="n">
        <v>150</v>
      </c>
      <c r="Q1551" s="4" t="s">
        <v>2098</v>
      </c>
      <c r="R1551" s="4" t="s">
        <v>2195</v>
      </c>
      <c r="S1551" s="72" t="n">
        <v>0</v>
      </c>
      <c r="T1551" s="6" t="n">
        <v>40</v>
      </c>
      <c r="U1551" s="56" t="n">
        <f aca="false">I1551*O1551</f>
        <v>0</v>
      </c>
      <c r="V1551" s="56" t="n">
        <f aca="false">J1551*O1551</f>
        <v>0</v>
      </c>
      <c r="W1551" s="56" t="n">
        <f aca="false">((I1551+J1551)/2)*O1551</f>
        <v>0</v>
      </c>
      <c r="X1551" s="56" t="n">
        <f aca="false">H1551*O1551</f>
        <v>372.465</v>
      </c>
    </row>
    <row r="1552" customFormat="false" ht="15" hidden="false" customHeight="false" outlineLevel="0" collapsed="false">
      <c r="A1552" s="79" t="s">
        <v>2065</v>
      </c>
      <c r="B1552" s="7" t="s">
        <v>2284</v>
      </c>
      <c r="C1552" s="7" t="s">
        <v>1497</v>
      </c>
      <c r="D1552" s="7" t="s">
        <v>2101</v>
      </c>
      <c r="E1552" s="50" t="s">
        <v>2096</v>
      </c>
      <c r="F1552" s="7" t="s">
        <v>2097</v>
      </c>
      <c r="G1552" s="7" t="s">
        <v>2097</v>
      </c>
      <c r="H1552" s="9" t="n">
        <v>150</v>
      </c>
      <c r="I1552" s="9" t="n">
        <v>19.16</v>
      </c>
      <c r="J1552" s="9" t="n">
        <v>57.48</v>
      </c>
      <c r="K1552" s="52" t="n">
        <v>80</v>
      </c>
      <c r="L1552" s="58" t="n">
        <v>34.9</v>
      </c>
      <c r="M1552" s="59" t="n">
        <v>68.4</v>
      </c>
      <c r="N1552" s="9" t="n">
        <v>1.098014</v>
      </c>
      <c r="O1552" s="8" t="n">
        <v>0.6036</v>
      </c>
      <c r="P1552" s="9" t="n">
        <v>92.52</v>
      </c>
      <c r="Q1552" s="7" t="s">
        <v>2098</v>
      </c>
      <c r="R1552" s="7" t="s">
        <v>2099</v>
      </c>
      <c r="S1552" s="58" t="n">
        <v>0.5</v>
      </c>
      <c r="T1552" s="9" t="n">
        <v>40</v>
      </c>
      <c r="U1552" s="56" t="n">
        <f aca="false">I1552*O1552</f>
        <v>11.564976</v>
      </c>
      <c r="V1552" s="56" t="n">
        <f aca="false">J1552*O1552</f>
        <v>34.694928</v>
      </c>
      <c r="W1552" s="56" t="n">
        <f aca="false">((I1552+J1552)/2)*O1552</f>
        <v>23.129952</v>
      </c>
      <c r="X1552" s="56" t="n">
        <f aca="false">H1552*O1552</f>
        <v>90.54</v>
      </c>
    </row>
    <row r="1553" customFormat="false" ht="22.35" hidden="false" customHeight="false" outlineLevel="0" collapsed="false">
      <c r="A1553" s="79" t="s">
        <v>2065</v>
      </c>
      <c r="B1553" s="49" t="s">
        <v>2285</v>
      </c>
      <c r="C1553" s="49" t="s">
        <v>2265</v>
      </c>
      <c r="D1553" s="49" t="s">
        <v>2095</v>
      </c>
      <c r="E1553" s="61" t="s">
        <v>2113</v>
      </c>
      <c r="F1553" s="49" t="s">
        <v>2097</v>
      </c>
      <c r="G1553" s="49" t="s">
        <v>2097</v>
      </c>
      <c r="H1553" s="51" t="n">
        <v>7596</v>
      </c>
      <c r="I1553" s="51" t="n">
        <v>21154.57</v>
      </c>
      <c r="J1553" s="51" t="n">
        <v>42309.14</v>
      </c>
      <c r="K1553" s="52" t="n">
        <v>42460</v>
      </c>
      <c r="L1553" s="53" t="n">
        <v>49.5</v>
      </c>
      <c r="M1553" s="54" t="n">
        <v>83.9</v>
      </c>
      <c r="N1553" s="51" t="n">
        <v>427.365025</v>
      </c>
      <c r="O1553" s="55" t="n">
        <v>2.56</v>
      </c>
      <c r="P1553" s="51" t="n">
        <v>-34713.14</v>
      </c>
      <c r="Q1553" s="49" t="s">
        <v>2103</v>
      </c>
      <c r="R1553" s="49" t="s">
        <v>2099</v>
      </c>
      <c r="S1553" s="53" t="n">
        <v>1</v>
      </c>
      <c r="T1553" s="51" t="n">
        <v>220</v>
      </c>
      <c r="U1553" s="56" t="n">
        <f aca="false">I1553*O1553</f>
        <v>54155.6992</v>
      </c>
      <c r="V1553" s="56" t="n">
        <f aca="false">J1553*O1553</f>
        <v>108311.3984</v>
      </c>
      <c r="W1553" s="56" t="n">
        <f aca="false">((I1553+J1553)/2)*O1553</f>
        <v>81233.5488</v>
      </c>
      <c r="X1553" s="56" t="n">
        <f aca="false">H1553*O1553</f>
        <v>19445.76</v>
      </c>
    </row>
    <row r="1554" customFormat="false" ht="22.35" hidden="false" customHeight="false" outlineLevel="0" collapsed="false">
      <c r="A1554" s="79" t="s">
        <v>2065</v>
      </c>
      <c r="B1554" s="62" t="s">
        <v>4119</v>
      </c>
      <c r="C1554" s="62" t="s">
        <v>2215</v>
      </c>
      <c r="D1554" s="62" t="s">
        <v>2101</v>
      </c>
      <c r="E1554" s="63" t="s">
        <v>2169</v>
      </c>
      <c r="F1554" s="64" t="s">
        <v>2170</v>
      </c>
      <c r="G1554" s="62" t="s">
        <v>2097</v>
      </c>
      <c r="H1554" s="65" t="n">
        <v>1119</v>
      </c>
      <c r="I1554" s="65" t="n">
        <v>171.49</v>
      </c>
      <c r="J1554" s="65" t="n">
        <v>514.48</v>
      </c>
      <c r="K1554" s="66" t="n">
        <v>520</v>
      </c>
      <c r="L1554" s="67" t="n">
        <v>28.7</v>
      </c>
      <c r="M1554" s="68" t="n">
        <v>58.8</v>
      </c>
      <c r="N1554" s="65" t="n">
        <v>25.321224</v>
      </c>
      <c r="O1554" s="69" t="n">
        <v>2.6261</v>
      </c>
      <c r="P1554" s="65" t="n">
        <v>604.52</v>
      </c>
      <c r="Q1554" s="62" t="s">
        <v>2098</v>
      </c>
      <c r="R1554" s="62" t="s">
        <v>4034</v>
      </c>
      <c r="S1554" s="67" t="n">
        <v>0.5</v>
      </c>
      <c r="T1554" s="65" t="n">
        <v>40</v>
      </c>
      <c r="U1554" s="56" t="n">
        <f aca="false">I1554*O1554</f>
        <v>450.349889</v>
      </c>
      <c r="V1554" s="56" t="n">
        <f aca="false">J1554*O1554</f>
        <v>1351.075928</v>
      </c>
      <c r="W1554" s="56" t="n">
        <f aca="false">((I1554+J1554)/2)*O1554</f>
        <v>900.7129085</v>
      </c>
      <c r="X1554" s="56" t="n">
        <f aca="false">H1554*O1554</f>
        <v>2938.6059</v>
      </c>
    </row>
    <row r="1555" customFormat="false" ht="15" hidden="false" customHeight="false" outlineLevel="0" collapsed="false">
      <c r="A1555" s="79" t="s">
        <v>2065</v>
      </c>
      <c r="B1555" s="49" t="s">
        <v>3674</v>
      </c>
      <c r="C1555" s="49" t="s">
        <v>2215</v>
      </c>
      <c r="D1555" s="49" t="s">
        <v>2101</v>
      </c>
      <c r="E1555" s="50" t="s">
        <v>2096</v>
      </c>
      <c r="F1555" s="49" t="s">
        <v>2097</v>
      </c>
      <c r="G1555" s="49" t="s">
        <v>2097</v>
      </c>
      <c r="H1555" s="51" t="n">
        <v>227</v>
      </c>
      <c r="I1555" s="51" t="n">
        <v>65.36</v>
      </c>
      <c r="J1555" s="51" t="n">
        <v>196.07</v>
      </c>
      <c r="K1555" s="52" t="n">
        <v>450</v>
      </c>
      <c r="L1555" s="53" t="n">
        <v>25.5</v>
      </c>
      <c r="M1555" s="54" t="n">
        <v>62.5</v>
      </c>
      <c r="N1555" s="51" t="n">
        <v>5.125933</v>
      </c>
      <c r="O1555" s="55" t="n">
        <v>2.16</v>
      </c>
      <c r="P1555" s="51" t="n">
        <v>30.93</v>
      </c>
      <c r="Q1555" s="49" t="s">
        <v>2098</v>
      </c>
      <c r="R1555" s="49" t="s">
        <v>2099</v>
      </c>
      <c r="S1555" s="53" t="n">
        <v>0.5</v>
      </c>
      <c r="T1555" s="51" t="n">
        <v>450</v>
      </c>
      <c r="U1555" s="56" t="n">
        <f aca="false">I1555*O1555</f>
        <v>141.1776</v>
      </c>
      <c r="V1555" s="56" t="n">
        <f aca="false">J1555*O1555</f>
        <v>423.5112</v>
      </c>
      <c r="W1555" s="56" t="n">
        <f aca="false">((I1555+J1555)/2)*O1555</f>
        <v>282.3444</v>
      </c>
      <c r="X1555" s="56" t="n">
        <f aca="false">H1555*O1555</f>
        <v>490.32</v>
      </c>
    </row>
    <row r="1556" customFormat="false" ht="22.35" hidden="false" customHeight="false" outlineLevel="0" collapsed="false">
      <c r="A1556" s="79" t="s">
        <v>2065</v>
      </c>
      <c r="B1556" s="4" t="s">
        <v>4120</v>
      </c>
      <c r="C1556" s="4" t="s">
        <v>4121</v>
      </c>
      <c r="D1556" s="4" t="s">
        <v>2101</v>
      </c>
      <c r="E1556" s="70" t="s">
        <v>2193</v>
      </c>
      <c r="F1556" s="4" t="s">
        <v>2097</v>
      </c>
      <c r="G1556" s="71" t="s">
        <v>2194</v>
      </c>
      <c r="H1556" s="6" t="n">
        <v>150</v>
      </c>
      <c r="I1556" s="6" t="n">
        <v>0</v>
      </c>
      <c r="J1556" s="6" t="n">
        <v>0</v>
      </c>
      <c r="K1556" s="52" t="n">
        <v>0</v>
      </c>
      <c r="L1556" s="72" t="n">
        <v>16</v>
      </c>
      <c r="M1556" s="73" t="n">
        <v>50</v>
      </c>
      <c r="N1556" s="6" t="n">
        <v>0.025522</v>
      </c>
      <c r="O1556" s="5" t="n">
        <v>2.654</v>
      </c>
      <c r="P1556" s="6" t="n">
        <v>150</v>
      </c>
      <c r="Q1556" s="4" t="s">
        <v>2098</v>
      </c>
      <c r="R1556" s="4" t="s">
        <v>2195</v>
      </c>
      <c r="S1556" s="72" t="n">
        <v>0</v>
      </c>
      <c r="T1556" s="6" t="n">
        <v>40</v>
      </c>
      <c r="U1556" s="56" t="n">
        <f aca="false">I1556*O1556</f>
        <v>0</v>
      </c>
      <c r="V1556" s="56" t="n">
        <f aca="false">J1556*O1556</f>
        <v>0</v>
      </c>
      <c r="W1556" s="56" t="n">
        <f aca="false">((I1556+J1556)/2)*O1556</f>
        <v>0</v>
      </c>
      <c r="X1556" s="56" t="n">
        <f aca="false">H1556*O1556</f>
        <v>398.1</v>
      </c>
    </row>
    <row r="1557" customFormat="false" ht="22.35" hidden="false" customHeight="false" outlineLevel="0" collapsed="false">
      <c r="A1557" s="79" t="s">
        <v>2065</v>
      </c>
      <c r="B1557" s="49" t="s">
        <v>4122</v>
      </c>
      <c r="C1557" s="49" t="s">
        <v>2215</v>
      </c>
      <c r="D1557" s="49" t="s">
        <v>2095</v>
      </c>
      <c r="E1557" s="61" t="s">
        <v>2113</v>
      </c>
      <c r="F1557" s="49" t="s">
        <v>2097</v>
      </c>
      <c r="G1557" s="49" t="s">
        <v>2097</v>
      </c>
      <c r="H1557" s="51" t="n">
        <v>10000</v>
      </c>
      <c r="I1557" s="51" t="n">
        <v>12339.64</v>
      </c>
      <c r="J1557" s="51" t="n">
        <v>24679.28</v>
      </c>
      <c r="K1557" s="52" t="n">
        <v>24679.28</v>
      </c>
      <c r="L1557" s="53" t="n">
        <v>65.2</v>
      </c>
      <c r="M1557" s="54" t="n">
        <v>56.2</v>
      </c>
      <c r="N1557" s="51" t="n">
        <v>189.258306</v>
      </c>
      <c r="O1557" s="55" t="n">
        <v>4.348</v>
      </c>
      <c r="P1557" s="51" t="n">
        <v>-14679.28</v>
      </c>
      <c r="Q1557" s="49" t="s">
        <v>2103</v>
      </c>
      <c r="R1557" s="49" t="s">
        <v>2099</v>
      </c>
      <c r="S1557" s="53" t="n">
        <v>1</v>
      </c>
      <c r="T1557" s="51" t="n">
        <v>0</v>
      </c>
      <c r="U1557" s="56" t="n">
        <f aca="false">I1557*O1557</f>
        <v>53652.75472</v>
      </c>
      <c r="V1557" s="56" t="n">
        <f aca="false">J1557*O1557</f>
        <v>107305.50944</v>
      </c>
      <c r="W1557" s="56" t="n">
        <f aca="false">((I1557+J1557)/2)*O1557</f>
        <v>80479.13208</v>
      </c>
      <c r="X1557" s="56" t="n">
        <f aca="false">H1557*O1557</f>
        <v>43480</v>
      </c>
    </row>
    <row r="1558" customFormat="false" ht="22.35" hidden="false" customHeight="false" outlineLevel="0" collapsed="false">
      <c r="A1558" s="79" t="s">
        <v>2065</v>
      </c>
      <c r="B1558" s="4" t="s">
        <v>3681</v>
      </c>
      <c r="C1558" s="4" t="s">
        <v>3682</v>
      </c>
      <c r="D1558" s="4" t="s">
        <v>2101</v>
      </c>
      <c r="E1558" s="70" t="s">
        <v>2193</v>
      </c>
      <c r="F1558" s="4" t="s">
        <v>2097</v>
      </c>
      <c r="G1558" s="71" t="s">
        <v>2194</v>
      </c>
      <c r="H1558" s="6" t="n">
        <v>150</v>
      </c>
      <c r="I1558" s="6" t="n">
        <v>0</v>
      </c>
      <c r="J1558" s="6" t="n">
        <v>0</v>
      </c>
      <c r="K1558" s="52" t="n">
        <v>0</v>
      </c>
      <c r="L1558" s="72" t="n">
        <v>21.6</v>
      </c>
      <c r="M1558" s="73" t="n">
        <v>60</v>
      </c>
      <c r="N1558" s="6" t="n">
        <v>0.42142</v>
      </c>
      <c r="O1558" s="5" t="n">
        <v>7.85</v>
      </c>
      <c r="P1558" s="6" t="n">
        <v>150</v>
      </c>
      <c r="Q1558" s="4" t="s">
        <v>2098</v>
      </c>
      <c r="R1558" s="4" t="s">
        <v>2195</v>
      </c>
      <c r="S1558" s="72" t="n">
        <v>0</v>
      </c>
      <c r="T1558" s="6" t="n">
        <v>33.07</v>
      </c>
      <c r="U1558" s="56" t="n">
        <f aca="false">I1558*O1558</f>
        <v>0</v>
      </c>
      <c r="V1558" s="56" t="n">
        <f aca="false">J1558*O1558</f>
        <v>0</v>
      </c>
      <c r="W1558" s="56" t="n">
        <f aca="false">((I1558+J1558)/2)*O1558</f>
        <v>0</v>
      </c>
      <c r="X1558" s="56" t="n">
        <f aca="false">H1558*O1558</f>
        <v>1177.5</v>
      </c>
    </row>
    <row r="1559" customFormat="false" ht="22.35" hidden="false" customHeight="false" outlineLevel="0" collapsed="false">
      <c r="A1559" s="79" t="s">
        <v>2065</v>
      </c>
      <c r="B1559" s="49" t="s">
        <v>4123</v>
      </c>
      <c r="C1559" s="49" t="s">
        <v>4124</v>
      </c>
      <c r="D1559" s="49" t="s">
        <v>2101</v>
      </c>
      <c r="E1559" s="57" t="s">
        <v>2102</v>
      </c>
      <c r="F1559" s="49" t="s">
        <v>2097</v>
      </c>
      <c r="G1559" s="49" t="s">
        <v>2097</v>
      </c>
      <c r="H1559" s="51" t="n">
        <v>191</v>
      </c>
      <c r="I1559" s="51" t="n">
        <v>91.14</v>
      </c>
      <c r="J1559" s="51" t="n">
        <v>273.42</v>
      </c>
      <c r="K1559" s="52" t="n">
        <v>449.74</v>
      </c>
      <c r="L1559" s="53" t="n">
        <v>31.3</v>
      </c>
      <c r="M1559" s="54" t="n">
        <v>77.8</v>
      </c>
      <c r="N1559" s="51" t="n">
        <v>5.823798</v>
      </c>
      <c r="O1559" s="55" t="n">
        <v>3.27</v>
      </c>
      <c r="P1559" s="51" t="n">
        <v>-82.42</v>
      </c>
      <c r="Q1559" s="49" t="s">
        <v>2103</v>
      </c>
      <c r="R1559" s="49" t="s">
        <v>2099</v>
      </c>
      <c r="S1559" s="53" t="n">
        <v>0.5</v>
      </c>
      <c r="T1559" s="51" t="n">
        <v>449.74</v>
      </c>
      <c r="U1559" s="56" t="n">
        <f aca="false">I1559*O1559</f>
        <v>298.0278</v>
      </c>
      <c r="V1559" s="56" t="n">
        <f aca="false">J1559*O1559</f>
        <v>894.0834</v>
      </c>
      <c r="W1559" s="56" t="n">
        <f aca="false">((I1559+J1559)/2)*O1559</f>
        <v>596.0556</v>
      </c>
      <c r="X1559" s="56" t="n">
        <f aca="false">H1559*O1559</f>
        <v>624.57</v>
      </c>
    </row>
    <row r="1560" customFormat="false" ht="15" hidden="false" customHeight="false" outlineLevel="0" collapsed="false">
      <c r="A1560" s="79" t="s">
        <v>2065</v>
      </c>
      <c r="B1560" s="7" t="s">
        <v>2291</v>
      </c>
      <c r="C1560" s="7" t="s">
        <v>1615</v>
      </c>
      <c r="D1560" s="7" t="s">
        <v>2095</v>
      </c>
      <c r="E1560" s="50" t="s">
        <v>2096</v>
      </c>
      <c r="F1560" s="7" t="s">
        <v>2097</v>
      </c>
      <c r="G1560" s="7" t="s">
        <v>2097</v>
      </c>
      <c r="H1560" s="9" t="n">
        <v>150</v>
      </c>
      <c r="I1560" s="9" t="n">
        <v>44.86</v>
      </c>
      <c r="J1560" s="9" t="n">
        <v>89.72</v>
      </c>
      <c r="K1560" s="52" t="n">
        <v>20000</v>
      </c>
      <c r="L1560" s="58" t="n">
        <v>32.4</v>
      </c>
      <c r="M1560" s="59" t="n">
        <v>86.2</v>
      </c>
      <c r="N1560" s="9" t="n">
        <v>1.384534</v>
      </c>
      <c r="O1560" s="8" t="n">
        <v>3.7</v>
      </c>
      <c r="P1560" s="9" t="n">
        <v>60.28</v>
      </c>
      <c r="Q1560" s="7" t="s">
        <v>2098</v>
      </c>
      <c r="R1560" s="7" t="s">
        <v>2099</v>
      </c>
      <c r="S1560" s="58" t="n">
        <v>1</v>
      </c>
      <c r="T1560" s="9" t="n">
        <v>20000</v>
      </c>
      <c r="U1560" s="56" t="n">
        <f aca="false">I1560*O1560</f>
        <v>165.982</v>
      </c>
      <c r="V1560" s="56" t="n">
        <f aca="false">J1560*O1560</f>
        <v>331.964</v>
      </c>
      <c r="W1560" s="56" t="n">
        <f aca="false">((I1560+J1560)/2)*O1560</f>
        <v>248.973</v>
      </c>
      <c r="X1560" s="56" t="n">
        <f aca="false">H1560*O1560</f>
        <v>555</v>
      </c>
    </row>
    <row r="1561" customFormat="false" ht="22.35" hidden="false" customHeight="false" outlineLevel="0" collapsed="false">
      <c r="A1561" s="79" t="s">
        <v>2065</v>
      </c>
      <c r="B1561" s="4" t="s">
        <v>4125</v>
      </c>
      <c r="C1561" s="4" t="s">
        <v>1624</v>
      </c>
      <c r="D1561" s="4" t="s">
        <v>2101</v>
      </c>
      <c r="E1561" s="70" t="s">
        <v>2193</v>
      </c>
      <c r="F1561" s="4" t="s">
        <v>2097</v>
      </c>
      <c r="G1561" s="71" t="s">
        <v>2194</v>
      </c>
      <c r="H1561" s="6" t="n">
        <v>150</v>
      </c>
      <c r="I1561" s="6" t="n">
        <v>0</v>
      </c>
      <c r="J1561" s="6" t="n">
        <v>0</v>
      </c>
      <c r="K1561" s="52" t="n">
        <v>0</v>
      </c>
      <c r="L1561" s="72" t="n">
        <v>23</v>
      </c>
      <c r="M1561" s="73" t="n">
        <v>56.2</v>
      </c>
      <c r="N1561" s="6" t="n">
        <v>0.735937</v>
      </c>
      <c r="O1561" s="5" t="n">
        <v>5.61</v>
      </c>
      <c r="P1561" s="6" t="n">
        <v>150</v>
      </c>
      <c r="Q1561" s="4" t="s">
        <v>2098</v>
      </c>
      <c r="R1561" s="4" t="s">
        <v>2195</v>
      </c>
      <c r="S1561" s="72" t="n">
        <v>0</v>
      </c>
      <c r="T1561" s="6" t="n">
        <v>40</v>
      </c>
      <c r="U1561" s="56" t="n">
        <f aca="false">I1561*O1561</f>
        <v>0</v>
      </c>
      <c r="V1561" s="56" t="n">
        <f aca="false">J1561*O1561</f>
        <v>0</v>
      </c>
      <c r="W1561" s="56" t="n">
        <f aca="false">((I1561+J1561)/2)*O1561</f>
        <v>0</v>
      </c>
      <c r="X1561" s="56" t="n">
        <f aca="false">H1561*O1561</f>
        <v>841.5</v>
      </c>
    </row>
    <row r="1562" customFormat="false" ht="15" hidden="false" customHeight="false" outlineLevel="0" collapsed="false">
      <c r="A1562" s="79" t="s">
        <v>2065</v>
      </c>
      <c r="B1562" s="7" t="s">
        <v>2303</v>
      </c>
      <c r="C1562" s="7" t="s">
        <v>2304</v>
      </c>
      <c r="D1562" s="7" t="s">
        <v>2101</v>
      </c>
      <c r="E1562" s="50" t="s">
        <v>2096</v>
      </c>
      <c r="F1562" s="7" t="s">
        <v>2097</v>
      </c>
      <c r="G1562" s="7" t="s">
        <v>2097</v>
      </c>
      <c r="H1562" s="9" t="n">
        <v>311</v>
      </c>
      <c r="I1562" s="9" t="n">
        <v>79.6</v>
      </c>
      <c r="J1562" s="9" t="n">
        <v>238.81</v>
      </c>
      <c r="K1562" s="52" t="n">
        <v>264</v>
      </c>
      <c r="L1562" s="58" t="n">
        <v>22.5</v>
      </c>
      <c r="M1562" s="59" t="n">
        <v>84.8</v>
      </c>
      <c r="N1562" s="9" t="n">
        <v>7.075799</v>
      </c>
      <c r="O1562" s="8" t="n">
        <v>6.56</v>
      </c>
      <c r="P1562" s="9" t="n">
        <v>72.19</v>
      </c>
      <c r="Q1562" s="7" t="s">
        <v>2098</v>
      </c>
      <c r="R1562" s="7" t="s">
        <v>2099</v>
      </c>
      <c r="S1562" s="58" t="n">
        <v>0.5</v>
      </c>
      <c r="T1562" s="9" t="n">
        <v>44</v>
      </c>
      <c r="U1562" s="56" t="n">
        <f aca="false">I1562*O1562</f>
        <v>522.176</v>
      </c>
      <c r="V1562" s="56" t="n">
        <f aca="false">J1562*O1562</f>
        <v>1566.5936</v>
      </c>
      <c r="W1562" s="56" t="n">
        <f aca="false">((I1562+J1562)/2)*O1562</f>
        <v>1044.3848</v>
      </c>
      <c r="X1562" s="56" t="n">
        <f aca="false">H1562*O1562</f>
        <v>2040.16</v>
      </c>
    </row>
    <row r="1563" customFormat="false" ht="22.35" hidden="false" customHeight="false" outlineLevel="0" collapsed="false">
      <c r="A1563" s="79" t="s">
        <v>2065</v>
      </c>
      <c r="B1563" s="49" t="s">
        <v>4126</v>
      </c>
      <c r="C1563" s="49" t="s">
        <v>1624</v>
      </c>
      <c r="D1563" s="49" t="s">
        <v>2101</v>
      </c>
      <c r="E1563" s="57" t="s">
        <v>2102</v>
      </c>
      <c r="F1563" s="49" t="s">
        <v>2097</v>
      </c>
      <c r="G1563" s="49" t="s">
        <v>2097</v>
      </c>
      <c r="H1563" s="51" t="n">
        <v>533</v>
      </c>
      <c r="I1563" s="51" t="n">
        <v>326.49</v>
      </c>
      <c r="J1563" s="51" t="n">
        <v>979.47</v>
      </c>
      <c r="K1563" s="52" t="n">
        <v>1421.97</v>
      </c>
      <c r="L1563" s="53" t="n">
        <v>38.9</v>
      </c>
      <c r="M1563" s="54" t="n">
        <v>73.3</v>
      </c>
      <c r="N1563" s="51" t="n">
        <v>16.786211</v>
      </c>
      <c r="O1563" s="55" t="n">
        <v>2.19</v>
      </c>
      <c r="P1563" s="51" t="n">
        <v>-446.47</v>
      </c>
      <c r="Q1563" s="49" t="s">
        <v>2103</v>
      </c>
      <c r="R1563" s="49" t="s">
        <v>2099</v>
      </c>
      <c r="S1563" s="53" t="n">
        <v>0.5</v>
      </c>
      <c r="T1563" s="51" t="n">
        <v>473.99</v>
      </c>
      <c r="U1563" s="56" t="n">
        <f aca="false">I1563*O1563</f>
        <v>715.0131</v>
      </c>
      <c r="V1563" s="56" t="n">
        <f aca="false">J1563*O1563</f>
        <v>2145.0393</v>
      </c>
      <c r="W1563" s="56" t="n">
        <f aca="false">((I1563+J1563)/2)*O1563</f>
        <v>1430.0262</v>
      </c>
      <c r="X1563" s="56" t="n">
        <f aca="false">H1563*O1563</f>
        <v>1167.27</v>
      </c>
    </row>
    <row r="1564" customFormat="false" ht="15" hidden="false" customHeight="false" outlineLevel="0" collapsed="false">
      <c r="A1564" s="79" t="s">
        <v>2065</v>
      </c>
      <c r="B1564" s="7" t="s">
        <v>2305</v>
      </c>
      <c r="C1564" s="7" t="s">
        <v>2306</v>
      </c>
      <c r="D1564" s="7" t="s">
        <v>2101</v>
      </c>
      <c r="E1564" s="50" t="s">
        <v>2096</v>
      </c>
      <c r="F1564" s="7" t="s">
        <v>2097</v>
      </c>
      <c r="G1564" s="7" t="s">
        <v>2097</v>
      </c>
      <c r="H1564" s="9" t="n">
        <v>150</v>
      </c>
      <c r="I1564" s="9" t="n">
        <v>32.96</v>
      </c>
      <c r="J1564" s="9" t="n">
        <v>98.89</v>
      </c>
      <c r="K1564" s="52" t="n">
        <v>120</v>
      </c>
      <c r="L1564" s="58" t="n">
        <v>26.1</v>
      </c>
      <c r="M1564" s="59" t="n">
        <v>86.7</v>
      </c>
      <c r="N1564" s="9" t="n">
        <v>2.525869</v>
      </c>
      <c r="O1564" s="8" t="n">
        <v>5.098</v>
      </c>
      <c r="P1564" s="9" t="n">
        <v>51.11</v>
      </c>
      <c r="Q1564" s="7" t="s">
        <v>2098</v>
      </c>
      <c r="R1564" s="7" t="s">
        <v>2099</v>
      </c>
      <c r="S1564" s="58" t="n">
        <v>0.5</v>
      </c>
      <c r="T1564" s="9" t="n">
        <v>40</v>
      </c>
      <c r="U1564" s="56" t="n">
        <f aca="false">I1564*O1564</f>
        <v>168.03008</v>
      </c>
      <c r="V1564" s="56" t="n">
        <f aca="false">J1564*O1564</f>
        <v>504.14122</v>
      </c>
      <c r="W1564" s="56" t="n">
        <f aca="false">((I1564+J1564)/2)*O1564</f>
        <v>336.08565</v>
      </c>
      <c r="X1564" s="56" t="n">
        <f aca="false">H1564*O1564</f>
        <v>764.7</v>
      </c>
    </row>
    <row r="1565" customFormat="false" ht="22.35" hidden="false" customHeight="false" outlineLevel="0" collapsed="false">
      <c r="A1565" s="79" t="s">
        <v>2065</v>
      </c>
      <c r="B1565" s="49" t="s">
        <v>2307</v>
      </c>
      <c r="C1565" s="49" t="s">
        <v>2308</v>
      </c>
      <c r="D1565" s="49" t="s">
        <v>2101</v>
      </c>
      <c r="E1565" s="57" t="s">
        <v>2102</v>
      </c>
      <c r="F1565" s="49" t="s">
        <v>2097</v>
      </c>
      <c r="G1565" s="49" t="s">
        <v>2097</v>
      </c>
      <c r="H1565" s="51" t="n">
        <v>554</v>
      </c>
      <c r="I1565" s="51" t="n">
        <v>292.3</v>
      </c>
      <c r="J1565" s="51" t="n">
        <v>876.91</v>
      </c>
      <c r="K1565" s="52" t="n">
        <v>885.992</v>
      </c>
      <c r="L1565" s="53" t="n">
        <v>32.4</v>
      </c>
      <c r="M1565" s="54" t="n">
        <v>83.3</v>
      </c>
      <c r="N1565" s="51" t="n">
        <v>18.043498</v>
      </c>
      <c r="O1565" s="55" t="n">
        <v>2.33</v>
      </c>
      <c r="P1565" s="51" t="n">
        <v>-322.91</v>
      </c>
      <c r="Q1565" s="49" t="s">
        <v>2103</v>
      </c>
      <c r="R1565" s="49" t="s">
        <v>2099</v>
      </c>
      <c r="S1565" s="53" t="n">
        <v>0.5</v>
      </c>
      <c r="T1565" s="51" t="n">
        <v>442.996</v>
      </c>
      <c r="U1565" s="56" t="n">
        <f aca="false">I1565*O1565</f>
        <v>681.059</v>
      </c>
      <c r="V1565" s="56" t="n">
        <f aca="false">J1565*O1565</f>
        <v>2043.2003</v>
      </c>
      <c r="W1565" s="56" t="n">
        <f aca="false">((I1565+J1565)/2)*O1565</f>
        <v>1362.12965</v>
      </c>
      <c r="X1565" s="56" t="n">
        <f aca="false">H1565*O1565</f>
        <v>1290.82</v>
      </c>
    </row>
    <row r="1566" customFormat="false" ht="22.35" hidden="false" customHeight="false" outlineLevel="0" collapsed="false">
      <c r="A1566" s="79" t="s">
        <v>2065</v>
      </c>
      <c r="B1566" s="7" t="s">
        <v>4127</v>
      </c>
      <c r="C1566" s="7" t="s">
        <v>4128</v>
      </c>
      <c r="D1566" s="7" t="s">
        <v>2101</v>
      </c>
      <c r="E1566" s="57" t="s">
        <v>2102</v>
      </c>
      <c r="F1566" s="7" t="s">
        <v>2097</v>
      </c>
      <c r="G1566" s="7" t="s">
        <v>2097</v>
      </c>
      <c r="H1566" s="9" t="n">
        <v>238</v>
      </c>
      <c r="I1566" s="9" t="n">
        <v>131.06</v>
      </c>
      <c r="J1566" s="9" t="n">
        <v>393.19</v>
      </c>
      <c r="K1566" s="52" t="n">
        <v>765.6</v>
      </c>
      <c r="L1566" s="58" t="n">
        <v>33.5</v>
      </c>
      <c r="M1566" s="59" t="n">
        <v>100</v>
      </c>
      <c r="N1566" s="9" t="n">
        <v>7.824671</v>
      </c>
      <c r="O1566" s="8" t="n">
        <v>4.63</v>
      </c>
      <c r="P1566" s="9" t="n">
        <v>-155.19</v>
      </c>
      <c r="Q1566" s="7" t="s">
        <v>2103</v>
      </c>
      <c r="R1566" s="7" t="s">
        <v>2099</v>
      </c>
      <c r="S1566" s="58" t="n">
        <v>0.5</v>
      </c>
      <c r="T1566" s="9" t="n">
        <v>382.8</v>
      </c>
      <c r="U1566" s="56" t="n">
        <f aca="false">I1566*O1566</f>
        <v>606.8078</v>
      </c>
      <c r="V1566" s="56" t="n">
        <f aca="false">J1566*O1566</f>
        <v>1820.4697</v>
      </c>
      <c r="W1566" s="56" t="n">
        <f aca="false">((I1566+J1566)/2)*O1566</f>
        <v>1213.63875</v>
      </c>
      <c r="X1566" s="56" t="n">
        <f aca="false">H1566*O1566</f>
        <v>1101.94</v>
      </c>
    </row>
    <row r="1567" customFormat="false" ht="22.35" hidden="false" customHeight="false" outlineLevel="0" collapsed="false">
      <c r="A1567" s="79" t="s">
        <v>2065</v>
      </c>
      <c r="B1567" s="49" t="s">
        <v>2315</v>
      </c>
      <c r="C1567" s="49" t="s">
        <v>2316</v>
      </c>
      <c r="D1567" s="49" t="s">
        <v>2101</v>
      </c>
      <c r="E1567" s="57" t="s">
        <v>2102</v>
      </c>
      <c r="F1567" s="49" t="s">
        <v>2097</v>
      </c>
      <c r="G1567" s="49" t="s">
        <v>2097</v>
      </c>
      <c r="H1567" s="51" t="n">
        <v>171</v>
      </c>
      <c r="I1567" s="51" t="n">
        <v>122.03</v>
      </c>
      <c r="J1567" s="51" t="n">
        <v>366.08</v>
      </c>
      <c r="K1567" s="52" t="n">
        <v>480</v>
      </c>
      <c r="L1567" s="53" t="n">
        <v>38.2</v>
      </c>
      <c r="M1567" s="54" t="n">
        <v>68.4</v>
      </c>
      <c r="N1567" s="51" t="n">
        <v>6.388757</v>
      </c>
      <c r="O1567" s="55" t="n">
        <v>1.26</v>
      </c>
      <c r="P1567" s="51" t="n">
        <v>-195.08</v>
      </c>
      <c r="Q1567" s="49" t="s">
        <v>2103</v>
      </c>
      <c r="R1567" s="49" t="s">
        <v>2099</v>
      </c>
      <c r="S1567" s="53" t="n">
        <v>0.5</v>
      </c>
      <c r="T1567" s="51" t="n">
        <v>480</v>
      </c>
      <c r="U1567" s="56" t="n">
        <f aca="false">I1567*O1567</f>
        <v>153.7578</v>
      </c>
      <c r="V1567" s="56" t="n">
        <f aca="false">J1567*O1567</f>
        <v>461.2608</v>
      </c>
      <c r="W1567" s="56" t="n">
        <f aca="false">((I1567+J1567)/2)*O1567</f>
        <v>307.5093</v>
      </c>
      <c r="X1567" s="56" t="n">
        <f aca="false">H1567*O1567</f>
        <v>215.46</v>
      </c>
    </row>
    <row r="1568" customFormat="false" ht="22.35" hidden="false" customHeight="false" outlineLevel="0" collapsed="false">
      <c r="A1568" s="79" t="s">
        <v>2065</v>
      </c>
      <c r="B1568" s="7" t="s">
        <v>4129</v>
      </c>
      <c r="C1568" s="7" t="s">
        <v>4130</v>
      </c>
      <c r="D1568" s="7" t="s">
        <v>2101</v>
      </c>
      <c r="E1568" s="57" t="s">
        <v>2102</v>
      </c>
      <c r="F1568" s="7" t="s">
        <v>2097</v>
      </c>
      <c r="G1568" s="7" t="s">
        <v>2097</v>
      </c>
      <c r="H1568" s="9" t="n">
        <v>150</v>
      </c>
      <c r="I1568" s="9" t="n">
        <v>66.52</v>
      </c>
      <c r="J1568" s="9" t="n">
        <v>199.56</v>
      </c>
      <c r="K1568" s="52" t="n">
        <v>330.69</v>
      </c>
      <c r="L1568" s="58" t="n">
        <v>32.6</v>
      </c>
      <c r="M1568" s="59" t="n">
        <v>100</v>
      </c>
      <c r="N1568" s="9" t="n">
        <v>4.080885</v>
      </c>
      <c r="O1568" s="8" t="n">
        <v>13.75</v>
      </c>
      <c r="P1568" s="9" t="n">
        <v>-49.56</v>
      </c>
      <c r="Q1568" s="7" t="s">
        <v>2103</v>
      </c>
      <c r="R1568" s="7" t="s">
        <v>2099</v>
      </c>
      <c r="S1568" s="58" t="n">
        <v>0.5</v>
      </c>
      <c r="T1568" s="9" t="n">
        <v>330.69</v>
      </c>
      <c r="U1568" s="56" t="n">
        <f aca="false">I1568*O1568</f>
        <v>914.65</v>
      </c>
      <c r="V1568" s="56" t="n">
        <f aca="false">J1568*O1568</f>
        <v>2743.95</v>
      </c>
      <c r="W1568" s="56" t="n">
        <f aca="false">((I1568+J1568)/2)*O1568</f>
        <v>1829.3</v>
      </c>
      <c r="X1568" s="56" t="n">
        <f aca="false">H1568*O1568</f>
        <v>2062.5</v>
      </c>
    </row>
    <row r="1569" customFormat="false" ht="22.35" hidden="false" customHeight="false" outlineLevel="0" collapsed="false">
      <c r="A1569" s="79" t="s">
        <v>2065</v>
      </c>
      <c r="B1569" s="49" t="s">
        <v>4131</v>
      </c>
      <c r="C1569" s="49" t="s">
        <v>4132</v>
      </c>
      <c r="D1569" s="49" t="s">
        <v>2095</v>
      </c>
      <c r="E1569" s="61" t="s">
        <v>2113</v>
      </c>
      <c r="F1569" s="49" t="s">
        <v>2097</v>
      </c>
      <c r="G1569" s="49" t="s">
        <v>2097</v>
      </c>
      <c r="H1569" s="51" t="n">
        <v>4976</v>
      </c>
      <c r="I1569" s="51" t="n">
        <v>4012.06</v>
      </c>
      <c r="J1569" s="51" t="n">
        <v>8024.12</v>
      </c>
      <c r="K1569" s="52" t="n">
        <v>8024.12</v>
      </c>
      <c r="L1569" s="53" t="n">
        <v>46.2</v>
      </c>
      <c r="M1569" s="54" t="n">
        <v>60</v>
      </c>
      <c r="N1569" s="51" t="n">
        <v>86.841096</v>
      </c>
      <c r="O1569" s="55" t="n">
        <v>1.9094</v>
      </c>
      <c r="P1569" s="51" t="n">
        <v>-3048.12</v>
      </c>
      <c r="Q1569" s="49" t="s">
        <v>2103</v>
      </c>
      <c r="R1569" s="49" t="s">
        <v>2099</v>
      </c>
      <c r="S1569" s="53" t="n">
        <v>1</v>
      </c>
      <c r="T1569" s="51" t="n">
        <v>1</v>
      </c>
      <c r="U1569" s="56" t="n">
        <f aca="false">I1569*O1569</f>
        <v>7660.627364</v>
      </c>
      <c r="V1569" s="56" t="n">
        <f aca="false">J1569*O1569</f>
        <v>15321.254728</v>
      </c>
      <c r="W1569" s="56" t="n">
        <f aca="false">((I1569+J1569)/2)*O1569</f>
        <v>11490.941046</v>
      </c>
      <c r="X1569" s="56" t="n">
        <f aca="false">H1569*O1569</f>
        <v>9501.1744</v>
      </c>
    </row>
    <row r="1570" customFormat="false" ht="22.35" hidden="false" customHeight="false" outlineLevel="0" collapsed="false">
      <c r="A1570" s="79" t="s">
        <v>2065</v>
      </c>
      <c r="B1570" s="7" t="s">
        <v>4133</v>
      </c>
      <c r="C1570" s="7" t="s">
        <v>4134</v>
      </c>
      <c r="D1570" s="7" t="s">
        <v>2095</v>
      </c>
      <c r="E1570" s="61" t="s">
        <v>2113</v>
      </c>
      <c r="F1570" s="7" t="s">
        <v>2097</v>
      </c>
      <c r="G1570" s="7" t="s">
        <v>2097</v>
      </c>
      <c r="H1570" s="9" t="n">
        <v>3773</v>
      </c>
      <c r="I1570" s="9" t="n">
        <v>2624.8</v>
      </c>
      <c r="J1570" s="9" t="n">
        <v>5249.6</v>
      </c>
      <c r="K1570" s="52" t="n">
        <v>6600</v>
      </c>
      <c r="L1570" s="58" t="n">
        <v>40.3</v>
      </c>
      <c r="M1570" s="59" t="n">
        <v>77.8</v>
      </c>
      <c r="N1570" s="9" t="n">
        <v>65.131507</v>
      </c>
      <c r="O1570" s="8" t="n">
        <v>0.4176</v>
      </c>
      <c r="P1570" s="9" t="n">
        <v>-1476.6</v>
      </c>
      <c r="Q1570" s="7" t="s">
        <v>2103</v>
      </c>
      <c r="R1570" s="7" t="s">
        <v>2099</v>
      </c>
      <c r="S1570" s="58" t="n">
        <v>1</v>
      </c>
      <c r="T1570" s="9" t="n">
        <v>1650</v>
      </c>
      <c r="U1570" s="56" t="n">
        <f aca="false">I1570*O1570</f>
        <v>1096.11648</v>
      </c>
      <c r="V1570" s="56" t="n">
        <f aca="false">J1570*O1570</f>
        <v>2192.23296</v>
      </c>
      <c r="W1570" s="56" t="n">
        <f aca="false">((I1570+J1570)/2)*O1570</f>
        <v>1644.17472</v>
      </c>
      <c r="X1570" s="56" t="n">
        <f aca="false">H1570*O1570</f>
        <v>1575.6048</v>
      </c>
    </row>
    <row r="1571" customFormat="false" ht="22.35" hidden="false" customHeight="false" outlineLevel="0" collapsed="false">
      <c r="A1571" s="79" t="s">
        <v>2065</v>
      </c>
      <c r="B1571" s="62" t="s">
        <v>4135</v>
      </c>
      <c r="C1571" s="62" t="s">
        <v>4136</v>
      </c>
      <c r="D1571" s="62" t="s">
        <v>2101</v>
      </c>
      <c r="E1571" s="63" t="s">
        <v>2169</v>
      </c>
      <c r="F1571" s="64" t="s">
        <v>2170</v>
      </c>
      <c r="G1571" s="62" t="s">
        <v>2097</v>
      </c>
      <c r="H1571" s="65" t="n">
        <v>209</v>
      </c>
      <c r="I1571" s="65" t="n">
        <v>5.47</v>
      </c>
      <c r="J1571" s="65" t="n">
        <v>16.4</v>
      </c>
      <c r="K1571" s="66" t="n">
        <v>540</v>
      </c>
      <c r="L1571" s="67" t="n">
        <v>2</v>
      </c>
      <c r="M1571" s="68" t="n">
        <v>100</v>
      </c>
      <c r="N1571" s="65" t="n">
        <v>3.643836</v>
      </c>
      <c r="O1571" s="69" t="n">
        <v>3.52</v>
      </c>
      <c r="P1571" s="65" t="n">
        <v>192.6</v>
      </c>
      <c r="Q1571" s="62" t="s">
        <v>2098</v>
      </c>
      <c r="R1571" s="62" t="s">
        <v>4137</v>
      </c>
      <c r="S1571" s="67" t="n">
        <v>0.5</v>
      </c>
      <c r="T1571" s="65" t="n">
        <v>540</v>
      </c>
      <c r="U1571" s="56" t="n">
        <f aca="false">I1571*O1571</f>
        <v>19.2544</v>
      </c>
      <c r="V1571" s="56" t="n">
        <f aca="false">J1571*O1571</f>
        <v>57.728</v>
      </c>
      <c r="W1571" s="56" t="n">
        <f aca="false">((I1571+J1571)/2)*O1571</f>
        <v>38.4912</v>
      </c>
      <c r="X1571" s="56" t="n">
        <f aca="false">H1571*O1571</f>
        <v>735.68</v>
      </c>
    </row>
    <row r="1572" customFormat="false" ht="15" hidden="false" customHeight="false" outlineLevel="0" collapsed="false">
      <c r="A1572" s="79" t="s">
        <v>2065</v>
      </c>
      <c r="B1572" s="7" t="s">
        <v>3713</v>
      </c>
      <c r="C1572" s="7" t="s">
        <v>3714</v>
      </c>
      <c r="D1572" s="7" t="s">
        <v>2101</v>
      </c>
      <c r="E1572" s="50" t="s">
        <v>2096</v>
      </c>
      <c r="F1572" s="7" t="s">
        <v>2097</v>
      </c>
      <c r="G1572" s="7" t="s">
        <v>2097</v>
      </c>
      <c r="H1572" s="9" t="n">
        <v>150</v>
      </c>
      <c r="I1572" s="9" t="n">
        <v>30.38</v>
      </c>
      <c r="J1572" s="9" t="n">
        <v>91.14</v>
      </c>
      <c r="K1572" s="52" t="n">
        <v>450</v>
      </c>
      <c r="L1572" s="58" t="n">
        <v>28.4</v>
      </c>
      <c r="M1572" s="59" t="n">
        <v>42.9</v>
      </c>
      <c r="N1572" s="9" t="n">
        <v>2.139428</v>
      </c>
      <c r="O1572" s="8" t="n">
        <v>3.102</v>
      </c>
      <c r="P1572" s="9" t="n">
        <v>58.86</v>
      </c>
      <c r="Q1572" s="7" t="s">
        <v>2098</v>
      </c>
      <c r="R1572" s="7" t="s">
        <v>2099</v>
      </c>
      <c r="S1572" s="58" t="n">
        <v>0.5</v>
      </c>
      <c r="T1572" s="9" t="n">
        <v>450</v>
      </c>
      <c r="U1572" s="56" t="n">
        <f aca="false">I1572*O1572</f>
        <v>94.23876</v>
      </c>
      <c r="V1572" s="56" t="n">
        <f aca="false">J1572*O1572</f>
        <v>282.71628</v>
      </c>
      <c r="W1572" s="56" t="n">
        <f aca="false">((I1572+J1572)/2)*O1572</f>
        <v>188.47752</v>
      </c>
      <c r="X1572" s="56" t="n">
        <f aca="false">H1572*O1572</f>
        <v>465.3</v>
      </c>
    </row>
    <row r="1573" customFormat="false" ht="15" hidden="false" customHeight="false" outlineLevel="0" collapsed="false">
      <c r="A1573" s="79" t="s">
        <v>2065</v>
      </c>
      <c r="B1573" s="49" t="s">
        <v>3715</v>
      </c>
      <c r="C1573" s="49" t="s">
        <v>3716</v>
      </c>
      <c r="D1573" s="49" t="s">
        <v>2101</v>
      </c>
      <c r="E1573" s="50" t="s">
        <v>2096</v>
      </c>
      <c r="F1573" s="49" t="s">
        <v>2097</v>
      </c>
      <c r="G1573" s="49" t="s">
        <v>2097</v>
      </c>
      <c r="H1573" s="51" t="n">
        <v>150</v>
      </c>
      <c r="I1573" s="51" t="n">
        <v>25.01</v>
      </c>
      <c r="J1573" s="51" t="n">
        <v>75.03</v>
      </c>
      <c r="K1573" s="52" t="n">
        <v>450</v>
      </c>
      <c r="L1573" s="53" t="n">
        <v>34.3</v>
      </c>
      <c r="M1573" s="54" t="n">
        <v>61.9</v>
      </c>
      <c r="N1573" s="51" t="n">
        <v>1.458324</v>
      </c>
      <c r="O1573" s="55" t="n">
        <v>5.502</v>
      </c>
      <c r="P1573" s="51" t="n">
        <v>74.97</v>
      </c>
      <c r="Q1573" s="49" t="s">
        <v>2098</v>
      </c>
      <c r="R1573" s="49" t="s">
        <v>2099</v>
      </c>
      <c r="S1573" s="53" t="n">
        <v>0.5</v>
      </c>
      <c r="T1573" s="51" t="n">
        <v>450</v>
      </c>
      <c r="U1573" s="56" t="n">
        <f aca="false">I1573*O1573</f>
        <v>137.60502</v>
      </c>
      <c r="V1573" s="56" t="n">
        <f aca="false">J1573*O1573</f>
        <v>412.81506</v>
      </c>
      <c r="W1573" s="56" t="n">
        <f aca="false">((I1573+J1573)/2)*O1573</f>
        <v>275.21004</v>
      </c>
      <c r="X1573" s="56" t="n">
        <f aca="false">H1573*O1573</f>
        <v>825.3</v>
      </c>
    </row>
    <row r="1574" customFormat="false" ht="15" hidden="false" customHeight="false" outlineLevel="0" collapsed="false">
      <c r="A1574" s="79" t="s">
        <v>2065</v>
      </c>
      <c r="B1574" s="7" t="s">
        <v>4138</v>
      </c>
      <c r="C1574" s="7" t="s">
        <v>4139</v>
      </c>
      <c r="D1574" s="7" t="s">
        <v>2101</v>
      </c>
      <c r="E1574" s="50" t="s">
        <v>2096</v>
      </c>
      <c r="F1574" s="7" t="s">
        <v>2097</v>
      </c>
      <c r="G1574" s="7" t="s">
        <v>2097</v>
      </c>
      <c r="H1574" s="9" t="n">
        <v>150</v>
      </c>
      <c r="I1574" s="9" t="n">
        <v>43.84</v>
      </c>
      <c r="J1574" s="9" t="n">
        <v>131.53</v>
      </c>
      <c r="K1574" s="52" t="n">
        <v>550</v>
      </c>
      <c r="L1574" s="58" t="n">
        <v>36.6</v>
      </c>
      <c r="M1574" s="59" t="n">
        <v>50</v>
      </c>
      <c r="N1574" s="9" t="n">
        <v>2.395874</v>
      </c>
      <c r="O1574" s="8" t="n">
        <v>3.279</v>
      </c>
      <c r="P1574" s="9" t="n">
        <v>18.47</v>
      </c>
      <c r="Q1574" s="7" t="s">
        <v>2098</v>
      </c>
      <c r="R1574" s="7" t="s">
        <v>2099</v>
      </c>
      <c r="S1574" s="58" t="n">
        <v>0.5</v>
      </c>
      <c r="T1574" s="9" t="n">
        <v>550</v>
      </c>
      <c r="U1574" s="56" t="n">
        <f aca="false">I1574*O1574</f>
        <v>143.75136</v>
      </c>
      <c r="V1574" s="56" t="n">
        <f aca="false">J1574*O1574</f>
        <v>431.28687</v>
      </c>
      <c r="W1574" s="56" t="n">
        <f aca="false">((I1574+J1574)/2)*O1574</f>
        <v>287.519115</v>
      </c>
      <c r="X1574" s="56" t="n">
        <f aca="false">H1574*O1574</f>
        <v>491.85</v>
      </c>
    </row>
    <row r="1575" customFormat="false" ht="15" hidden="false" customHeight="false" outlineLevel="0" collapsed="false">
      <c r="A1575" s="79" t="s">
        <v>2065</v>
      </c>
      <c r="B1575" s="49" t="s">
        <v>3720</v>
      </c>
      <c r="C1575" s="49" t="s">
        <v>3478</v>
      </c>
      <c r="D1575" s="49" t="s">
        <v>2101</v>
      </c>
      <c r="E1575" s="50" t="s">
        <v>2096</v>
      </c>
      <c r="F1575" s="49" t="s">
        <v>2097</v>
      </c>
      <c r="G1575" s="49" t="s">
        <v>2097</v>
      </c>
      <c r="H1575" s="51" t="n">
        <v>150</v>
      </c>
      <c r="I1575" s="51" t="n">
        <v>0.95</v>
      </c>
      <c r="J1575" s="51" t="n">
        <v>2.84</v>
      </c>
      <c r="K1575" s="52" t="n">
        <v>40</v>
      </c>
      <c r="L1575" s="53" t="n">
        <v>15.8</v>
      </c>
      <c r="M1575" s="54" t="n">
        <v>88.9</v>
      </c>
      <c r="N1575" s="51" t="n">
        <v>0.119795</v>
      </c>
      <c r="O1575" s="55" t="n">
        <v>31.2564</v>
      </c>
      <c r="P1575" s="51" t="n">
        <v>147.16</v>
      </c>
      <c r="Q1575" s="49" t="s">
        <v>2098</v>
      </c>
      <c r="R1575" s="49" t="s">
        <v>2099</v>
      </c>
      <c r="S1575" s="53" t="n">
        <v>0.5</v>
      </c>
      <c r="T1575" s="51" t="n">
        <v>40</v>
      </c>
      <c r="U1575" s="56" t="n">
        <f aca="false">I1575*O1575</f>
        <v>29.69358</v>
      </c>
      <c r="V1575" s="56" t="n">
        <f aca="false">J1575*O1575</f>
        <v>88.768176</v>
      </c>
      <c r="W1575" s="56" t="n">
        <f aca="false">((I1575+J1575)/2)*O1575</f>
        <v>59.230878</v>
      </c>
      <c r="X1575" s="56" t="n">
        <f aca="false">H1575*O1575</f>
        <v>4688.46</v>
      </c>
    </row>
    <row r="1576" customFormat="false" ht="22.35" hidden="false" customHeight="false" outlineLevel="0" collapsed="false">
      <c r="A1576" s="79" t="s">
        <v>2065</v>
      </c>
      <c r="B1576" s="7" t="s">
        <v>3727</v>
      </c>
      <c r="C1576" s="7" t="s">
        <v>3728</v>
      </c>
      <c r="D1576" s="7" t="s">
        <v>2095</v>
      </c>
      <c r="E1576" s="61" t="s">
        <v>2113</v>
      </c>
      <c r="F1576" s="7" t="s">
        <v>2097</v>
      </c>
      <c r="G1576" s="7" t="s">
        <v>2097</v>
      </c>
      <c r="H1576" s="9" t="n">
        <v>1762</v>
      </c>
      <c r="I1576" s="9" t="n">
        <v>2094.56</v>
      </c>
      <c r="J1576" s="9" t="n">
        <v>4189.12</v>
      </c>
      <c r="K1576" s="52" t="n">
        <v>4189.12</v>
      </c>
      <c r="L1576" s="58" t="n">
        <v>36.8</v>
      </c>
      <c r="M1576" s="59" t="n">
        <v>77.2</v>
      </c>
      <c r="N1576" s="9" t="n">
        <v>56.917409</v>
      </c>
      <c r="O1576" s="8" t="n">
        <v>0.9201</v>
      </c>
      <c r="P1576" s="9" t="n">
        <v>-2427.12</v>
      </c>
      <c r="Q1576" s="7" t="s">
        <v>2103</v>
      </c>
      <c r="R1576" s="7" t="s">
        <v>2099</v>
      </c>
      <c r="S1576" s="58" t="n">
        <v>1</v>
      </c>
      <c r="T1576" s="9" t="n">
        <v>55.12</v>
      </c>
      <c r="U1576" s="56" t="n">
        <f aca="false">I1576*O1576</f>
        <v>1927.204656</v>
      </c>
      <c r="V1576" s="56" t="n">
        <f aca="false">J1576*O1576</f>
        <v>3854.409312</v>
      </c>
      <c r="W1576" s="56" t="n">
        <f aca="false">((I1576+J1576)/2)*O1576</f>
        <v>2890.806984</v>
      </c>
      <c r="X1576" s="56" t="n">
        <f aca="false">H1576*O1576</f>
        <v>1621.2162</v>
      </c>
    </row>
    <row r="1577" customFormat="false" ht="22.35" hidden="false" customHeight="false" outlineLevel="0" collapsed="false">
      <c r="A1577" s="79" t="s">
        <v>2065</v>
      </c>
      <c r="B1577" s="49" t="s">
        <v>4140</v>
      </c>
      <c r="C1577" s="49" t="s">
        <v>3777</v>
      </c>
      <c r="D1577" s="49" t="s">
        <v>2101</v>
      </c>
      <c r="E1577" s="57" t="s">
        <v>2102</v>
      </c>
      <c r="F1577" s="49" t="s">
        <v>2097</v>
      </c>
      <c r="G1577" s="49" t="s">
        <v>2097</v>
      </c>
      <c r="H1577" s="51" t="n">
        <v>751</v>
      </c>
      <c r="I1577" s="51" t="n">
        <v>301.64</v>
      </c>
      <c r="J1577" s="51" t="n">
        <v>904.92</v>
      </c>
      <c r="K1577" s="52" t="n">
        <v>1000</v>
      </c>
      <c r="L1577" s="53" t="n">
        <v>40.3</v>
      </c>
      <c r="M1577" s="54" t="n">
        <v>100</v>
      </c>
      <c r="N1577" s="51" t="n">
        <v>14.969636</v>
      </c>
      <c r="O1577" s="55" t="n">
        <v>0.7636</v>
      </c>
      <c r="P1577" s="51" t="n">
        <v>-153.92</v>
      </c>
      <c r="Q1577" s="49" t="s">
        <v>2103</v>
      </c>
      <c r="R1577" s="49" t="s">
        <v>2099</v>
      </c>
      <c r="S1577" s="53" t="n">
        <v>0.5</v>
      </c>
      <c r="T1577" s="51" t="n">
        <v>500</v>
      </c>
      <c r="U1577" s="56" t="n">
        <f aca="false">I1577*O1577</f>
        <v>230.332304</v>
      </c>
      <c r="V1577" s="56" t="n">
        <f aca="false">J1577*O1577</f>
        <v>690.996912</v>
      </c>
      <c r="W1577" s="56" t="n">
        <f aca="false">((I1577+J1577)/2)*O1577</f>
        <v>460.664608</v>
      </c>
      <c r="X1577" s="56" t="n">
        <f aca="false">H1577*O1577</f>
        <v>573.4636</v>
      </c>
    </row>
    <row r="1578" customFormat="false" ht="22.35" hidden="false" customHeight="false" outlineLevel="0" collapsed="false">
      <c r="A1578" s="79" t="s">
        <v>2065</v>
      </c>
      <c r="B1578" s="7" t="s">
        <v>3729</v>
      </c>
      <c r="C1578" s="7" t="s">
        <v>3730</v>
      </c>
      <c r="D1578" s="7" t="s">
        <v>2101</v>
      </c>
      <c r="E1578" s="57" t="s">
        <v>2102</v>
      </c>
      <c r="F1578" s="7" t="s">
        <v>2097</v>
      </c>
      <c r="G1578" s="7" t="s">
        <v>2097</v>
      </c>
      <c r="H1578" s="9" t="n">
        <v>2203</v>
      </c>
      <c r="I1578" s="9" t="n">
        <v>1261.71</v>
      </c>
      <c r="J1578" s="9" t="n">
        <v>3785.14</v>
      </c>
      <c r="K1578" s="52" t="n">
        <v>4000</v>
      </c>
      <c r="L1578" s="58" t="n">
        <v>30</v>
      </c>
      <c r="M1578" s="59" t="n">
        <v>59.1</v>
      </c>
      <c r="N1578" s="9" t="n">
        <v>84.114326</v>
      </c>
      <c r="O1578" s="8" t="n">
        <v>3.4467</v>
      </c>
      <c r="P1578" s="9" t="n">
        <v>-1582.14</v>
      </c>
      <c r="Q1578" s="7" t="s">
        <v>2103</v>
      </c>
      <c r="R1578" s="7" t="s">
        <v>2099</v>
      </c>
      <c r="S1578" s="58" t="n">
        <v>0.5</v>
      </c>
      <c r="T1578" s="9" t="n">
        <v>500</v>
      </c>
      <c r="U1578" s="56" t="n">
        <f aca="false">I1578*O1578</f>
        <v>4348.735857</v>
      </c>
      <c r="V1578" s="56" t="n">
        <f aca="false">J1578*O1578</f>
        <v>13046.242038</v>
      </c>
      <c r="W1578" s="56" t="n">
        <f aca="false">((I1578+J1578)/2)*O1578</f>
        <v>8697.4889475</v>
      </c>
      <c r="X1578" s="56" t="n">
        <f aca="false">H1578*O1578</f>
        <v>7593.0801</v>
      </c>
    </row>
    <row r="1579" customFormat="false" ht="22.35" hidden="false" customHeight="false" outlineLevel="0" collapsed="false">
      <c r="A1579" s="79" t="s">
        <v>2065</v>
      </c>
      <c r="B1579" s="49" t="s">
        <v>4141</v>
      </c>
      <c r="C1579" s="49" t="s">
        <v>3783</v>
      </c>
      <c r="D1579" s="49" t="s">
        <v>2101</v>
      </c>
      <c r="E1579" s="57" t="s">
        <v>2102</v>
      </c>
      <c r="F1579" s="49" t="s">
        <v>2097</v>
      </c>
      <c r="G1579" s="49" t="s">
        <v>2097</v>
      </c>
      <c r="H1579" s="51" t="n">
        <v>160</v>
      </c>
      <c r="I1579" s="51" t="n">
        <v>125.82</v>
      </c>
      <c r="J1579" s="51" t="n">
        <v>377.46</v>
      </c>
      <c r="K1579" s="52" t="n">
        <v>500</v>
      </c>
      <c r="L1579" s="53" t="n">
        <v>28.4</v>
      </c>
      <c r="M1579" s="54" t="n">
        <v>57.1</v>
      </c>
      <c r="N1579" s="51" t="n">
        <v>8.860461</v>
      </c>
      <c r="O1579" s="55" t="n">
        <v>27.94</v>
      </c>
      <c r="P1579" s="51" t="n">
        <v>-217.46</v>
      </c>
      <c r="Q1579" s="49" t="s">
        <v>2103</v>
      </c>
      <c r="R1579" s="49" t="s">
        <v>2099</v>
      </c>
      <c r="S1579" s="53" t="n">
        <v>0.5</v>
      </c>
      <c r="T1579" s="51" t="n">
        <v>500</v>
      </c>
      <c r="U1579" s="56" t="n">
        <f aca="false">I1579*O1579</f>
        <v>3515.4108</v>
      </c>
      <c r="V1579" s="56" t="n">
        <f aca="false">J1579*O1579</f>
        <v>10546.2324</v>
      </c>
      <c r="W1579" s="56" t="n">
        <f aca="false">((I1579+J1579)/2)*O1579</f>
        <v>7030.8216</v>
      </c>
      <c r="X1579" s="56" t="n">
        <f aca="false">H1579*O1579</f>
        <v>4470.4</v>
      </c>
    </row>
    <row r="1580" customFormat="false" ht="22.35" hidden="false" customHeight="false" outlineLevel="0" collapsed="false">
      <c r="A1580" s="79" t="s">
        <v>2065</v>
      </c>
      <c r="B1580" s="7" t="s">
        <v>2330</v>
      </c>
      <c r="C1580" s="7" t="s">
        <v>2331</v>
      </c>
      <c r="D1580" s="7" t="s">
        <v>2095</v>
      </c>
      <c r="E1580" s="61" t="s">
        <v>2113</v>
      </c>
      <c r="F1580" s="7" t="s">
        <v>2097</v>
      </c>
      <c r="G1580" s="7" t="s">
        <v>2097</v>
      </c>
      <c r="H1580" s="9" t="n">
        <v>1130</v>
      </c>
      <c r="I1580" s="9" t="n">
        <v>1279.98</v>
      </c>
      <c r="J1580" s="9" t="n">
        <v>2559.96</v>
      </c>
      <c r="K1580" s="52" t="n">
        <v>3500</v>
      </c>
      <c r="L1580" s="58" t="n">
        <v>40.7</v>
      </c>
      <c r="M1580" s="59" t="n">
        <v>84.7</v>
      </c>
      <c r="N1580" s="9" t="n">
        <v>31.449144</v>
      </c>
      <c r="O1580" s="8" t="n">
        <v>2.7943</v>
      </c>
      <c r="P1580" s="9" t="n">
        <v>-1429.96</v>
      </c>
      <c r="Q1580" s="7" t="s">
        <v>2103</v>
      </c>
      <c r="R1580" s="7" t="s">
        <v>2099</v>
      </c>
      <c r="S1580" s="58" t="n">
        <v>1</v>
      </c>
      <c r="T1580" s="9" t="n">
        <v>3500</v>
      </c>
      <c r="U1580" s="56" t="n">
        <f aca="false">I1580*O1580</f>
        <v>3576.648114</v>
      </c>
      <c r="V1580" s="56" t="n">
        <f aca="false">J1580*O1580</f>
        <v>7153.296228</v>
      </c>
      <c r="W1580" s="56" t="n">
        <f aca="false">((I1580+J1580)/2)*O1580</f>
        <v>5364.972171</v>
      </c>
      <c r="X1580" s="56" t="n">
        <f aca="false">H1580*O1580</f>
        <v>3157.559</v>
      </c>
    </row>
    <row r="1581" customFormat="false" ht="32.8" hidden="false" customHeight="false" outlineLevel="0" collapsed="false">
      <c r="A1581" s="79" t="s">
        <v>2065</v>
      </c>
      <c r="B1581" s="62" t="s">
        <v>3735</v>
      </c>
      <c r="C1581" s="62" t="s">
        <v>1732</v>
      </c>
      <c r="D1581" s="62" t="s">
        <v>2101</v>
      </c>
      <c r="E1581" s="78" t="s">
        <v>3474</v>
      </c>
      <c r="F1581" s="64" t="s">
        <v>2170</v>
      </c>
      <c r="G1581" s="62" t="s">
        <v>2097</v>
      </c>
      <c r="H1581" s="65" t="n">
        <v>791</v>
      </c>
      <c r="I1581" s="65" t="n">
        <v>483.55</v>
      </c>
      <c r="J1581" s="65" t="n">
        <v>1450.66</v>
      </c>
      <c r="K1581" s="66" t="n">
        <v>1500</v>
      </c>
      <c r="L1581" s="67" t="n">
        <v>24.6</v>
      </c>
      <c r="M1581" s="68" t="n">
        <v>85.2</v>
      </c>
      <c r="N1581" s="65" t="n">
        <v>32.211551</v>
      </c>
      <c r="O1581" s="69" t="n">
        <v>0.51</v>
      </c>
      <c r="P1581" s="65" t="n">
        <v>-659.66</v>
      </c>
      <c r="Q1581" s="62" t="s">
        <v>2103</v>
      </c>
      <c r="R1581" s="62" t="s">
        <v>3560</v>
      </c>
      <c r="S1581" s="67" t="n">
        <v>0.5</v>
      </c>
      <c r="T1581" s="65" t="n">
        <v>50</v>
      </c>
      <c r="U1581" s="56" t="n">
        <f aca="false">I1581*O1581</f>
        <v>246.6105</v>
      </c>
      <c r="V1581" s="56" t="n">
        <f aca="false">J1581*O1581</f>
        <v>739.8366</v>
      </c>
      <c r="W1581" s="56" t="n">
        <f aca="false">((I1581+J1581)/2)*O1581</f>
        <v>493.22355</v>
      </c>
      <c r="X1581" s="56" t="n">
        <f aca="false">H1581*O1581</f>
        <v>403.41</v>
      </c>
    </row>
    <row r="1582" customFormat="false" ht="22.35" hidden="false" customHeight="false" outlineLevel="0" collapsed="false">
      <c r="A1582" s="79" t="s">
        <v>2065</v>
      </c>
      <c r="B1582" s="7" t="s">
        <v>3737</v>
      </c>
      <c r="C1582" s="7" t="s">
        <v>2021</v>
      </c>
      <c r="D1582" s="7" t="s">
        <v>2101</v>
      </c>
      <c r="E1582" s="57" t="s">
        <v>2102</v>
      </c>
      <c r="F1582" s="7" t="s">
        <v>2097</v>
      </c>
      <c r="G1582" s="7" t="s">
        <v>2097</v>
      </c>
      <c r="H1582" s="9" t="n">
        <v>150</v>
      </c>
      <c r="I1582" s="9" t="n">
        <v>114.72</v>
      </c>
      <c r="J1582" s="9" t="n">
        <v>344.16</v>
      </c>
      <c r="K1582" s="52" t="n">
        <v>350</v>
      </c>
      <c r="L1582" s="58" t="n">
        <v>32.2</v>
      </c>
      <c r="M1582" s="59" t="n">
        <v>56.2</v>
      </c>
      <c r="N1582" s="9" t="n">
        <v>7.125334</v>
      </c>
      <c r="O1582" s="8" t="n">
        <v>1.097</v>
      </c>
      <c r="P1582" s="9" t="n">
        <v>-194.16</v>
      </c>
      <c r="Q1582" s="7" t="s">
        <v>2103</v>
      </c>
      <c r="R1582" s="7" t="s">
        <v>2099</v>
      </c>
      <c r="S1582" s="58" t="n">
        <v>0.5</v>
      </c>
      <c r="T1582" s="9" t="n">
        <v>50</v>
      </c>
      <c r="U1582" s="56" t="n">
        <f aca="false">I1582*O1582</f>
        <v>125.84784</v>
      </c>
      <c r="V1582" s="56" t="n">
        <f aca="false">J1582*O1582</f>
        <v>377.54352</v>
      </c>
      <c r="W1582" s="56" t="n">
        <f aca="false">((I1582+J1582)/2)*O1582</f>
        <v>251.69568</v>
      </c>
      <c r="X1582" s="56" t="n">
        <f aca="false">H1582*O1582</f>
        <v>164.55</v>
      </c>
    </row>
    <row r="1583" customFormat="false" ht="22.35" hidden="false" customHeight="false" outlineLevel="0" collapsed="false">
      <c r="A1583" s="79" t="s">
        <v>2065</v>
      </c>
      <c r="B1583" s="49" t="s">
        <v>2332</v>
      </c>
      <c r="C1583" s="49" t="s">
        <v>2333</v>
      </c>
      <c r="D1583" s="49" t="s">
        <v>2095</v>
      </c>
      <c r="E1583" s="61" t="s">
        <v>2113</v>
      </c>
      <c r="F1583" s="49" t="s">
        <v>2097</v>
      </c>
      <c r="G1583" s="49" t="s">
        <v>2097</v>
      </c>
      <c r="H1583" s="51" t="n">
        <v>2996</v>
      </c>
      <c r="I1583" s="51" t="n">
        <v>3214.56</v>
      </c>
      <c r="J1583" s="51" t="n">
        <v>6429.12</v>
      </c>
      <c r="K1583" s="52" t="n">
        <v>7000</v>
      </c>
      <c r="L1583" s="53" t="n">
        <v>30.9</v>
      </c>
      <c r="M1583" s="54" t="n">
        <v>77.2</v>
      </c>
      <c r="N1583" s="51" t="n">
        <v>104.031205</v>
      </c>
      <c r="O1583" s="55" t="n">
        <v>1.15</v>
      </c>
      <c r="P1583" s="51" t="n">
        <v>-3433.12</v>
      </c>
      <c r="Q1583" s="49" t="s">
        <v>2103</v>
      </c>
      <c r="R1583" s="49" t="s">
        <v>2099</v>
      </c>
      <c r="S1583" s="53" t="n">
        <v>1</v>
      </c>
      <c r="T1583" s="51" t="n">
        <v>1000</v>
      </c>
      <c r="U1583" s="56" t="n">
        <f aca="false">I1583*O1583</f>
        <v>3696.744</v>
      </c>
      <c r="V1583" s="56" t="n">
        <f aca="false">J1583*O1583</f>
        <v>7393.488</v>
      </c>
      <c r="W1583" s="56" t="n">
        <f aca="false">((I1583+J1583)/2)*O1583</f>
        <v>5545.116</v>
      </c>
      <c r="X1583" s="56" t="n">
        <f aca="false">H1583*O1583</f>
        <v>3445.4</v>
      </c>
    </row>
    <row r="1584" customFormat="false" ht="22.35" hidden="false" customHeight="false" outlineLevel="0" collapsed="false">
      <c r="A1584" s="79" t="s">
        <v>2065</v>
      </c>
      <c r="B1584" s="7" t="s">
        <v>3738</v>
      </c>
      <c r="C1584" s="7" t="s">
        <v>1732</v>
      </c>
      <c r="D1584" s="7" t="s">
        <v>2101</v>
      </c>
      <c r="E1584" s="57" t="s">
        <v>2102</v>
      </c>
      <c r="F1584" s="7" t="s">
        <v>2097</v>
      </c>
      <c r="G1584" s="7" t="s">
        <v>2097</v>
      </c>
      <c r="H1584" s="9" t="n">
        <v>405</v>
      </c>
      <c r="I1584" s="9" t="n">
        <v>145.88</v>
      </c>
      <c r="J1584" s="9" t="n">
        <v>437.65</v>
      </c>
      <c r="K1584" s="52" t="n">
        <v>450</v>
      </c>
      <c r="L1584" s="58" t="n">
        <v>22.1</v>
      </c>
      <c r="M1584" s="59" t="n">
        <v>30</v>
      </c>
      <c r="N1584" s="9" t="n">
        <v>13.202222</v>
      </c>
      <c r="O1584" s="8" t="n">
        <v>0.4413</v>
      </c>
      <c r="P1584" s="9" t="n">
        <v>-32.65</v>
      </c>
      <c r="Q1584" s="7" t="s">
        <v>2103</v>
      </c>
      <c r="R1584" s="7" t="s">
        <v>2099</v>
      </c>
      <c r="S1584" s="58" t="n">
        <v>0.5</v>
      </c>
      <c r="T1584" s="9" t="n">
        <v>50</v>
      </c>
      <c r="U1584" s="56" t="n">
        <f aca="false">I1584*O1584</f>
        <v>64.376844</v>
      </c>
      <c r="V1584" s="56" t="n">
        <f aca="false">J1584*O1584</f>
        <v>193.134945</v>
      </c>
      <c r="W1584" s="56" t="n">
        <f aca="false">((I1584+J1584)/2)*O1584</f>
        <v>128.7558945</v>
      </c>
      <c r="X1584" s="56" t="n">
        <f aca="false">H1584*O1584</f>
        <v>178.7265</v>
      </c>
    </row>
    <row r="1585" customFormat="false" ht="22.35" hidden="false" customHeight="false" outlineLevel="0" collapsed="false">
      <c r="A1585" s="79" t="s">
        <v>2065</v>
      </c>
      <c r="B1585" s="49" t="s">
        <v>4142</v>
      </c>
      <c r="C1585" s="49" t="s">
        <v>4143</v>
      </c>
      <c r="D1585" s="49" t="s">
        <v>2095</v>
      </c>
      <c r="E1585" s="61" t="s">
        <v>2113</v>
      </c>
      <c r="F1585" s="49" t="s">
        <v>2097</v>
      </c>
      <c r="G1585" s="49" t="s">
        <v>2097</v>
      </c>
      <c r="H1585" s="51" t="n">
        <v>7384</v>
      </c>
      <c r="I1585" s="51" t="n">
        <v>9718.92</v>
      </c>
      <c r="J1585" s="51" t="n">
        <v>19437.84</v>
      </c>
      <c r="K1585" s="52" t="n">
        <v>22400</v>
      </c>
      <c r="L1585" s="53" t="n">
        <v>40.3</v>
      </c>
      <c r="M1585" s="54" t="n">
        <v>42.1</v>
      </c>
      <c r="N1585" s="51" t="n">
        <v>241.164384</v>
      </c>
      <c r="O1585" s="55" t="n">
        <v>0.1848</v>
      </c>
      <c r="P1585" s="51" t="n">
        <v>-12053.84</v>
      </c>
      <c r="Q1585" s="49" t="s">
        <v>2103</v>
      </c>
      <c r="R1585" s="49" t="s">
        <v>2099</v>
      </c>
      <c r="S1585" s="53" t="n">
        <v>1</v>
      </c>
      <c r="T1585" s="51" t="n">
        <v>3200</v>
      </c>
      <c r="U1585" s="56" t="n">
        <f aca="false">I1585*O1585</f>
        <v>1796.056416</v>
      </c>
      <c r="V1585" s="56" t="n">
        <f aca="false">J1585*O1585</f>
        <v>3592.112832</v>
      </c>
      <c r="W1585" s="56" t="n">
        <f aca="false">((I1585+J1585)/2)*O1585</f>
        <v>2694.084624</v>
      </c>
      <c r="X1585" s="56" t="n">
        <f aca="false">H1585*O1585</f>
        <v>1364.5632</v>
      </c>
    </row>
    <row r="1586" customFormat="false" ht="22.35" hidden="false" customHeight="false" outlineLevel="0" collapsed="false">
      <c r="A1586" s="79" t="s">
        <v>2065</v>
      </c>
      <c r="B1586" s="7" t="s">
        <v>2334</v>
      </c>
      <c r="C1586" s="7" t="s">
        <v>2327</v>
      </c>
      <c r="D1586" s="7" t="s">
        <v>2095</v>
      </c>
      <c r="E1586" s="61" t="s">
        <v>2113</v>
      </c>
      <c r="F1586" s="7" t="s">
        <v>2097</v>
      </c>
      <c r="G1586" s="7" t="s">
        <v>2097</v>
      </c>
      <c r="H1586" s="9" t="n">
        <v>246</v>
      </c>
      <c r="I1586" s="9" t="n">
        <v>441.8</v>
      </c>
      <c r="J1586" s="9" t="n">
        <v>883.6</v>
      </c>
      <c r="K1586" s="52" t="n">
        <v>1000</v>
      </c>
      <c r="L1586" s="58" t="n">
        <v>44.7</v>
      </c>
      <c r="M1586" s="59" t="n">
        <v>53.3</v>
      </c>
      <c r="N1586" s="9" t="n">
        <v>9.883572</v>
      </c>
      <c r="O1586" s="8" t="n">
        <v>0.952</v>
      </c>
      <c r="P1586" s="9" t="n">
        <v>-637.6</v>
      </c>
      <c r="Q1586" s="7" t="s">
        <v>2103</v>
      </c>
      <c r="R1586" s="7" t="s">
        <v>2099</v>
      </c>
      <c r="S1586" s="58" t="n">
        <v>1</v>
      </c>
      <c r="T1586" s="9" t="n">
        <v>1000</v>
      </c>
      <c r="U1586" s="56" t="n">
        <f aca="false">I1586*O1586</f>
        <v>420.5936</v>
      </c>
      <c r="V1586" s="56" t="n">
        <f aca="false">J1586*O1586</f>
        <v>841.1872</v>
      </c>
      <c r="W1586" s="56" t="n">
        <f aca="false">((I1586+J1586)/2)*O1586</f>
        <v>630.8904</v>
      </c>
      <c r="X1586" s="56" t="n">
        <f aca="false">H1586*O1586</f>
        <v>234.192</v>
      </c>
    </row>
    <row r="1587" customFormat="false" ht="22.35" hidden="false" customHeight="false" outlineLevel="0" collapsed="false">
      <c r="A1587" s="79" t="s">
        <v>2065</v>
      </c>
      <c r="B1587" s="49" t="s">
        <v>2335</v>
      </c>
      <c r="C1587" s="49" t="s">
        <v>2336</v>
      </c>
      <c r="D1587" s="49" t="s">
        <v>2109</v>
      </c>
      <c r="E1587" s="60" t="s">
        <v>2110</v>
      </c>
      <c r="F1587" s="49" t="s">
        <v>2097</v>
      </c>
      <c r="G1587" s="49" t="s">
        <v>2097</v>
      </c>
      <c r="H1587" s="51" t="n">
        <v>6618</v>
      </c>
      <c r="I1587" s="51" t="n">
        <v>10022.75</v>
      </c>
      <c r="J1587" s="51" t="n">
        <v>16704.58</v>
      </c>
      <c r="K1587" s="52" t="n">
        <v>18000</v>
      </c>
      <c r="L1587" s="53" t="n">
        <v>31.1</v>
      </c>
      <c r="M1587" s="54" t="n">
        <v>65.5</v>
      </c>
      <c r="N1587" s="51" t="n">
        <v>214.849859</v>
      </c>
      <c r="O1587" s="55" t="n">
        <v>0.3424</v>
      </c>
      <c r="P1587" s="51" t="n">
        <v>-10086.58</v>
      </c>
      <c r="Q1587" s="49" t="s">
        <v>2103</v>
      </c>
      <c r="R1587" s="49" t="s">
        <v>2099</v>
      </c>
      <c r="S1587" s="53" t="n">
        <v>1.5</v>
      </c>
      <c r="T1587" s="51" t="n">
        <v>2000</v>
      </c>
      <c r="U1587" s="56" t="n">
        <f aca="false">I1587*O1587</f>
        <v>3431.7896</v>
      </c>
      <c r="V1587" s="56" t="n">
        <f aca="false">J1587*O1587</f>
        <v>5719.648192</v>
      </c>
      <c r="W1587" s="56" t="n">
        <f aca="false">((I1587+J1587)/2)*O1587</f>
        <v>4575.718896</v>
      </c>
      <c r="X1587" s="56" t="n">
        <f aca="false">H1587*O1587</f>
        <v>2266.0032</v>
      </c>
    </row>
    <row r="1588" customFormat="false" ht="22.35" hidden="false" customHeight="false" outlineLevel="0" collapsed="false">
      <c r="A1588" s="79" t="s">
        <v>2065</v>
      </c>
      <c r="B1588" s="7" t="s">
        <v>2337</v>
      </c>
      <c r="C1588" s="7" t="s">
        <v>2325</v>
      </c>
      <c r="D1588" s="7" t="s">
        <v>2095</v>
      </c>
      <c r="E1588" s="61" t="s">
        <v>2113</v>
      </c>
      <c r="F1588" s="7" t="s">
        <v>2097</v>
      </c>
      <c r="G1588" s="7" t="s">
        <v>2097</v>
      </c>
      <c r="H1588" s="9" t="n">
        <v>537</v>
      </c>
      <c r="I1588" s="9" t="n">
        <v>653.48</v>
      </c>
      <c r="J1588" s="9" t="n">
        <v>1306.96</v>
      </c>
      <c r="K1588" s="52" t="n">
        <v>2500</v>
      </c>
      <c r="L1588" s="58" t="n">
        <v>32.5</v>
      </c>
      <c r="M1588" s="59" t="n">
        <v>56.8</v>
      </c>
      <c r="N1588" s="9" t="n">
        <v>20.106973</v>
      </c>
      <c r="O1588" s="8" t="n">
        <v>0.451</v>
      </c>
      <c r="P1588" s="9" t="n">
        <v>-769.96</v>
      </c>
      <c r="Q1588" s="7" t="s">
        <v>2103</v>
      </c>
      <c r="R1588" s="7" t="s">
        <v>2099</v>
      </c>
      <c r="S1588" s="58" t="n">
        <v>1</v>
      </c>
      <c r="T1588" s="9" t="n">
        <v>2500</v>
      </c>
      <c r="U1588" s="56" t="n">
        <f aca="false">I1588*O1588</f>
        <v>294.71948</v>
      </c>
      <c r="V1588" s="56" t="n">
        <f aca="false">J1588*O1588</f>
        <v>589.43896</v>
      </c>
      <c r="W1588" s="56" t="n">
        <f aca="false">((I1588+J1588)/2)*O1588</f>
        <v>442.07922</v>
      </c>
      <c r="X1588" s="56" t="n">
        <f aca="false">H1588*O1588</f>
        <v>242.187</v>
      </c>
    </row>
    <row r="1589" customFormat="false" ht="22.35" hidden="false" customHeight="false" outlineLevel="0" collapsed="false">
      <c r="A1589" s="79" t="s">
        <v>2065</v>
      </c>
      <c r="B1589" s="49" t="s">
        <v>2340</v>
      </c>
      <c r="C1589" s="49" t="s">
        <v>2325</v>
      </c>
      <c r="D1589" s="49" t="s">
        <v>2109</v>
      </c>
      <c r="E1589" s="60" t="s">
        <v>2110</v>
      </c>
      <c r="F1589" s="49" t="s">
        <v>2097</v>
      </c>
      <c r="G1589" s="49" t="s">
        <v>2097</v>
      </c>
      <c r="H1589" s="51" t="n">
        <v>1739</v>
      </c>
      <c r="I1589" s="51" t="n">
        <v>1777.23</v>
      </c>
      <c r="J1589" s="51" t="n">
        <v>2962.05</v>
      </c>
      <c r="K1589" s="52" t="n">
        <v>3000</v>
      </c>
      <c r="L1589" s="53" t="n">
        <v>26.8</v>
      </c>
      <c r="M1589" s="54" t="n">
        <v>81</v>
      </c>
      <c r="N1589" s="51" t="n">
        <v>44.209603</v>
      </c>
      <c r="O1589" s="55" t="n">
        <v>0.54</v>
      </c>
      <c r="P1589" s="51" t="n">
        <v>-1223.05</v>
      </c>
      <c r="Q1589" s="49" t="s">
        <v>2103</v>
      </c>
      <c r="R1589" s="49" t="s">
        <v>2099</v>
      </c>
      <c r="S1589" s="53" t="n">
        <v>1.5</v>
      </c>
      <c r="T1589" s="51" t="n">
        <v>50</v>
      </c>
      <c r="U1589" s="56" t="n">
        <f aca="false">I1589*O1589</f>
        <v>959.7042</v>
      </c>
      <c r="V1589" s="56" t="n">
        <f aca="false">J1589*O1589</f>
        <v>1599.507</v>
      </c>
      <c r="W1589" s="56" t="n">
        <f aca="false">((I1589+J1589)/2)*O1589</f>
        <v>1279.6056</v>
      </c>
      <c r="X1589" s="56" t="n">
        <f aca="false">H1589*O1589</f>
        <v>939.06</v>
      </c>
    </row>
    <row r="1590" customFormat="false" ht="22.35" hidden="false" customHeight="false" outlineLevel="0" collapsed="false">
      <c r="A1590" s="79" t="s">
        <v>2065</v>
      </c>
      <c r="B1590" s="7" t="s">
        <v>2341</v>
      </c>
      <c r="C1590" s="7" t="s">
        <v>1795</v>
      </c>
      <c r="D1590" s="7" t="s">
        <v>2095</v>
      </c>
      <c r="E1590" s="61" t="s">
        <v>2113</v>
      </c>
      <c r="F1590" s="7" t="s">
        <v>2097</v>
      </c>
      <c r="G1590" s="7" t="s">
        <v>2097</v>
      </c>
      <c r="H1590" s="9" t="n">
        <v>3997</v>
      </c>
      <c r="I1590" s="9" t="n">
        <v>6691.95</v>
      </c>
      <c r="J1590" s="9" t="n">
        <v>13383.9</v>
      </c>
      <c r="K1590" s="52" t="n">
        <v>15000</v>
      </c>
      <c r="L1590" s="58" t="n">
        <v>43.3</v>
      </c>
      <c r="M1590" s="59" t="n">
        <v>70.1</v>
      </c>
      <c r="N1590" s="9" t="n">
        <v>154.548483</v>
      </c>
      <c r="O1590" s="8" t="n">
        <v>5.6</v>
      </c>
      <c r="P1590" s="9" t="n">
        <v>-9386.9</v>
      </c>
      <c r="Q1590" s="7" t="s">
        <v>2103</v>
      </c>
      <c r="R1590" s="7" t="s">
        <v>2099</v>
      </c>
      <c r="S1590" s="58" t="n">
        <v>1</v>
      </c>
      <c r="T1590" s="9" t="n">
        <v>5000</v>
      </c>
      <c r="U1590" s="56" t="n">
        <f aca="false">I1590*O1590</f>
        <v>37474.92</v>
      </c>
      <c r="V1590" s="56" t="n">
        <f aca="false">J1590*O1590</f>
        <v>74949.84</v>
      </c>
      <c r="W1590" s="56" t="n">
        <f aca="false">((I1590+J1590)/2)*O1590</f>
        <v>56212.38</v>
      </c>
      <c r="X1590" s="56" t="n">
        <f aca="false">H1590*O1590</f>
        <v>22383.2</v>
      </c>
    </row>
    <row r="1591" customFormat="false" ht="22.35" hidden="false" customHeight="false" outlineLevel="0" collapsed="false">
      <c r="A1591" s="79" t="s">
        <v>2065</v>
      </c>
      <c r="B1591" s="49" t="s">
        <v>2342</v>
      </c>
      <c r="C1591" s="49" t="s">
        <v>2343</v>
      </c>
      <c r="D1591" s="49" t="s">
        <v>2095</v>
      </c>
      <c r="E1591" s="61" t="s">
        <v>2113</v>
      </c>
      <c r="F1591" s="49" t="s">
        <v>2097</v>
      </c>
      <c r="G1591" s="49" t="s">
        <v>2097</v>
      </c>
      <c r="H1591" s="51" t="n">
        <v>5808</v>
      </c>
      <c r="I1591" s="51" t="n">
        <v>10710.18</v>
      </c>
      <c r="J1591" s="51" t="n">
        <v>21420.36</v>
      </c>
      <c r="K1591" s="52" t="n">
        <v>21450</v>
      </c>
      <c r="L1591" s="53" t="n">
        <v>49.1</v>
      </c>
      <c r="M1591" s="54" t="n">
        <v>79.5</v>
      </c>
      <c r="N1591" s="51" t="n">
        <v>218.129874</v>
      </c>
      <c r="O1591" s="55" t="n">
        <v>1.343</v>
      </c>
      <c r="P1591" s="51" t="n">
        <v>-15612.36</v>
      </c>
      <c r="Q1591" s="49" t="s">
        <v>2103</v>
      </c>
      <c r="R1591" s="49" t="s">
        <v>2099</v>
      </c>
      <c r="S1591" s="53" t="n">
        <v>1</v>
      </c>
      <c r="T1591" s="51" t="n">
        <v>50</v>
      </c>
      <c r="U1591" s="56" t="n">
        <f aca="false">I1591*O1591</f>
        <v>14383.77174</v>
      </c>
      <c r="V1591" s="56" t="n">
        <f aca="false">J1591*O1591</f>
        <v>28767.54348</v>
      </c>
      <c r="W1591" s="56" t="n">
        <f aca="false">((I1591+J1591)/2)*O1591</f>
        <v>21575.65761</v>
      </c>
      <c r="X1591" s="56" t="n">
        <f aca="false">H1591*O1591</f>
        <v>7800.144</v>
      </c>
    </row>
    <row r="1592" customFormat="false" ht="22.35" hidden="false" customHeight="false" outlineLevel="0" collapsed="false">
      <c r="A1592" s="79" t="s">
        <v>2065</v>
      </c>
      <c r="B1592" s="7" t="s">
        <v>3743</v>
      </c>
      <c r="C1592" s="7" t="s">
        <v>2359</v>
      </c>
      <c r="D1592" s="7" t="s">
        <v>2095</v>
      </c>
      <c r="E1592" s="61" t="s">
        <v>2113</v>
      </c>
      <c r="F1592" s="7" t="s">
        <v>2097</v>
      </c>
      <c r="G1592" s="7" t="s">
        <v>2097</v>
      </c>
      <c r="H1592" s="9" t="n">
        <v>2581</v>
      </c>
      <c r="I1592" s="9" t="n">
        <v>1589.64</v>
      </c>
      <c r="J1592" s="9" t="n">
        <v>3179.28</v>
      </c>
      <c r="K1592" s="52" t="n">
        <v>3200</v>
      </c>
      <c r="L1592" s="58" t="n">
        <v>26.5</v>
      </c>
      <c r="M1592" s="59" t="n">
        <v>91.3</v>
      </c>
      <c r="N1592" s="9" t="n">
        <v>59.986428</v>
      </c>
      <c r="O1592" s="8" t="n">
        <v>0.79</v>
      </c>
      <c r="P1592" s="9" t="n">
        <v>-598.28</v>
      </c>
      <c r="Q1592" s="7" t="s">
        <v>2103</v>
      </c>
      <c r="R1592" s="7" t="s">
        <v>2099</v>
      </c>
      <c r="S1592" s="58" t="n">
        <v>1</v>
      </c>
      <c r="T1592" s="9" t="n">
        <v>50</v>
      </c>
      <c r="U1592" s="56" t="n">
        <f aca="false">I1592*O1592</f>
        <v>1255.8156</v>
      </c>
      <c r="V1592" s="56" t="n">
        <f aca="false">J1592*O1592</f>
        <v>2511.6312</v>
      </c>
      <c r="W1592" s="56" t="n">
        <f aca="false">((I1592+J1592)/2)*O1592</f>
        <v>1883.7234</v>
      </c>
      <c r="X1592" s="56" t="n">
        <f aca="false">H1592*O1592</f>
        <v>2038.99</v>
      </c>
    </row>
    <row r="1593" customFormat="false" ht="22.35" hidden="false" customHeight="false" outlineLevel="0" collapsed="false">
      <c r="A1593" s="79" t="s">
        <v>2065</v>
      </c>
      <c r="B1593" s="49" t="s">
        <v>2348</v>
      </c>
      <c r="C1593" s="49" t="s">
        <v>2349</v>
      </c>
      <c r="D1593" s="49" t="s">
        <v>2095</v>
      </c>
      <c r="E1593" s="61" t="s">
        <v>2113</v>
      </c>
      <c r="F1593" s="49" t="s">
        <v>2097</v>
      </c>
      <c r="G1593" s="49" t="s">
        <v>2097</v>
      </c>
      <c r="H1593" s="51" t="n">
        <v>1213</v>
      </c>
      <c r="I1593" s="51" t="n">
        <v>4138.7</v>
      </c>
      <c r="J1593" s="51" t="n">
        <v>8277.4</v>
      </c>
      <c r="K1593" s="52" t="n">
        <v>8300</v>
      </c>
      <c r="L1593" s="53" t="n">
        <v>59.1</v>
      </c>
      <c r="M1593" s="54" t="n">
        <v>71.9</v>
      </c>
      <c r="N1593" s="51" t="n">
        <v>70.02877</v>
      </c>
      <c r="O1593" s="55" t="n">
        <v>4.17</v>
      </c>
      <c r="P1593" s="51" t="n">
        <v>-7064.4</v>
      </c>
      <c r="Q1593" s="49" t="s">
        <v>2103</v>
      </c>
      <c r="R1593" s="49" t="s">
        <v>2099</v>
      </c>
      <c r="S1593" s="53" t="n">
        <v>1</v>
      </c>
      <c r="T1593" s="51" t="n">
        <v>50</v>
      </c>
      <c r="U1593" s="56" t="n">
        <f aca="false">I1593*O1593</f>
        <v>17258.379</v>
      </c>
      <c r="V1593" s="56" t="n">
        <f aca="false">J1593*O1593</f>
        <v>34516.758</v>
      </c>
      <c r="W1593" s="56" t="n">
        <f aca="false">((I1593+J1593)/2)*O1593</f>
        <v>25887.5685</v>
      </c>
      <c r="X1593" s="56" t="n">
        <f aca="false">H1593*O1593</f>
        <v>5058.21</v>
      </c>
    </row>
    <row r="1594" customFormat="false" ht="22.35" hidden="false" customHeight="false" outlineLevel="0" collapsed="false">
      <c r="A1594" s="79" t="s">
        <v>2065</v>
      </c>
      <c r="B1594" s="7" t="s">
        <v>4144</v>
      </c>
      <c r="C1594" s="7" t="s">
        <v>4145</v>
      </c>
      <c r="D1594" s="7" t="s">
        <v>2095</v>
      </c>
      <c r="E1594" s="61" t="s">
        <v>2113</v>
      </c>
      <c r="F1594" s="7" t="s">
        <v>2097</v>
      </c>
      <c r="G1594" s="7" t="s">
        <v>2097</v>
      </c>
      <c r="H1594" s="9" t="n">
        <v>2804</v>
      </c>
      <c r="I1594" s="9" t="n">
        <v>6829.11</v>
      </c>
      <c r="J1594" s="9" t="n">
        <v>13658.22</v>
      </c>
      <c r="K1594" s="52" t="n">
        <v>15870</v>
      </c>
      <c r="L1594" s="58" t="n">
        <v>48.8</v>
      </c>
      <c r="M1594" s="59" t="n">
        <v>61.5</v>
      </c>
      <c r="N1594" s="9" t="n">
        <v>139.940737</v>
      </c>
      <c r="O1594" s="8" t="n">
        <v>9.02</v>
      </c>
      <c r="P1594" s="9" t="n">
        <v>-10854.22</v>
      </c>
      <c r="Q1594" s="7" t="s">
        <v>2103</v>
      </c>
      <c r="R1594" s="7" t="s">
        <v>2099</v>
      </c>
      <c r="S1594" s="58" t="n">
        <v>1</v>
      </c>
      <c r="T1594" s="9" t="n">
        <v>5290</v>
      </c>
      <c r="U1594" s="56" t="n">
        <f aca="false">I1594*O1594</f>
        <v>61598.5722</v>
      </c>
      <c r="V1594" s="56" t="n">
        <f aca="false">J1594*O1594</f>
        <v>123197.1444</v>
      </c>
      <c r="W1594" s="56" t="n">
        <f aca="false">((I1594+J1594)/2)*O1594</f>
        <v>92397.8583</v>
      </c>
      <c r="X1594" s="56" t="n">
        <f aca="false">H1594*O1594</f>
        <v>25292.08</v>
      </c>
    </row>
    <row r="1595" customFormat="false" ht="22.35" hidden="false" customHeight="false" outlineLevel="0" collapsed="false">
      <c r="A1595" s="79" t="s">
        <v>2065</v>
      </c>
      <c r="B1595" s="49" t="s">
        <v>4146</v>
      </c>
      <c r="C1595" s="49" t="s">
        <v>4147</v>
      </c>
      <c r="D1595" s="49" t="s">
        <v>2101</v>
      </c>
      <c r="E1595" s="57" t="s">
        <v>2102</v>
      </c>
      <c r="F1595" s="49" t="s">
        <v>2097</v>
      </c>
      <c r="G1595" s="49" t="s">
        <v>2097</v>
      </c>
      <c r="H1595" s="51" t="n">
        <v>1204</v>
      </c>
      <c r="I1595" s="51" t="n">
        <v>2194.85</v>
      </c>
      <c r="J1595" s="51" t="n">
        <v>6584.54</v>
      </c>
      <c r="K1595" s="52" t="n">
        <v>7407.456</v>
      </c>
      <c r="L1595" s="53" t="n">
        <v>65.1</v>
      </c>
      <c r="M1595" s="54" t="n">
        <v>57.9</v>
      </c>
      <c r="N1595" s="51" t="n">
        <v>67.430024</v>
      </c>
      <c r="O1595" s="55" t="n">
        <v>1.87</v>
      </c>
      <c r="P1595" s="51" t="n">
        <v>-5380.54</v>
      </c>
      <c r="Q1595" s="49" t="s">
        <v>2103</v>
      </c>
      <c r="R1595" s="49" t="s">
        <v>2099</v>
      </c>
      <c r="S1595" s="53" t="n">
        <v>0.5</v>
      </c>
      <c r="T1595" s="51" t="n">
        <v>1058.208</v>
      </c>
      <c r="U1595" s="56" t="n">
        <f aca="false">I1595*O1595</f>
        <v>4104.3695</v>
      </c>
      <c r="V1595" s="56" t="n">
        <f aca="false">J1595*O1595</f>
        <v>12313.0898</v>
      </c>
      <c r="W1595" s="56" t="n">
        <f aca="false">((I1595+J1595)/2)*O1595</f>
        <v>8208.72965</v>
      </c>
      <c r="X1595" s="56" t="n">
        <f aca="false">H1595*O1595</f>
        <v>2251.48</v>
      </c>
    </row>
    <row r="1596" customFormat="false" ht="22.35" hidden="false" customHeight="false" outlineLevel="0" collapsed="false">
      <c r="A1596" s="79" t="s">
        <v>2065</v>
      </c>
      <c r="B1596" s="7" t="s">
        <v>3746</v>
      </c>
      <c r="C1596" s="7" t="s">
        <v>1732</v>
      </c>
      <c r="D1596" s="7" t="s">
        <v>2095</v>
      </c>
      <c r="E1596" s="61" t="s">
        <v>2113</v>
      </c>
      <c r="F1596" s="7" t="s">
        <v>2097</v>
      </c>
      <c r="G1596" s="7" t="s">
        <v>2097</v>
      </c>
      <c r="H1596" s="9" t="n">
        <v>3772</v>
      </c>
      <c r="I1596" s="9" t="n">
        <v>3322.12</v>
      </c>
      <c r="J1596" s="9" t="n">
        <v>6644.24</v>
      </c>
      <c r="K1596" s="52" t="n">
        <v>7500</v>
      </c>
      <c r="L1596" s="58" t="n">
        <v>27.6</v>
      </c>
      <c r="M1596" s="59" t="n">
        <v>53.6</v>
      </c>
      <c r="N1596" s="9" t="n">
        <v>120.366653</v>
      </c>
      <c r="O1596" s="8" t="n">
        <v>0.269</v>
      </c>
      <c r="P1596" s="9" t="n">
        <v>-2872.24</v>
      </c>
      <c r="Q1596" s="7" t="s">
        <v>2103</v>
      </c>
      <c r="R1596" s="7" t="s">
        <v>2099</v>
      </c>
      <c r="S1596" s="58" t="n">
        <v>1</v>
      </c>
      <c r="T1596" s="9" t="n">
        <v>2500</v>
      </c>
      <c r="U1596" s="56" t="n">
        <f aca="false">I1596*O1596</f>
        <v>893.65028</v>
      </c>
      <c r="V1596" s="56" t="n">
        <f aca="false">J1596*O1596</f>
        <v>1787.30056</v>
      </c>
      <c r="W1596" s="56" t="n">
        <f aca="false">((I1596+J1596)/2)*O1596</f>
        <v>1340.47542</v>
      </c>
      <c r="X1596" s="56" t="n">
        <f aca="false">H1596*O1596</f>
        <v>1014.668</v>
      </c>
    </row>
    <row r="1597" customFormat="false" ht="22.35" hidden="false" customHeight="false" outlineLevel="0" collapsed="false">
      <c r="A1597" s="79" t="s">
        <v>2065</v>
      </c>
      <c r="B1597" s="49" t="s">
        <v>4148</v>
      </c>
      <c r="C1597" s="49" t="s">
        <v>4149</v>
      </c>
      <c r="D1597" s="49" t="s">
        <v>2101</v>
      </c>
      <c r="E1597" s="57" t="s">
        <v>2102</v>
      </c>
      <c r="F1597" s="49" t="s">
        <v>2097</v>
      </c>
      <c r="G1597" s="49" t="s">
        <v>2097</v>
      </c>
      <c r="H1597" s="51" t="n">
        <v>2165</v>
      </c>
      <c r="I1597" s="51" t="n">
        <v>2950.35</v>
      </c>
      <c r="J1597" s="51" t="n">
        <v>8851.05</v>
      </c>
      <c r="K1597" s="52" t="n">
        <v>8900</v>
      </c>
      <c r="L1597" s="53" t="n">
        <v>58.4</v>
      </c>
      <c r="M1597" s="54" t="n">
        <v>47.4</v>
      </c>
      <c r="N1597" s="51" t="n">
        <v>101.039335</v>
      </c>
      <c r="O1597" s="55" t="n">
        <v>1.58</v>
      </c>
      <c r="P1597" s="51" t="n">
        <v>-6686.05</v>
      </c>
      <c r="Q1597" s="49" t="s">
        <v>2103</v>
      </c>
      <c r="R1597" s="49" t="s">
        <v>2099</v>
      </c>
      <c r="S1597" s="53" t="n">
        <v>0.5</v>
      </c>
      <c r="T1597" s="51" t="n">
        <v>50</v>
      </c>
      <c r="U1597" s="56" t="n">
        <f aca="false">I1597*O1597</f>
        <v>4661.553</v>
      </c>
      <c r="V1597" s="56" t="n">
        <f aca="false">J1597*O1597</f>
        <v>13984.659</v>
      </c>
      <c r="W1597" s="56" t="n">
        <f aca="false">((I1597+J1597)/2)*O1597</f>
        <v>9323.106</v>
      </c>
      <c r="X1597" s="56" t="n">
        <f aca="false">H1597*O1597</f>
        <v>3420.7</v>
      </c>
    </row>
    <row r="1598" customFormat="false" ht="22.35" hidden="false" customHeight="false" outlineLevel="0" collapsed="false">
      <c r="A1598" s="79" t="s">
        <v>2065</v>
      </c>
      <c r="B1598" s="7" t="s">
        <v>4150</v>
      </c>
      <c r="C1598" s="7" t="s">
        <v>2047</v>
      </c>
      <c r="D1598" s="7" t="s">
        <v>2101</v>
      </c>
      <c r="E1598" s="57" t="s">
        <v>2102</v>
      </c>
      <c r="F1598" s="7" t="s">
        <v>2097</v>
      </c>
      <c r="G1598" s="7" t="s">
        <v>2097</v>
      </c>
      <c r="H1598" s="9" t="n">
        <v>895</v>
      </c>
      <c r="I1598" s="9" t="n">
        <v>500.7</v>
      </c>
      <c r="J1598" s="9" t="n">
        <v>1502.09</v>
      </c>
      <c r="K1598" s="52" t="n">
        <v>1504</v>
      </c>
      <c r="L1598" s="58" t="n">
        <v>19.5</v>
      </c>
      <c r="M1598" s="59" t="n">
        <v>25</v>
      </c>
      <c r="N1598" s="9" t="n">
        <v>51.353425</v>
      </c>
      <c r="O1598" s="8" t="n">
        <v>0.2953</v>
      </c>
      <c r="P1598" s="9" t="n">
        <v>-607.09</v>
      </c>
      <c r="Q1598" s="7" t="s">
        <v>2103</v>
      </c>
      <c r="R1598" s="7" t="s">
        <v>2099</v>
      </c>
      <c r="S1598" s="58" t="n">
        <v>0.5</v>
      </c>
      <c r="T1598" s="9" t="n">
        <v>94</v>
      </c>
      <c r="U1598" s="56" t="n">
        <f aca="false">I1598*O1598</f>
        <v>147.85671</v>
      </c>
      <c r="V1598" s="56" t="n">
        <f aca="false">J1598*O1598</f>
        <v>443.567177</v>
      </c>
      <c r="W1598" s="56" t="n">
        <f aca="false">((I1598+J1598)/2)*O1598</f>
        <v>295.7119435</v>
      </c>
      <c r="X1598" s="56" t="n">
        <f aca="false">H1598*O1598</f>
        <v>264.2935</v>
      </c>
    </row>
    <row r="1599" customFormat="false" ht="22.35" hidden="false" customHeight="false" outlineLevel="0" collapsed="false">
      <c r="A1599" s="79" t="s">
        <v>2065</v>
      </c>
      <c r="B1599" s="49" t="s">
        <v>2357</v>
      </c>
      <c r="C1599" s="49" t="s">
        <v>2021</v>
      </c>
      <c r="D1599" s="49" t="s">
        <v>2095</v>
      </c>
      <c r="E1599" s="61" t="s">
        <v>2113</v>
      </c>
      <c r="F1599" s="49" t="s">
        <v>2097</v>
      </c>
      <c r="G1599" s="49" t="s">
        <v>2097</v>
      </c>
      <c r="H1599" s="51" t="n">
        <v>3639</v>
      </c>
      <c r="I1599" s="51" t="n">
        <v>2708.63</v>
      </c>
      <c r="J1599" s="51" t="n">
        <v>5417.26</v>
      </c>
      <c r="K1599" s="52" t="n">
        <v>6000</v>
      </c>
      <c r="L1599" s="53" t="n">
        <v>26.6</v>
      </c>
      <c r="M1599" s="54" t="n">
        <v>78.1</v>
      </c>
      <c r="N1599" s="51" t="n">
        <v>101.828178</v>
      </c>
      <c r="O1599" s="55" t="n">
        <v>0.629</v>
      </c>
      <c r="P1599" s="51" t="n">
        <v>-1778.26</v>
      </c>
      <c r="Q1599" s="49" t="s">
        <v>2103</v>
      </c>
      <c r="R1599" s="49" t="s">
        <v>2099</v>
      </c>
      <c r="S1599" s="53" t="n">
        <v>1</v>
      </c>
      <c r="T1599" s="51" t="n">
        <v>1000</v>
      </c>
      <c r="U1599" s="56" t="n">
        <f aca="false">I1599*O1599</f>
        <v>1703.72827</v>
      </c>
      <c r="V1599" s="56" t="n">
        <f aca="false">J1599*O1599</f>
        <v>3407.45654</v>
      </c>
      <c r="W1599" s="56" t="n">
        <f aca="false">((I1599+J1599)/2)*O1599</f>
        <v>2555.592405</v>
      </c>
      <c r="X1599" s="56" t="n">
        <f aca="false">H1599*O1599</f>
        <v>2288.931</v>
      </c>
    </row>
    <row r="1600" customFormat="false" ht="22.35" hidden="false" customHeight="false" outlineLevel="0" collapsed="false">
      <c r="A1600" s="79" t="s">
        <v>2065</v>
      </c>
      <c r="B1600" s="7" t="s">
        <v>2358</v>
      </c>
      <c r="C1600" s="7" t="s">
        <v>2359</v>
      </c>
      <c r="D1600" s="7" t="s">
        <v>2095</v>
      </c>
      <c r="E1600" s="61" t="s">
        <v>2113</v>
      </c>
      <c r="F1600" s="7" t="s">
        <v>2097</v>
      </c>
      <c r="G1600" s="7" t="s">
        <v>2097</v>
      </c>
      <c r="H1600" s="9" t="n">
        <v>2677</v>
      </c>
      <c r="I1600" s="9" t="n">
        <v>2970.38</v>
      </c>
      <c r="J1600" s="9" t="n">
        <v>5940.76</v>
      </c>
      <c r="K1600" s="52" t="n">
        <v>7500</v>
      </c>
      <c r="L1600" s="58" t="n">
        <v>28.6</v>
      </c>
      <c r="M1600" s="59" t="n">
        <v>82.3</v>
      </c>
      <c r="N1600" s="9" t="n">
        <v>103.859338</v>
      </c>
      <c r="O1600" s="8" t="n">
        <v>0.4906</v>
      </c>
      <c r="P1600" s="9" t="n">
        <v>-3263.76</v>
      </c>
      <c r="Q1600" s="7" t="s">
        <v>2103</v>
      </c>
      <c r="R1600" s="7" t="s">
        <v>2099</v>
      </c>
      <c r="S1600" s="58" t="n">
        <v>1</v>
      </c>
      <c r="T1600" s="9" t="n">
        <v>2500</v>
      </c>
      <c r="U1600" s="56" t="n">
        <f aca="false">I1600*O1600</f>
        <v>1457.268428</v>
      </c>
      <c r="V1600" s="56" t="n">
        <f aca="false">J1600*O1600</f>
        <v>2914.536856</v>
      </c>
      <c r="W1600" s="56" t="n">
        <f aca="false">((I1600+J1600)/2)*O1600</f>
        <v>2185.902642</v>
      </c>
      <c r="X1600" s="56" t="n">
        <f aca="false">H1600*O1600</f>
        <v>1313.3362</v>
      </c>
    </row>
    <row r="1601" customFormat="false" ht="22.35" hidden="false" customHeight="false" outlineLevel="0" collapsed="false">
      <c r="A1601" s="79" t="s">
        <v>2065</v>
      </c>
      <c r="B1601" s="62" t="s">
        <v>4151</v>
      </c>
      <c r="C1601" s="62" t="s">
        <v>4152</v>
      </c>
      <c r="D1601" s="62" t="s">
        <v>2101</v>
      </c>
      <c r="E1601" s="63" t="s">
        <v>2169</v>
      </c>
      <c r="F1601" s="64" t="s">
        <v>2170</v>
      </c>
      <c r="G1601" s="62" t="s">
        <v>2097</v>
      </c>
      <c r="H1601" s="65" t="n">
        <v>150</v>
      </c>
      <c r="I1601" s="65" t="n">
        <v>8.07</v>
      </c>
      <c r="J1601" s="65" t="n">
        <v>24.21</v>
      </c>
      <c r="K1601" s="66" t="n">
        <v>500</v>
      </c>
      <c r="L1601" s="67" t="n">
        <v>24.8</v>
      </c>
      <c r="M1601" s="68" t="n">
        <v>66.7</v>
      </c>
      <c r="N1601" s="65" t="n">
        <v>0.664493</v>
      </c>
      <c r="O1601" s="69" t="n">
        <v>10.6805</v>
      </c>
      <c r="P1601" s="65" t="n">
        <v>125.79</v>
      </c>
      <c r="Q1601" s="62" t="s">
        <v>2098</v>
      </c>
      <c r="R1601" s="62" t="s">
        <v>4153</v>
      </c>
      <c r="S1601" s="67" t="n">
        <v>0.5</v>
      </c>
      <c r="T1601" s="65" t="n">
        <v>500</v>
      </c>
      <c r="U1601" s="56" t="n">
        <f aca="false">I1601*O1601</f>
        <v>86.191635</v>
      </c>
      <c r="V1601" s="56" t="n">
        <f aca="false">J1601*O1601</f>
        <v>258.574905</v>
      </c>
      <c r="W1601" s="56" t="n">
        <f aca="false">((I1601+J1601)/2)*O1601</f>
        <v>172.38327</v>
      </c>
      <c r="X1601" s="56" t="n">
        <f aca="false">H1601*O1601</f>
        <v>1602.075</v>
      </c>
    </row>
    <row r="1602" customFormat="false" ht="15" hidden="false" customHeight="false" outlineLevel="0" collapsed="false">
      <c r="A1602" s="79" t="s">
        <v>2065</v>
      </c>
      <c r="B1602" s="7" t="s">
        <v>3753</v>
      </c>
      <c r="C1602" s="7" t="s">
        <v>2345</v>
      </c>
      <c r="D1602" s="7" t="s">
        <v>2095</v>
      </c>
      <c r="E1602" s="50" t="s">
        <v>2096</v>
      </c>
      <c r="F1602" s="7" t="s">
        <v>2097</v>
      </c>
      <c r="G1602" s="7" t="s">
        <v>2097</v>
      </c>
      <c r="H1602" s="9" t="n">
        <v>1537</v>
      </c>
      <c r="I1602" s="9" t="n">
        <v>528.19</v>
      </c>
      <c r="J1602" s="9" t="n">
        <v>1056.38</v>
      </c>
      <c r="K1602" s="52" t="n">
        <v>1100</v>
      </c>
      <c r="L1602" s="58" t="n">
        <v>18.1</v>
      </c>
      <c r="M1602" s="59" t="n">
        <v>84.5</v>
      </c>
      <c r="N1602" s="9" t="n">
        <v>29.18202</v>
      </c>
      <c r="O1602" s="8" t="n">
        <v>1.95</v>
      </c>
      <c r="P1602" s="9" t="n">
        <v>480.62</v>
      </c>
      <c r="Q1602" s="7" t="s">
        <v>2098</v>
      </c>
      <c r="R1602" s="7" t="s">
        <v>2099</v>
      </c>
      <c r="S1602" s="58" t="n">
        <v>1</v>
      </c>
      <c r="T1602" s="9" t="n">
        <v>50</v>
      </c>
      <c r="U1602" s="56" t="n">
        <f aca="false">I1602*O1602</f>
        <v>1029.9705</v>
      </c>
      <c r="V1602" s="56" t="n">
        <f aca="false">J1602*O1602</f>
        <v>2059.941</v>
      </c>
      <c r="W1602" s="56" t="n">
        <f aca="false">((I1602+J1602)/2)*O1602</f>
        <v>1544.95575</v>
      </c>
      <c r="X1602" s="56" t="n">
        <f aca="false">H1602*O1602</f>
        <v>2997.15</v>
      </c>
    </row>
    <row r="1603" customFormat="false" ht="22.35" hidden="false" customHeight="false" outlineLevel="0" collapsed="false">
      <c r="A1603" s="79" t="s">
        <v>2065</v>
      </c>
      <c r="B1603" s="49" t="s">
        <v>2362</v>
      </c>
      <c r="C1603" s="49" t="s">
        <v>1769</v>
      </c>
      <c r="D1603" s="49" t="s">
        <v>2095</v>
      </c>
      <c r="E1603" s="61" t="s">
        <v>2113</v>
      </c>
      <c r="F1603" s="49" t="s">
        <v>2097</v>
      </c>
      <c r="G1603" s="49" t="s">
        <v>2097</v>
      </c>
      <c r="H1603" s="51" t="n">
        <v>150</v>
      </c>
      <c r="I1603" s="51" t="n">
        <v>211.38</v>
      </c>
      <c r="J1603" s="51" t="n">
        <v>422.76</v>
      </c>
      <c r="K1603" s="52" t="n">
        <v>450</v>
      </c>
      <c r="L1603" s="53" t="n">
        <v>33.4</v>
      </c>
      <c r="M1603" s="54" t="n">
        <v>89.4</v>
      </c>
      <c r="N1603" s="51" t="n">
        <v>6.328603</v>
      </c>
      <c r="O1603" s="55" t="n">
        <v>0.68</v>
      </c>
      <c r="P1603" s="51" t="n">
        <v>-272.76</v>
      </c>
      <c r="Q1603" s="49" t="s">
        <v>2103</v>
      </c>
      <c r="R1603" s="49" t="s">
        <v>2099</v>
      </c>
      <c r="S1603" s="53" t="n">
        <v>1</v>
      </c>
      <c r="T1603" s="51" t="n">
        <v>50</v>
      </c>
      <c r="U1603" s="56" t="n">
        <f aca="false">I1603*O1603</f>
        <v>143.7384</v>
      </c>
      <c r="V1603" s="56" t="n">
        <f aca="false">J1603*O1603</f>
        <v>287.4768</v>
      </c>
      <c r="W1603" s="56" t="n">
        <f aca="false">((I1603+J1603)/2)*O1603</f>
        <v>215.6076</v>
      </c>
      <c r="X1603" s="56" t="n">
        <f aca="false">H1603*O1603</f>
        <v>102</v>
      </c>
    </row>
    <row r="1604" customFormat="false" ht="15" hidden="false" customHeight="false" outlineLevel="0" collapsed="false">
      <c r="A1604" s="79" t="s">
        <v>2065</v>
      </c>
      <c r="B1604" s="7" t="s">
        <v>3758</v>
      </c>
      <c r="C1604" s="7" t="s">
        <v>1769</v>
      </c>
      <c r="D1604" s="7" t="s">
        <v>2095</v>
      </c>
      <c r="E1604" s="50" t="s">
        <v>2096</v>
      </c>
      <c r="F1604" s="7" t="s">
        <v>2097</v>
      </c>
      <c r="G1604" s="7" t="s">
        <v>2097</v>
      </c>
      <c r="H1604" s="9" t="n">
        <v>150</v>
      </c>
      <c r="I1604" s="9" t="n">
        <v>17.59</v>
      </c>
      <c r="J1604" s="9" t="n">
        <v>35.18</v>
      </c>
      <c r="K1604" s="52" t="n">
        <v>2500</v>
      </c>
      <c r="L1604" s="58" t="n">
        <v>29</v>
      </c>
      <c r="M1604" s="59" t="n">
        <v>94.1</v>
      </c>
      <c r="N1604" s="9" t="n">
        <v>0.606534</v>
      </c>
      <c r="O1604" s="8" t="n">
        <v>0.673</v>
      </c>
      <c r="P1604" s="9" t="n">
        <v>114.82</v>
      </c>
      <c r="Q1604" s="7" t="s">
        <v>2098</v>
      </c>
      <c r="R1604" s="7" t="s">
        <v>2099</v>
      </c>
      <c r="S1604" s="58" t="n">
        <v>1</v>
      </c>
      <c r="T1604" s="9" t="n">
        <v>2500</v>
      </c>
      <c r="U1604" s="56" t="n">
        <f aca="false">I1604*O1604</f>
        <v>11.83807</v>
      </c>
      <c r="V1604" s="56" t="n">
        <f aca="false">J1604*O1604</f>
        <v>23.67614</v>
      </c>
      <c r="W1604" s="56" t="n">
        <f aca="false">((I1604+J1604)/2)*O1604</f>
        <v>17.757105</v>
      </c>
      <c r="X1604" s="56" t="n">
        <f aca="false">H1604*O1604</f>
        <v>100.95</v>
      </c>
    </row>
    <row r="1605" customFormat="false" ht="22.35" hidden="false" customHeight="false" outlineLevel="0" collapsed="false">
      <c r="A1605" s="79" t="s">
        <v>2065</v>
      </c>
      <c r="B1605" s="49" t="s">
        <v>4154</v>
      </c>
      <c r="C1605" s="49" t="s">
        <v>4143</v>
      </c>
      <c r="D1605" s="49" t="s">
        <v>2095</v>
      </c>
      <c r="E1605" s="61" t="s">
        <v>2113</v>
      </c>
      <c r="F1605" s="49" t="s">
        <v>2097</v>
      </c>
      <c r="G1605" s="49" t="s">
        <v>2097</v>
      </c>
      <c r="H1605" s="51" t="n">
        <v>2644</v>
      </c>
      <c r="I1605" s="51" t="n">
        <v>2913.15</v>
      </c>
      <c r="J1605" s="51" t="n">
        <v>5826.3</v>
      </c>
      <c r="K1605" s="52" t="n">
        <v>6000</v>
      </c>
      <c r="L1605" s="53" t="n">
        <v>19.2</v>
      </c>
      <c r="M1605" s="54" t="n">
        <v>62.5</v>
      </c>
      <c r="N1605" s="51" t="n">
        <v>151.72674</v>
      </c>
      <c r="O1605" s="55" t="n">
        <v>0.3348</v>
      </c>
      <c r="P1605" s="51" t="n">
        <v>-3182.3</v>
      </c>
      <c r="Q1605" s="49" t="s">
        <v>2103</v>
      </c>
      <c r="R1605" s="49" t="s">
        <v>2099</v>
      </c>
      <c r="S1605" s="53" t="n">
        <v>1</v>
      </c>
      <c r="T1605" s="51" t="n">
        <v>2000</v>
      </c>
      <c r="U1605" s="56" t="n">
        <f aca="false">I1605*O1605</f>
        <v>975.32262</v>
      </c>
      <c r="V1605" s="56" t="n">
        <f aca="false">J1605*O1605</f>
        <v>1950.64524</v>
      </c>
      <c r="W1605" s="56" t="n">
        <f aca="false">((I1605+J1605)/2)*O1605</f>
        <v>1462.98393</v>
      </c>
      <c r="X1605" s="56" t="n">
        <f aca="false">H1605*O1605</f>
        <v>885.2112</v>
      </c>
    </row>
    <row r="1606" customFormat="false" ht="22.35" hidden="false" customHeight="false" outlineLevel="0" collapsed="false">
      <c r="A1606" s="79" t="s">
        <v>2065</v>
      </c>
      <c r="B1606" s="7" t="s">
        <v>2363</v>
      </c>
      <c r="C1606" s="7" t="s">
        <v>2364</v>
      </c>
      <c r="D1606" s="7" t="s">
        <v>2095</v>
      </c>
      <c r="E1606" s="61" t="s">
        <v>2113</v>
      </c>
      <c r="F1606" s="7" t="s">
        <v>2097</v>
      </c>
      <c r="G1606" s="7" t="s">
        <v>2097</v>
      </c>
      <c r="H1606" s="9" t="n">
        <v>1022</v>
      </c>
      <c r="I1606" s="9" t="n">
        <v>4840.57</v>
      </c>
      <c r="J1606" s="9" t="n">
        <v>9681.14</v>
      </c>
      <c r="K1606" s="52" t="n">
        <v>9699.8</v>
      </c>
      <c r="L1606" s="58" t="n">
        <v>132.6</v>
      </c>
      <c r="M1606" s="59" t="n">
        <v>68.5</v>
      </c>
      <c r="N1606" s="9" t="n">
        <v>36.505082</v>
      </c>
      <c r="O1606" s="8" t="n">
        <v>2.78</v>
      </c>
      <c r="P1606" s="9" t="n">
        <v>-8659.14</v>
      </c>
      <c r="Q1606" s="7" t="s">
        <v>2103</v>
      </c>
      <c r="R1606" s="7" t="s">
        <v>2099</v>
      </c>
      <c r="S1606" s="58" t="n">
        <v>1</v>
      </c>
      <c r="T1606" s="9" t="n">
        <v>44.09</v>
      </c>
      <c r="U1606" s="56" t="n">
        <f aca="false">I1606*O1606</f>
        <v>13456.7846</v>
      </c>
      <c r="V1606" s="56" t="n">
        <f aca="false">J1606*O1606</f>
        <v>26913.5692</v>
      </c>
      <c r="W1606" s="56" t="n">
        <f aca="false">((I1606+J1606)/2)*O1606</f>
        <v>20185.1769</v>
      </c>
      <c r="X1606" s="56" t="n">
        <f aca="false">H1606*O1606</f>
        <v>2841.16</v>
      </c>
    </row>
    <row r="1607" customFormat="false" ht="22.35" hidden="false" customHeight="false" outlineLevel="0" collapsed="false">
      <c r="A1607" s="79" t="s">
        <v>2065</v>
      </c>
      <c r="B1607" s="49" t="s">
        <v>2365</v>
      </c>
      <c r="C1607" s="49" t="s">
        <v>2366</v>
      </c>
      <c r="D1607" s="49" t="s">
        <v>2109</v>
      </c>
      <c r="E1607" s="60" t="s">
        <v>2110</v>
      </c>
      <c r="F1607" s="49" t="s">
        <v>2097</v>
      </c>
      <c r="G1607" s="49" t="s">
        <v>2097</v>
      </c>
      <c r="H1607" s="51" t="n">
        <v>5442</v>
      </c>
      <c r="I1607" s="51" t="n">
        <v>9510.28</v>
      </c>
      <c r="J1607" s="51" t="n">
        <v>15850.47</v>
      </c>
      <c r="K1607" s="52" t="n">
        <v>15850.47</v>
      </c>
      <c r="L1607" s="53" t="n">
        <v>44.8</v>
      </c>
      <c r="M1607" s="54" t="n">
        <v>59.4</v>
      </c>
      <c r="N1607" s="51" t="n">
        <v>141.522052</v>
      </c>
      <c r="O1607" s="55" t="n">
        <v>0.1212</v>
      </c>
      <c r="P1607" s="51" t="n">
        <v>-10408.47</v>
      </c>
      <c r="Q1607" s="49" t="s">
        <v>2103</v>
      </c>
      <c r="R1607" s="49" t="s">
        <v>2099</v>
      </c>
      <c r="S1607" s="53" t="n">
        <v>1.5</v>
      </c>
      <c r="T1607" s="51" t="n">
        <v>1</v>
      </c>
      <c r="U1607" s="56" t="n">
        <f aca="false">I1607*O1607</f>
        <v>1152.645936</v>
      </c>
      <c r="V1607" s="56" t="n">
        <f aca="false">J1607*O1607</f>
        <v>1921.076964</v>
      </c>
      <c r="W1607" s="56" t="n">
        <f aca="false">((I1607+J1607)/2)*O1607</f>
        <v>1536.86145</v>
      </c>
      <c r="X1607" s="56" t="n">
        <f aca="false">H1607*O1607</f>
        <v>659.5704</v>
      </c>
    </row>
    <row r="1608" customFormat="false" ht="22.35" hidden="false" customHeight="false" outlineLevel="0" collapsed="false">
      <c r="A1608" s="79" t="s">
        <v>2065</v>
      </c>
      <c r="B1608" s="7" t="s">
        <v>4155</v>
      </c>
      <c r="C1608" s="7" t="s">
        <v>4156</v>
      </c>
      <c r="D1608" s="7" t="s">
        <v>2109</v>
      </c>
      <c r="E1608" s="60" t="s">
        <v>2110</v>
      </c>
      <c r="F1608" s="7" t="s">
        <v>2097</v>
      </c>
      <c r="G1608" s="7" t="s">
        <v>2097</v>
      </c>
      <c r="H1608" s="9" t="n">
        <v>35017</v>
      </c>
      <c r="I1608" s="9" t="n">
        <v>136097.24</v>
      </c>
      <c r="J1608" s="9" t="n">
        <v>226828.74</v>
      </c>
      <c r="K1608" s="52" t="n">
        <v>227000</v>
      </c>
      <c r="L1608" s="58" t="n">
        <v>69.5</v>
      </c>
      <c r="M1608" s="59" t="n">
        <v>55.6</v>
      </c>
      <c r="N1608" s="9" t="n">
        <v>1305.489145</v>
      </c>
      <c r="O1608" s="8" t="n">
        <v>0.36</v>
      </c>
      <c r="P1608" s="9" t="n">
        <v>-191811.74</v>
      </c>
      <c r="Q1608" s="7" t="s">
        <v>2103</v>
      </c>
      <c r="R1608" s="7" t="s">
        <v>2099</v>
      </c>
      <c r="S1608" s="58" t="n">
        <v>1.5</v>
      </c>
      <c r="T1608" s="9" t="n">
        <v>500</v>
      </c>
      <c r="U1608" s="56" t="n">
        <f aca="false">I1608*O1608</f>
        <v>48995.0064</v>
      </c>
      <c r="V1608" s="56" t="n">
        <f aca="false">J1608*O1608</f>
        <v>81658.3464</v>
      </c>
      <c r="W1608" s="56" t="n">
        <f aca="false">((I1608+J1608)/2)*O1608</f>
        <v>65326.6764</v>
      </c>
      <c r="X1608" s="56" t="n">
        <f aca="false">H1608*O1608</f>
        <v>12606.12</v>
      </c>
    </row>
    <row r="1609" customFormat="false" ht="15" hidden="false" customHeight="false" outlineLevel="0" collapsed="false">
      <c r="A1609" s="79" t="s">
        <v>2065</v>
      </c>
      <c r="B1609" s="49" t="s">
        <v>3768</v>
      </c>
      <c r="C1609" s="49" t="s">
        <v>1692</v>
      </c>
      <c r="D1609" s="49" t="s">
        <v>2101</v>
      </c>
      <c r="E1609" s="50" t="s">
        <v>2096</v>
      </c>
      <c r="F1609" s="49" t="s">
        <v>2097</v>
      </c>
      <c r="G1609" s="49" t="s">
        <v>2097</v>
      </c>
      <c r="H1609" s="51" t="n">
        <v>150</v>
      </c>
      <c r="I1609" s="51" t="n">
        <v>25.86</v>
      </c>
      <c r="J1609" s="51" t="n">
        <v>77.57</v>
      </c>
      <c r="K1609" s="52" t="n">
        <v>100</v>
      </c>
      <c r="L1609" s="53" t="n">
        <v>45</v>
      </c>
      <c r="M1609" s="54" t="n">
        <v>60.9</v>
      </c>
      <c r="N1609" s="51" t="n">
        <v>1.149119</v>
      </c>
      <c r="O1609" s="55" t="n">
        <v>0.955</v>
      </c>
      <c r="P1609" s="51" t="n">
        <v>72.43</v>
      </c>
      <c r="Q1609" s="49" t="s">
        <v>2098</v>
      </c>
      <c r="R1609" s="49" t="s">
        <v>2099</v>
      </c>
      <c r="S1609" s="53" t="n">
        <v>0.5</v>
      </c>
      <c r="T1609" s="51" t="n">
        <v>50</v>
      </c>
      <c r="U1609" s="56" t="n">
        <f aca="false">I1609*O1609</f>
        <v>24.6963</v>
      </c>
      <c r="V1609" s="56" t="n">
        <f aca="false">J1609*O1609</f>
        <v>74.07935</v>
      </c>
      <c r="W1609" s="56" t="n">
        <f aca="false">((I1609+J1609)/2)*O1609</f>
        <v>49.387825</v>
      </c>
      <c r="X1609" s="56" t="n">
        <f aca="false">H1609*O1609</f>
        <v>143.25</v>
      </c>
    </row>
    <row r="1610" customFormat="false" ht="22.35" hidden="false" customHeight="false" outlineLevel="0" collapsed="false">
      <c r="A1610" s="79" t="s">
        <v>2065</v>
      </c>
      <c r="B1610" s="7" t="s">
        <v>4157</v>
      </c>
      <c r="C1610" s="7" t="s">
        <v>1913</v>
      </c>
      <c r="D1610" s="7" t="s">
        <v>2101</v>
      </c>
      <c r="E1610" s="57" t="s">
        <v>2102</v>
      </c>
      <c r="F1610" s="7" t="s">
        <v>2097</v>
      </c>
      <c r="G1610" s="7" t="s">
        <v>2097</v>
      </c>
      <c r="H1610" s="9" t="n">
        <v>185</v>
      </c>
      <c r="I1610" s="9" t="n">
        <v>138.32</v>
      </c>
      <c r="J1610" s="9" t="n">
        <v>414.96</v>
      </c>
      <c r="K1610" s="52" t="n">
        <v>500</v>
      </c>
      <c r="L1610" s="58" t="n">
        <v>28.8</v>
      </c>
      <c r="M1610" s="59" t="n">
        <v>50</v>
      </c>
      <c r="N1610" s="9" t="n">
        <v>9.605629</v>
      </c>
      <c r="O1610" s="8" t="n">
        <v>0.3375</v>
      </c>
      <c r="P1610" s="9" t="n">
        <v>-229.96</v>
      </c>
      <c r="Q1610" s="7" t="s">
        <v>2103</v>
      </c>
      <c r="R1610" s="7" t="s">
        <v>2099</v>
      </c>
      <c r="S1610" s="58" t="n">
        <v>0.5</v>
      </c>
      <c r="T1610" s="9" t="n">
        <v>500</v>
      </c>
      <c r="U1610" s="56" t="n">
        <f aca="false">I1610*O1610</f>
        <v>46.683</v>
      </c>
      <c r="V1610" s="56" t="n">
        <f aca="false">J1610*O1610</f>
        <v>140.049</v>
      </c>
      <c r="W1610" s="56" t="n">
        <f aca="false">((I1610+J1610)/2)*O1610</f>
        <v>93.366</v>
      </c>
      <c r="X1610" s="56" t="n">
        <f aca="false">H1610*O1610</f>
        <v>62.4375</v>
      </c>
    </row>
    <row r="1611" customFormat="false" ht="22.35" hidden="false" customHeight="false" outlineLevel="0" collapsed="false">
      <c r="A1611" s="79" t="s">
        <v>2065</v>
      </c>
      <c r="B1611" s="4" t="s">
        <v>4158</v>
      </c>
      <c r="C1611" s="4" t="s">
        <v>3728</v>
      </c>
      <c r="D1611" s="4" t="s">
        <v>2101</v>
      </c>
      <c r="E1611" s="70" t="s">
        <v>2193</v>
      </c>
      <c r="F1611" s="4" t="s">
        <v>2097</v>
      </c>
      <c r="G1611" s="71" t="s">
        <v>2194</v>
      </c>
      <c r="H1611" s="6" t="n">
        <v>404</v>
      </c>
      <c r="I1611" s="6" t="n">
        <v>0</v>
      </c>
      <c r="J1611" s="6" t="n">
        <v>0</v>
      </c>
      <c r="K1611" s="52" t="n">
        <v>0</v>
      </c>
      <c r="L1611" s="72" t="n">
        <v>50</v>
      </c>
      <c r="M1611" s="73" t="n">
        <v>50</v>
      </c>
      <c r="N1611" s="6" t="n">
        <v>11.527452</v>
      </c>
      <c r="O1611" s="5" t="n">
        <v>1.96</v>
      </c>
      <c r="P1611" s="6" t="n">
        <v>404</v>
      </c>
      <c r="Q1611" s="4" t="s">
        <v>2098</v>
      </c>
      <c r="R1611" s="4" t="s">
        <v>2195</v>
      </c>
      <c r="S1611" s="72" t="n">
        <v>0</v>
      </c>
      <c r="T1611" s="6" t="n">
        <v>500</v>
      </c>
      <c r="U1611" s="56" t="n">
        <f aca="false">I1611*O1611</f>
        <v>0</v>
      </c>
      <c r="V1611" s="56" t="n">
        <f aca="false">J1611*O1611</f>
        <v>0</v>
      </c>
      <c r="W1611" s="56" t="n">
        <f aca="false">((I1611+J1611)/2)*O1611</f>
        <v>0</v>
      </c>
      <c r="X1611" s="56" t="n">
        <f aca="false">H1611*O1611</f>
        <v>791.84</v>
      </c>
    </row>
    <row r="1612" customFormat="false" ht="15" hidden="false" customHeight="false" outlineLevel="0" collapsed="false">
      <c r="A1612" s="79" t="s">
        <v>2065</v>
      </c>
      <c r="B1612" s="7" t="s">
        <v>3770</v>
      </c>
      <c r="C1612" s="7" t="s">
        <v>2366</v>
      </c>
      <c r="D1612" s="7" t="s">
        <v>2101</v>
      </c>
      <c r="E1612" s="50" t="s">
        <v>2096</v>
      </c>
      <c r="F1612" s="7" t="s">
        <v>2097</v>
      </c>
      <c r="G1612" s="7" t="s">
        <v>2097</v>
      </c>
      <c r="H1612" s="9" t="n">
        <v>334</v>
      </c>
      <c r="I1612" s="9" t="n">
        <v>12.33</v>
      </c>
      <c r="J1612" s="9" t="n">
        <v>36.98</v>
      </c>
      <c r="K1612" s="52" t="n">
        <v>42000</v>
      </c>
      <c r="L1612" s="58" t="n">
        <v>27</v>
      </c>
      <c r="M1612" s="59" t="n">
        <v>52.9</v>
      </c>
      <c r="N1612" s="9" t="n">
        <v>0.91311</v>
      </c>
      <c r="O1612" s="8" t="n">
        <v>0.1103</v>
      </c>
      <c r="P1612" s="9" t="n">
        <v>297.02</v>
      </c>
      <c r="Q1612" s="7" t="s">
        <v>2098</v>
      </c>
      <c r="R1612" s="7" t="s">
        <v>2099</v>
      </c>
      <c r="S1612" s="58" t="n">
        <v>0.5</v>
      </c>
      <c r="T1612" s="9" t="n">
        <v>42000</v>
      </c>
      <c r="U1612" s="56" t="n">
        <f aca="false">I1612*O1612</f>
        <v>1.359999</v>
      </c>
      <c r="V1612" s="56" t="n">
        <f aca="false">J1612*O1612</f>
        <v>4.078894</v>
      </c>
      <c r="W1612" s="56" t="n">
        <f aca="false">((I1612+J1612)/2)*O1612</f>
        <v>2.7194465</v>
      </c>
      <c r="X1612" s="56" t="n">
        <f aca="false">H1612*O1612</f>
        <v>36.8402</v>
      </c>
    </row>
    <row r="1613" customFormat="false" ht="32.8" hidden="false" customHeight="false" outlineLevel="0" collapsed="false">
      <c r="A1613" s="79" t="s">
        <v>2065</v>
      </c>
      <c r="B1613" s="62" t="s">
        <v>4159</v>
      </c>
      <c r="C1613" s="62" t="s">
        <v>1775</v>
      </c>
      <c r="D1613" s="62" t="s">
        <v>2101</v>
      </c>
      <c r="E1613" s="78" t="s">
        <v>3474</v>
      </c>
      <c r="F1613" s="64" t="s">
        <v>2170</v>
      </c>
      <c r="G1613" s="62" t="s">
        <v>2097</v>
      </c>
      <c r="H1613" s="65" t="n">
        <v>222</v>
      </c>
      <c r="I1613" s="65" t="n">
        <v>108.8</v>
      </c>
      <c r="J1613" s="65" t="n">
        <v>326.4</v>
      </c>
      <c r="K1613" s="66" t="n">
        <v>500</v>
      </c>
      <c r="L1613" s="67" t="n">
        <v>14</v>
      </c>
      <c r="M1613" s="68" t="n">
        <v>25</v>
      </c>
      <c r="N1613" s="65" t="n">
        <v>9.608922</v>
      </c>
      <c r="O1613" s="69" t="n">
        <v>0.8802</v>
      </c>
      <c r="P1613" s="65" t="n">
        <v>-104.4</v>
      </c>
      <c r="Q1613" s="62" t="s">
        <v>2103</v>
      </c>
      <c r="R1613" s="62" t="s">
        <v>4160</v>
      </c>
      <c r="S1613" s="67" t="n">
        <v>0.5</v>
      </c>
      <c r="T1613" s="65" t="n">
        <v>500</v>
      </c>
      <c r="U1613" s="56" t="n">
        <f aca="false">I1613*O1613</f>
        <v>95.76576</v>
      </c>
      <c r="V1613" s="56" t="n">
        <f aca="false">J1613*O1613</f>
        <v>287.29728</v>
      </c>
      <c r="W1613" s="56" t="n">
        <f aca="false">((I1613+J1613)/2)*O1613</f>
        <v>191.53152</v>
      </c>
      <c r="X1613" s="56" t="n">
        <f aca="false">H1613*O1613</f>
        <v>195.4044</v>
      </c>
    </row>
    <row r="1614" customFormat="false" ht="15" hidden="false" customHeight="false" outlineLevel="0" collapsed="false">
      <c r="A1614" s="79" t="s">
        <v>2065</v>
      </c>
      <c r="B1614" s="7" t="s">
        <v>3771</v>
      </c>
      <c r="C1614" s="7" t="s">
        <v>2356</v>
      </c>
      <c r="D1614" s="7" t="s">
        <v>2101</v>
      </c>
      <c r="E1614" s="50" t="s">
        <v>2096</v>
      </c>
      <c r="F1614" s="7" t="s">
        <v>2097</v>
      </c>
      <c r="G1614" s="7" t="s">
        <v>2097</v>
      </c>
      <c r="H1614" s="9" t="n">
        <v>182</v>
      </c>
      <c r="I1614" s="9" t="n">
        <v>34.74</v>
      </c>
      <c r="J1614" s="9" t="n">
        <v>104.22</v>
      </c>
      <c r="K1614" s="52" t="n">
        <v>150</v>
      </c>
      <c r="L1614" s="58" t="n">
        <v>19.4</v>
      </c>
      <c r="M1614" s="59" t="n">
        <v>51.9</v>
      </c>
      <c r="N1614" s="9" t="n">
        <v>3.581372</v>
      </c>
      <c r="O1614" s="8" t="n">
        <v>11.15</v>
      </c>
      <c r="P1614" s="9" t="n">
        <v>77.78</v>
      </c>
      <c r="Q1614" s="7" t="s">
        <v>2098</v>
      </c>
      <c r="R1614" s="7" t="s">
        <v>2099</v>
      </c>
      <c r="S1614" s="58" t="n">
        <v>0.5</v>
      </c>
      <c r="T1614" s="9" t="n">
        <v>50</v>
      </c>
      <c r="U1614" s="56" t="n">
        <f aca="false">I1614*O1614</f>
        <v>387.351</v>
      </c>
      <c r="V1614" s="56" t="n">
        <f aca="false">J1614*O1614</f>
        <v>1162.053</v>
      </c>
      <c r="W1614" s="56" t="n">
        <f aca="false">((I1614+J1614)/2)*O1614</f>
        <v>774.702</v>
      </c>
      <c r="X1614" s="56" t="n">
        <f aca="false">H1614*O1614</f>
        <v>2029.3</v>
      </c>
    </row>
    <row r="1615" customFormat="false" ht="15" hidden="false" customHeight="false" outlineLevel="0" collapsed="false">
      <c r="A1615" s="79" t="s">
        <v>2065</v>
      </c>
      <c r="B1615" s="49" t="s">
        <v>2370</v>
      </c>
      <c r="C1615" s="49" t="s">
        <v>2371</v>
      </c>
      <c r="D1615" s="49" t="s">
        <v>2101</v>
      </c>
      <c r="E1615" s="50" t="s">
        <v>2096</v>
      </c>
      <c r="F1615" s="49" t="s">
        <v>2097</v>
      </c>
      <c r="G1615" s="49" t="s">
        <v>2097</v>
      </c>
      <c r="H1615" s="51" t="n">
        <v>150</v>
      </c>
      <c r="I1615" s="51" t="n">
        <v>33.63</v>
      </c>
      <c r="J1615" s="51" t="n">
        <v>100.88</v>
      </c>
      <c r="K1615" s="52" t="n">
        <v>150</v>
      </c>
      <c r="L1615" s="53" t="n">
        <v>31.3</v>
      </c>
      <c r="M1615" s="54" t="n">
        <v>88.9</v>
      </c>
      <c r="N1615" s="51" t="n">
        <v>2.148671</v>
      </c>
      <c r="O1615" s="55" t="n">
        <v>1.7303</v>
      </c>
      <c r="P1615" s="51" t="n">
        <v>49.12</v>
      </c>
      <c r="Q1615" s="49" t="s">
        <v>2098</v>
      </c>
      <c r="R1615" s="49" t="s">
        <v>2099</v>
      </c>
      <c r="S1615" s="53" t="n">
        <v>0.5</v>
      </c>
      <c r="T1615" s="51" t="n">
        <v>50</v>
      </c>
      <c r="U1615" s="56" t="n">
        <f aca="false">I1615*O1615</f>
        <v>58.189989</v>
      </c>
      <c r="V1615" s="56" t="n">
        <f aca="false">J1615*O1615</f>
        <v>174.552664</v>
      </c>
      <c r="W1615" s="56" t="n">
        <f aca="false">((I1615+J1615)/2)*O1615</f>
        <v>116.3713265</v>
      </c>
      <c r="X1615" s="56" t="n">
        <f aca="false">H1615*O1615</f>
        <v>259.545</v>
      </c>
    </row>
    <row r="1616" customFormat="false" ht="32.8" hidden="false" customHeight="false" outlineLevel="0" collapsed="false">
      <c r="A1616" s="79" t="s">
        <v>2065</v>
      </c>
      <c r="B1616" s="62" t="s">
        <v>3774</v>
      </c>
      <c r="C1616" s="62" t="s">
        <v>3775</v>
      </c>
      <c r="D1616" s="62" t="s">
        <v>2101</v>
      </c>
      <c r="E1616" s="78" t="s">
        <v>3474</v>
      </c>
      <c r="F1616" s="64" t="s">
        <v>2170</v>
      </c>
      <c r="G1616" s="62" t="s">
        <v>2097</v>
      </c>
      <c r="H1616" s="65" t="n">
        <v>1064</v>
      </c>
      <c r="I1616" s="65" t="n">
        <v>525.99</v>
      </c>
      <c r="J1616" s="65" t="n">
        <v>1577.97</v>
      </c>
      <c r="K1616" s="66" t="n">
        <v>2000</v>
      </c>
      <c r="L1616" s="67" t="n">
        <v>32.3</v>
      </c>
      <c r="M1616" s="68" t="n">
        <v>60</v>
      </c>
      <c r="N1616" s="65" t="n">
        <v>39.430765</v>
      </c>
      <c r="O1616" s="69" t="n">
        <v>31.11</v>
      </c>
      <c r="P1616" s="65" t="n">
        <v>-513.97</v>
      </c>
      <c r="Q1616" s="62" t="s">
        <v>2103</v>
      </c>
      <c r="R1616" s="62" t="s">
        <v>3591</v>
      </c>
      <c r="S1616" s="67" t="n">
        <v>0.5</v>
      </c>
      <c r="T1616" s="65" t="n">
        <v>500</v>
      </c>
      <c r="U1616" s="56" t="n">
        <f aca="false">I1616*O1616</f>
        <v>16363.5489</v>
      </c>
      <c r="V1616" s="56" t="n">
        <f aca="false">J1616*O1616</f>
        <v>49090.6467</v>
      </c>
      <c r="W1616" s="56" t="n">
        <f aca="false">((I1616+J1616)/2)*O1616</f>
        <v>32727.0978</v>
      </c>
      <c r="X1616" s="56" t="n">
        <f aca="false">H1616*O1616</f>
        <v>33101.04</v>
      </c>
    </row>
    <row r="1617" customFormat="false" ht="22.35" hidden="false" customHeight="false" outlineLevel="0" collapsed="false">
      <c r="A1617" s="79" t="s">
        <v>2065</v>
      </c>
      <c r="B1617" s="49" t="s">
        <v>2372</v>
      </c>
      <c r="C1617" s="49" t="s">
        <v>2373</v>
      </c>
      <c r="D1617" s="49" t="s">
        <v>2101</v>
      </c>
      <c r="E1617" s="57" t="s">
        <v>2102</v>
      </c>
      <c r="F1617" s="49" t="s">
        <v>2097</v>
      </c>
      <c r="G1617" s="49" t="s">
        <v>2097</v>
      </c>
      <c r="H1617" s="51" t="n">
        <v>442</v>
      </c>
      <c r="I1617" s="51" t="n">
        <v>805.15</v>
      </c>
      <c r="J1617" s="51" t="n">
        <v>2415.46</v>
      </c>
      <c r="K1617" s="52" t="n">
        <v>2440</v>
      </c>
      <c r="L1617" s="53" t="n">
        <v>65.3</v>
      </c>
      <c r="M1617" s="54" t="n">
        <v>52.4</v>
      </c>
      <c r="N1617" s="51" t="n">
        <v>24.660156</v>
      </c>
      <c r="O1617" s="55" t="n">
        <v>18.1905</v>
      </c>
      <c r="P1617" s="51" t="n">
        <v>-1973.46</v>
      </c>
      <c r="Q1617" s="49" t="s">
        <v>2103</v>
      </c>
      <c r="R1617" s="49" t="s">
        <v>2099</v>
      </c>
      <c r="S1617" s="53" t="n">
        <v>0.5</v>
      </c>
      <c r="T1617" s="51" t="n">
        <v>40</v>
      </c>
      <c r="U1617" s="56" t="n">
        <f aca="false">I1617*O1617</f>
        <v>14646.081075</v>
      </c>
      <c r="V1617" s="56" t="n">
        <f aca="false">J1617*O1617</f>
        <v>43938.42513</v>
      </c>
      <c r="W1617" s="56" t="n">
        <f aca="false">((I1617+J1617)/2)*O1617</f>
        <v>29292.2531025</v>
      </c>
      <c r="X1617" s="56" t="n">
        <f aca="false">H1617*O1617</f>
        <v>8040.201</v>
      </c>
    </row>
    <row r="1618" customFormat="false" ht="22.35" hidden="false" customHeight="false" outlineLevel="0" collapsed="false">
      <c r="A1618" s="79" t="s">
        <v>2065</v>
      </c>
      <c r="B1618" s="7" t="s">
        <v>3778</v>
      </c>
      <c r="C1618" s="7" t="s">
        <v>2021</v>
      </c>
      <c r="D1618" s="7" t="s">
        <v>2101</v>
      </c>
      <c r="E1618" s="57" t="s">
        <v>2102</v>
      </c>
      <c r="F1618" s="7" t="s">
        <v>2097</v>
      </c>
      <c r="G1618" s="7" t="s">
        <v>2097</v>
      </c>
      <c r="H1618" s="9" t="n">
        <v>793</v>
      </c>
      <c r="I1618" s="9" t="n">
        <v>298.07</v>
      </c>
      <c r="J1618" s="9" t="n">
        <v>894.22</v>
      </c>
      <c r="K1618" s="52" t="n">
        <v>2000</v>
      </c>
      <c r="L1618" s="58" t="n">
        <v>24.4</v>
      </c>
      <c r="M1618" s="59" t="n">
        <v>78.3</v>
      </c>
      <c r="N1618" s="9" t="n">
        <v>24.432235</v>
      </c>
      <c r="O1618" s="8" t="n">
        <v>0.5113</v>
      </c>
      <c r="P1618" s="9" t="n">
        <v>-101.22</v>
      </c>
      <c r="Q1618" s="7" t="s">
        <v>2103</v>
      </c>
      <c r="R1618" s="7" t="s">
        <v>2099</v>
      </c>
      <c r="S1618" s="58" t="n">
        <v>0.5</v>
      </c>
      <c r="T1618" s="9" t="n">
        <v>2000</v>
      </c>
      <c r="U1618" s="56" t="n">
        <f aca="false">I1618*O1618</f>
        <v>152.403191</v>
      </c>
      <c r="V1618" s="56" t="n">
        <f aca="false">J1618*O1618</f>
        <v>457.214686</v>
      </c>
      <c r="W1618" s="56" t="n">
        <f aca="false">((I1618+J1618)/2)*O1618</f>
        <v>304.8089385</v>
      </c>
      <c r="X1618" s="56" t="n">
        <f aca="false">H1618*O1618</f>
        <v>405.4609</v>
      </c>
    </row>
    <row r="1619" customFormat="false" ht="22.35" hidden="false" customHeight="false" outlineLevel="0" collapsed="false">
      <c r="A1619" s="79" t="s">
        <v>2065</v>
      </c>
      <c r="B1619" s="49" t="s">
        <v>2378</v>
      </c>
      <c r="C1619" s="49" t="s">
        <v>1802</v>
      </c>
      <c r="D1619" s="49" t="s">
        <v>2109</v>
      </c>
      <c r="E1619" s="60" t="s">
        <v>2110</v>
      </c>
      <c r="F1619" s="49" t="s">
        <v>2097</v>
      </c>
      <c r="G1619" s="49" t="s">
        <v>2097</v>
      </c>
      <c r="H1619" s="51" t="n">
        <v>8162</v>
      </c>
      <c r="I1619" s="51" t="n">
        <v>18004.93</v>
      </c>
      <c r="J1619" s="51" t="n">
        <v>30008.22</v>
      </c>
      <c r="K1619" s="52" t="n">
        <v>30050</v>
      </c>
      <c r="L1619" s="53" t="n">
        <v>37.1</v>
      </c>
      <c r="M1619" s="54" t="n">
        <v>80.2</v>
      </c>
      <c r="N1619" s="51" t="n">
        <v>323.538801</v>
      </c>
      <c r="O1619" s="55" t="n">
        <v>0.341</v>
      </c>
      <c r="P1619" s="51" t="n">
        <v>-21846.22</v>
      </c>
      <c r="Q1619" s="49" t="s">
        <v>2103</v>
      </c>
      <c r="R1619" s="49" t="s">
        <v>2099</v>
      </c>
      <c r="S1619" s="53" t="n">
        <v>1.5</v>
      </c>
      <c r="T1619" s="51" t="n">
        <v>50</v>
      </c>
      <c r="U1619" s="56" t="n">
        <f aca="false">I1619*O1619</f>
        <v>6139.68113</v>
      </c>
      <c r="V1619" s="56" t="n">
        <f aca="false">J1619*O1619</f>
        <v>10232.80302</v>
      </c>
      <c r="W1619" s="56" t="n">
        <f aca="false">((I1619+J1619)/2)*O1619</f>
        <v>8186.242075</v>
      </c>
      <c r="X1619" s="56" t="n">
        <f aca="false">H1619*O1619</f>
        <v>2783.242</v>
      </c>
    </row>
    <row r="1620" customFormat="false" ht="22.35" hidden="false" customHeight="false" outlineLevel="0" collapsed="false">
      <c r="A1620" s="79" t="s">
        <v>2065</v>
      </c>
      <c r="B1620" s="7" t="s">
        <v>2379</v>
      </c>
      <c r="C1620" s="7" t="s">
        <v>2336</v>
      </c>
      <c r="D1620" s="7" t="s">
        <v>2109</v>
      </c>
      <c r="E1620" s="60" t="s">
        <v>2110</v>
      </c>
      <c r="F1620" s="7" t="s">
        <v>2097</v>
      </c>
      <c r="G1620" s="7" t="s">
        <v>2097</v>
      </c>
      <c r="H1620" s="9" t="n">
        <v>1046</v>
      </c>
      <c r="I1620" s="9" t="n">
        <v>2165.08</v>
      </c>
      <c r="J1620" s="9" t="n">
        <v>3608.47</v>
      </c>
      <c r="K1620" s="52" t="n">
        <v>4000</v>
      </c>
      <c r="L1620" s="58" t="n">
        <v>37.5</v>
      </c>
      <c r="M1620" s="59" t="n">
        <v>79.3</v>
      </c>
      <c r="N1620" s="9" t="n">
        <v>38.490356</v>
      </c>
      <c r="O1620" s="8" t="n">
        <v>0.361</v>
      </c>
      <c r="P1620" s="9" t="n">
        <v>-2562.47</v>
      </c>
      <c r="Q1620" s="7" t="s">
        <v>2103</v>
      </c>
      <c r="R1620" s="7" t="s">
        <v>2099</v>
      </c>
      <c r="S1620" s="58" t="n">
        <v>1.5</v>
      </c>
      <c r="T1620" s="9" t="n">
        <v>2000</v>
      </c>
      <c r="U1620" s="56" t="n">
        <f aca="false">I1620*O1620</f>
        <v>781.59388</v>
      </c>
      <c r="V1620" s="56" t="n">
        <f aca="false">J1620*O1620</f>
        <v>1302.65767</v>
      </c>
      <c r="W1620" s="56" t="n">
        <f aca="false">((I1620+J1620)/2)*O1620</f>
        <v>1042.125775</v>
      </c>
      <c r="X1620" s="56" t="n">
        <f aca="false">H1620*O1620</f>
        <v>377.606</v>
      </c>
    </row>
    <row r="1621" customFormat="false" ht="22.35" hidden="false" customHeight="false" outlineLevel="0" collapsed="false">
      <c r="A1621" s="79" t="s">
        <v>2065</v>
      </c>
      <c r="B1621" s="49" t="s">
        <v>2383</v>
      </c>
      <c r="C1621" s="49" t="s">
        <v>2384</v>
      </c>
      <c r="D1621" s="49" t="s">
        <v>2101</v>
      </c>
      <c r="E1621" s="57" t="s">
        <v>2102</v>
      </c>
      <c r="F1621" s="49" t="s">
        <v>2097</v>
      </c>
      <c r="G1621" s="49" t="s">
        <v>2097</v>
      </c>
      <c r="H1621" s="51" t="n">
        <v>150</v>
      </c>
      <c r="I1621" s="51" t="n">
        <v>77.37</v>
      </c>
      <c r="J1621" s="51" t="n">
        <v>232.12</v>
      </c>
      <c r="K1621" s="52" t="n">
        <v>1000</v>
      </c>
      <c r="L1621" s="53" t="n">
        <v>58.4</v>
      </c>
      <c r="M1621" s="54" t="n">
        <v>83.3</v>
      </c>
      <c r="N1621" s="51" t="n">
        <v>2.649822</v>
      </c>
      <c r="O1621" s="55" t="n">
        <v>0.8844</v>
      </c>
      <c r="P1621" s="51" t="n">
        <v>-82.12</v>
      </c>
      <c r="Q1621" s="49" t="s">
        <v>2103</v>
      </c>
      <c r="R1621" s="49" t="s">
        <v>2099</v>
      </c>
      <c r="S1621" s="53" t="n">
        <v>0.5</v>
      </c>
      <c r="T1621" s="51" t="n">
        <v>1000</v>
      </c>
      <c r="U1621" s="56" t="n">
        <f aca="false">I1621*O1621</f>
        <v>68.426028</v>
      </c>
      <c r="V1621" s="56" t="n">
        <f aca="false">J1621*O1621</f>
        <v>205.286928</v>
      </c>
      <c r="W1621" s="56" t="n">
        <f aca="false">((I1621+J1621)/2)*O1621</f>
        <v>136.856478</v>
      </c>
      <c r="X1621" s="56" t="n">
        <f aca="false">H1621*O1621</f>
        <v>132.66</v>
      </c>
    </row>
    <row r="1622" customFormat="false" ht="22.35" hidden="false" customHeight="false" outlineLevel="0" collapsed="false">
      <c r="A1622" s="79" t="s">
        <v>2065</v>
      </c>
      <c r="B1622" s="7" t="s">
        <v>2385</v>
      </c>
      <c r="C1622" s="7" t="s">
        <v>2386</v>
      </c>
      <c r="D1622" s="7" t="s">
        <v>2101</v>
      </c>
      <c r="E1622" s="57" t="s">
        <v>2102</v>
      </c>
      <c r="F1622" s="7" t="s">
        <v>2097</v>
      </c>
      <c r="G1622" s="7" t="s">
        <v>2097</v>
      </c>
      <c r="H1622" s="9" t="n">
        <v>174</v>
      </c>
      <c r="I1622" s="9" t="n">
        <v>187.31</v>
      </c>
      <c r="J1622" s="9" t="n">
        <v>561.93</v>
      </c>
      <c r="K1622" s="52" t="n">
        <v>750</v>
      </c>
      <c r="L1622" s="58" t="n">
        <v>46.7</v>
      </c>
      <c r="M1622" s="59" t="n">
        <v>62.5</v>
      </c>
      <c r="N1622" s="9" t="n">
        <v>8.021924</v>
      </c>
      <c r="O1622" s="8" t="n">
        <v>28.719</v>
      </c>
      <c r="P1622" s="9" t="n">
        <v>-387.93</v>
      </c>
      <c r="Q1622" s="7" t="s">
        <v>2103</v>
      </c>
      <c r="R1622" s="7" t="s">
        <v>2099</v>
      </c>
      <c r="S1622" s="58" t="n">
        <v>0.5</v>
      </c>
      <c r="T1622" s="9" t="n">
        <v>375</v>
      </c>
      <c r="U1622" s="56" t="n">
        <f aca="false">I1622*O1622</f>
        <v>5379.35589</v>
      </c>
      <c r="V1622" s="56" t="n">
        <f aca="false">J1622*O1622</f>
        <v>16138.06767</v>
      </c>
      <c r="W1622" s="56" t="n">
        <f aca="false">((I1622+J1622)/2)*O1622</f>
        <v>10758.71178</v>
      </c>
      <c r="X1622" s="56" t="n">
        <f aca="false">H1622*O1622</f>
        <v>4997.106</v>
      </c>
    </row>
    <row r="1623" customFormat="false" ht="22.35" hidden="false" customHeight="false" outlineLevel="0" collapsed="false">
      <c r="A1623" s="79" t="s">
        <v>2065</v>
      </c>
      <c r="B1623" s="49" t="s">
        <v>2389</v>
      </c>
      <c r="C1623" s="49" t="s">
        <v>2390</v>
      </c>
      <c r="D1623" s="49" t="s">
        <v>2101</v>
      </c>
      <c r="E1623" s="57" t="s">
        <v>2102</v>
      </c>
      <c r="F1623" s="49" t="s">
        <v>2097</v>
      </c>
      <c r="G1623" s="49" t="s">
        <v>2097</v>
      </c>
      <c r="H1623" s="51" t="n">
        <v>171</v>
      </c>
      <c r="I1623" s="51" t="n">
        <v>291.15</v>
      </c>
      <c r="J1623" s="51" t="n">
        <v>873.45</v>
      </c>
      <c r="K1623" s="52" t="n">
        <v>1260</v>
      </c>
      <c r="L1623" s="53" t="n">
        <v>48.5</v>
      </c>
      <c r="M1623" s="54" t="n">
        <v>50</v>
      </c>
      <c r="N1623" s="51" t="n">
        <v>12.006126</v>
      </c>
      <c r="O1623" s="55" t="n">
        <v>2.5625</v>
      </c>
      <c r="P1623" s="51" t="n">
        <v>-702.45</v>
      </c>
      <c r="Q1623" s="49" t="s">
        <v>2103</v>
      </c>
      <c r="R1623" s="49" t="s">
        <v>2099</v>
      </c>
      <c r="S1623" s="53" t="n">
        <v>0.5</v>
      </c>
      <c r="T1623" s="51" t="n">
        <v>420</v>
      </c>
      <c r="U1623" s="56" t="n">
        <f aca="false">I1623*O1623</f>
        <v>746.071875</v>
      </c>
      <c r="V1623" s="56" t="n">
        <f aca="false">J1623*O1623</f>
        <v>2238.215625</v>
      </c>
      <c r="W1623" s="56" t="n">
        <f aca="false">((I1623+J1623)/2)*O1623</f>
        <v>1492.14375</v>
      </c>
      <c r="X1623" s="56" t="n">
        <f aca="false">H1623*O1623</f>
        <v>438.1875</v>
      </c>
    </row>
    <row r="1624" customFormat="false" ht="22.35" hidden="false" customHeight="false" outlineLevel="0" collapsed="false">
      <c r="A1624" s="79" t="s">
        <v>2065</v>
      </c>
      <c r="B1624" s="7" t="s">
        <v>2394</v>
      </c>
      <c r="C1624" s="7" t="s">
        <v>2395</v>
      </c>
      <c r="D1624" s="7" t="s">
        <v>2095</v>
      </c>
      <c r="E1624" s="61" t="s">
        <v>2113</v>
      </c>
      <c r="F1624" s="7" t="s">
        <v>2097</v>
      </c>
      <c r="G1624" s="7" t="s">
        <v>2097</v>
      </c>
      <c r="H1624" s="9" t="n">
        <v>652</v>
      </c>
      <c r="I1624" s="9" t="n">
        <v>669.26</v>
      </c>
      <c r="J1624" s="9" t="n">
        <v>1338.52</v>
      </c>
      <c r="K1624" s="52" t="n">
        <v>5280</v>
      </c>
      <c r="L1624" s="58" t="n">
        <v>29.4</v>
      </c>
      <c r="M1624" s="59" t="n">
        <v>75</v>
      </c>
      <c r="N1624" s="9" t="n">
        <v>22.764017</v>
      </c>
      <c r="O1624" s="8" t="n">
        <v>1.878</v>
      </c>
      <c r="P1624" s="9" t="n">
        <v>-686.52</v>
      </c>
      <c r="Q1624" s="7" t="s">
        <v>2103</v>
      </c>
      <c r="R1624" s="7" t="s">
        <v>2099</v>
      </c>
      <c r="S1624" s="58" t="n">
        <v>1</v>
      </c>
      <c r="T1624" s="9" t="n">
        <v>5280</v>
      </c>
      <c r="U1624" s="56" t="n">
        <f aca="false">I1624*O1624</f>
        <v>1256.87028</v>
      </c>
      <c r="V1624" s="56" t="n">
        <f aca="false">J1624*O1624</f>
        <v>2513.74056</v>
      </c>
      <c r="W1624" s="56" t="n">
        <f aca="false">((I1624+J1624)/2)*O1624</f>
        <v>1885.30542</v>
      </c>
      <c r="X1624" s="56" t="n">
        <f aca="false">H1624*O1624</f>
        <v>1224.456</v>
      </c>
    </row>
    <row r="1625" customFormat="false" ht="22.35" hidden="false" customHeight="false" outlineLevel="0" collapsed="false">
      <c r="A1625" s="79" t="s">
        <v>2065</v>
      </c>
      <c r="B1625" s="4" t="s">
        <v>4161</v>
      </c>
      <c r="C1625" s="4" t="s">
        <v>1765</v>
      </c>
      <c r="D1625" s="4" t="s">
        <v>2101</v>
      </c>
      <c r="E1625" s="70" t="s">
        <v>2193</v>
      </c>
      <c r="F1625" s="4" t="s">
        <v>2097</v>
      </c>
      <c r="G1625" s="71" t="s">
        <v>2194</v>
      </c>
      <c r="H1625" s="6" t="n">
        <v>150</v>
      </c>
      <c r="I1625" s="6" t="n">
        <v>0</v>
      </c>
      <c r="J1625" s="6" t="n">
        <v>0</v>
      </c>
      <c r="K1625" s="52" t="n">
        <v>0</v>
      </c>
      <c r="L1625" s="72" t="n">
        <v>33.8</v>
      </c>
      <c r="M1625" s="73" t="n">
        <v>80</v>
      </c>
      <c r="N1625" s="6" t="n">
        <v>1.366046</v>
      </c>
      <c r="O1625" s="5" t="n">
        <v>6.75</v>
      </c>
      <c r="P1625" s="6" t="n">
        <v>150</v>
      </c>
      <c r="Q1625" s="4" t="s">
        <v>2098</v>
      </c>
      <c r="R1625" s="4" t="s">
        <v>2195</v>
      </c>
      <c r="S1625" s="72" t="n">
        <v>0</v>
      </c>
      <c r="T1625" s="6" t="n">
        <v>434</v>
      </c>
      <c r="U1625" s="56" t="n">
        <f aca="false">I1625*O1625</f>
        <v>0</v>
      </c>
      <c r="V1625" s="56" t="n">
        <f aca="false">J1625*O1625</f>
        <v>0</v>
      </c>
      <c r="W1625" s="56" t="n">
        <f aca="false">((I1625+J1625)/2)*O1625</f>
        <v>0</v>
      </c>
      <c r="X1625" s="56" t="n">
        <f aca="false">H1625*O1625</f>
        <v>1012.5</v>
      </c>
    </row>
    <row r="1626" customFormat="false" ht="15" hidden="false" customHeight="false" outlineLevel="0" collapsed="false">
      <c r="A1626" s="79" t="s">
        <v>2065</v>
      </c>
      <c r="B1626" s="7" t="s">
        <v>2396</v>
      </c>
      <c r="C1626" s="7" t="s">
        <v>2395</v>
      </c>
      <c r="D1626" s="7" t="s">
        <v>2101</v>
      </c>
      <c r="E1626" s="50" t="s">
        <v>2096</v>
      </c>
      <c r="F1626" s="7" t="s">
        <v>2097</v>
      </c>
      <c r="G1626" s="7" t="s">
        <v>2097</v>
      </c>
      <c r="H1626" s="9" t="n">
        <v>150</v>
      </c>
      <c r="I1626" s="9" t="n">
        <v>22.9</v>
      </c>
      <c r="J1626" s="9" t="n">
        <v>68.7</v>
      </c>
      <c r="K1626" s="52" t="n">
        <v>500</v>
      </c>
      <c r="L1626" s="58" t="n">
        <v>38.3</v>
      </c>
      <c r="M1626" s="59" t="n">
        <v>86.7</v>
      </c>
      <c r="N1626" s="9" t="n">
        <v>1.195836</v>
      </c>
      <c r="O1626" s="8" t="n">
        <v>2.697</v>
      </c>
      <c r="P1626" s="9" t="n">
        <v>81.3</v>
      </c>
      <c r="Q1626" s="7" t="s">
        <v>2098</v>
      </c>
      <c r="R1626" s="7" t="s">
        <v>2099</v>
      </c>
      <c r="S1626" s="58" t="n">
        <v>0.5</v>
      </c>
      <c r="T1626" s="9" t="n">
        <v>500</v>
      </c>
      <c r="U1626" s="56" t="n">
        <f aca="false">I1626*O1626</f>
        <v>61.7613</v>
      </c>
      <c r="V1626" s="56" t="n">
        <f aca="false">J1626*O1626</f>
        <v>185.2839</v>
      </c>
      <c r="W1626" s="56" t="n">
        <f aca="false">((I1626+J1626)/2)*O1626</f>
        <v>123.5226</v>
      </c>
      <c r="X1626" s="56" t="n">
        <f aca="false">H1626*O1626</f>
        <v>404.55</v>
      </c>
    </row>
    <row r="1627" customFormat="false" ht="15" hidden="false" customHeight="false" outlineLevel="0" collapsed="false">
      <c r="A1627" s="79" t="s">
        <v>2065</v>
      </c>
      <c r="B1627" s="49" t="s">
        <v>4162</v>
      </c>
      <c r="C1627" s="49" t="s">
        <v>4163</v>
      </c>
      <c r="D1627" s="49" t="s">
        <v>2101</v>
      </c>
      <c r="E1627" s="50" t="s">
        <v>2096</v>
      </c>
      <c r="F1627" s="49" t="s">
        <v>2097</v>
      </c>
      <c r="G1627" s="49" t="s">
        <v>2097</v>
      </c>
      <c r="H1627" s="51" t="n">
        <v>150</v>
      </c>
      <c r="I1627" s="51" t="n">
        <v>42.06</v>
      </c>
      <c r="J1627" s="51" t="n">
        <v>126.19</v>
      </c>
      <c r="K1627" s="52" t="n">
        <v>462</v>
      </c>
      <c r="L1627" s="53" t="n">
        <v>28</v>
      </c>
      <c r="M1627" s="54" t="n">
        <v>57.1</v>
      </c>
      <c r="N1627" s="51" t="n">
        <v>3.004633</v>
      </c>
      <c r="O1627" s="55" t="n">
        <v>2.49</v>
      </c>
      <c r="P1627" s="51" t="n">
        <v>23.81</v>
      </c>
      <c r="Q1627" s="49" t="s">
        <v>2098</v>
      </c>
      <c r="R1627" s="49" t="s">
        <v>2099</v>
      </c>
      <c r="S1627" s="53" t="n">
        <v>0.5</v>
      </c>
      <c r="T1627" s="51" t="n">
        <v>462</v>
      </c>
      <c r="U1627" s="56" t="n">
        <f aca="false">I1627*O1627</f>
        <v>104.7294</v>
      </c>
      <c r="V1627" s="56" t="n">
        <f aca="false">J1627*O1627</f>
        <v>314.2131</v>
      </c>
      <c r="W1627" s="56" t="n">
        <f aca="false">((I1627+J1627)/2)*O1627</f>
        <v>209.47125</v>
      </c>
      <c r="X1627" s="56" t="n">
        <f aca="false">H1627*O1627</f>
        <v>373.5</v>
      </c>
    </row>
    <row r="1628" customFormat="false" ht="15" hidden="false" customHeight="false" outlineLevel="0" collapsed="false">
      <c r="A1628" s="79" t="s">
        <v>2065</v>
      </c>
      <c r="B1628" s="7" t="s">
        <v>4164</v>
      </c>
      <c r="C1628" s="7" t="s">
        <v>1765</v>
      </c>
      <c r="D1628" s="7" t="s">
        <v>2101</v>
      </c>
      <c r="E1628" s="50" t="s">
        <v>2096</v>
      </c>
      <c r="F1628" s="7" t="s">
        <v>2097</v>
      </c>
      <c r="G1628" s="7" t="s">
        <v>2097</v>
      </c>
      <c r="H1628" s="9" t="n">
        <v>150</v>
      </c>
      <c r="I1628" s="9" t="n">
        <v>24.28</v>
      </c>
      <c r="J1628" s="9" t="n">
        <v>72.84</v>
      </c>
      <c r="K1628" s="52" t="n">
        <v>333.75</v>
      </c>
      <c r="L1628" s="58" t="n">
        <v>21.8</v>
      </c>
      <c r="M1628" s="59" t="n">
        <v>61.5</v>
      </c>
      <c r="N1628" s="9" t="n">
        <v>2.227311</v>
      </c>
      <c r="O1628" s="8" t="n">
        <v>2.09</v>
      </c>
      <c r="P1628" s="9" t="n">
        <v>77.16</v>
      </c>
      <c r="Q1628" s="7" t="s">
        <v>2098</v>
      </c>
      <c r="R1628" s="7" t="s">
        <v>2099</v>
      </c>
      <c r="S1628" s="58" t="n">
        <v>0.5</v>
      </c>
      <c r="T1628" s="9" t="n">
        <v>333.75</v>
      </c>
      <c r="U1628" s="56" t="n">
        <f aca="false">I1628*O1628</f>
        <v>50.7452</v>
      </c>
      <c r="V1628" s="56" t="n">
        <f aca="false">J1628*O1628</f>
        <v>152.2356</v>
      </c>
      <c r="W1628" s="56" t="n">
        <f aca="false">((I1628+J1628)/2)*O1628</f>
        <v>101.4904</v>
      </c>
      <c r="X1628" s="56" t="n">
        <f aca="false">H1628*O1628</f>
        <v>313.5</v>
      </c>
    </row>
    <row r="1629" customFormat="false" ht="15" hidden="false" customHeight="false" outlineLevel="0" collapsed="false">
      <c r="A1629" s="79" t="s">
        <v>2065</v>
      </c>
      <c r="B1629" s="49" t="s">
        <v>4165</v>
      </c>
      <c r="C1629" s="49" t="s">
        <v>4166</v>
      </c>
      <c r="D1629" s="49" t="s">
        <v>2101</v>
      </c>
      <c r="E1629" s="50" t="s">
        <v>2096</v>
      </c>
      <c r="F1629" s="49" t="s">
        <v>2097</v>
      </c>
      <c r="G1629" s="49" t="s">
        <v>2097</v>
      </c>
      <c r="H1629" s="51" t="n">
        <v>150</v>
      </c>
      <c r="I1629" s="51" t="n">
        <v>0.02</v>
      </c>
      <c r="J1629" s="51" t="n">
        <v>0.06</v>
      </c>
      <c r="K1629" s="52" t="n">
        <v>45</v>
      </c>
      <c r="L1629" s="53" t="n">
        <v>63</v>
      </c>
      <c r="M1629" s="54" t="n">
        <v>50</v>
      </c>
      <c r="N1629" s="51" t="n">
        <v>0.000685</v>
      </c>
      <c r="O1629" s="55" t="n">
        <v>22.57</v>
      </c>
      <c r="P1629" s="51" t="n">
        <v>149.94</v>
      </c>
      <c r="Q1629" s="49" t="s">
        <v>2098</v>
      </c>
      <c r="R1629" s="49" t="s">
        <v>2099</v>
      </c>
      <c r="S1629" s="53" t="n">
        <v>0.5</v>
      </c>
      <c r="T1629" s="51" t="n">
        <v>45</v>
      </c>
      <c r="U1629" s="56" t="n">
        <f aca="false">I1629*O1629</f>
        <v>0.4514</v>
      </c>
      <c r="V1629" s="56" t="n">
        <f aca="false">J1629*O1629</f>
        <v>1.3542</v>
      </c>
      <c r="W1629" s="56" t="n">
        <f aca="false">((I1629+J1629)/2)*O1629</f>
        <v>0.9028</v>
      </c>
      <c r="X1629" s="56" t="n">
        <f aca="false">H1629*O1629</f>
        <v>3385.5</v>
      </c>
    </row>
    <row r="1630" customFormat="false" ht="15" hidden="false" customHeight="false" outlineLevel="0" collapsed="false">
      <c r="A1630" s="79" t="s">
        <v>2065</v>
      </c>
      <c r="B1630" s="7" t="s">
        <v>4167</v>
      </c>
      <c r="C1630" s="7" t="s">
        <v>4168</v>
      </c>
      <c r="D1630" s="7" t="s">
        <v>2101</v>
      </c>
      <c r="E1630" s="50" t="s">
        <v>2096</v>
      </c>
      <c r="F1630" s="7" t="s">
        <v>2097</v>
      </c>
      <c r="G1630" s="7" t="s">
        <v>2097</v>
      </c>
      <c r="H1630" s="9" t="n">
        <v>150</v>
      </c>
      <c r="I1630" s="9" t="n">
        <v>12.62</v>
      </c>
      <c r="J1630" s="9" t="n">
        <v>37.86</v>
      </c>
      <c r="K1630" s="52" t="n">
        <v>69.99</v>
      </c>
      <c r="L1630" s="58" t="n">
        <v>51.3</v>
      </c>
      <c r="M1630" s="59" t="n">
        <v>33.3</v>
      </c>
      <c r="N1630" s="9" t="n">
        <v>0.492062</v>
      </c>
      <c r="O1630" s="8" t="n">
        <v>2.84</v>
      </c>
      <c r="P1630" s="9" t="n">
        <v>112.14</v>
      </c>
      <c r="Q1630" s="7" t="s">
        <v>2098</v>
      </c>
      <c r="R1630" s="7" t="s">
        <v>2099</v>
      </c>
      <c r="S1630" s="58" t="n">
        <v>0.5</v>
      </c>
      <c r="T1630" s="9" t="n">
        <v>69.99</v>
      </c>
      <c r="U1630" s="56" t="n">
        <f aca="false">I1630*O1630</f>
        <v>35.8408</v>
      </c>
      <c r="V1630" s="56" t="n">
        <f aca="false">J1630*O1630</f>
        <v>107.5224</v>
      </c>
      <c r="W1630" s="56" t="n">
        <f aca="false">((I1630+J1630)/2)*O1630</f>
        <v>71.6816</v>
      </c>
      <c r="X1630" s="56" t="n">
        <f aca="false">H1630*O1630</f>
        <v>426</v>
      </c>
    </row>
    <row r="1631" customFormat="false" ht="15" hidden="false" customHeight="false" outlineLevel="0" collapsed="false">
      <c r="A1631" s="79" t="s">
        <v>2065</v>
      </c>
      <c r="B1631" s="49" t="s">
        <v>4169</v>
      </c>
      <c r="C1631" s="49" t="s">
        <v>4170</v>
      </c>
      <c r="D1631" s="49" t="s">
        <v>2101</v>
      </c>
      <c r="E1631" s="50" t="s">
        <v>2096</v>
      </c>
      <c r="F1631" s="49" t="s">
        <v>2097</v>
      </c>
      <c r="G1631" s="49" t="s">
        <v>2097</v>
      </c>
      <c r="H1631" s="51" t="n">
        <v>150</v>
      </c>
      <c r="I1631" s="51" t="n">
        <v>11.9</v>
      </c>
      <c r="J1631" s="51" t="n">
        <v>35.69</v>
      </c>
      <c r="K1631" s="52" t="n">
        <v>45</v>
      </c>
      <c r="L1631" s="53" t="n">
        <v>41.8</v>
      </c>
      <c r="M1631" s="54" t="n">
        <v>60</v>
      </c>
      <c r="N1631" s="51" t="n">
        <v>0.569247</v>
      </c>
      <c r="O1631" s="55" t="n">
        <v>3.88</v>
      </c>
      <c r="P1631" s="51" t="n">
        <v>114.31</v>
      </c>
      <c r="Q1631" s="49" t="s">
        <v>2098</v>
      </c>
      <c r="R1631" s="49" t="s">
        <v>2099</v>
      </c>
      <c r="S1631" s="53" t="n">
        <v>0.5</v>
      </c>
      <c r="T1631" s="51" t="n">
        <v>45</v>
      </c>
      <c r="U1631" s="56" t="n">
        <f aca="false">I1631*O1631</f>
        <v>46.172</v>
      </c>
      <c r="V1631" s="56" t="n">
        <f aca="false">J1631*O1631</f>
        <v>138.4772</v>
      </c>
      <c r="W1631" s="56" t="n">
        <f aca="false">((I1631+J1631)/2)*O1631</f>
        <v>92.3246</v>
      </c>
      <c r="X1631" s="56" t="n">
        <f aca="false">H1631*O1631</f>
        <v>582</v>
      </c>
    </row>
    <row r="1632" customFormat="false" ht="22.35" hidden="false" customHeight="false" outlineLevel="0" collapsed="false">
      <c r="A1632" s="79" t="s">
        <v>2065</v>
      </c>
      <c r="B1632" s="7" t="s">
        <v>4171</v>
      </c>
      <c r="C1632" s="7" t="s">
        <v>4172</v>
      </c>
      <c r="D1632" s="7" t="s">
        <v>2101</v>
      </c>
      <c r="E1632" s="57" t="s">
        <v>2102</v>
      </c>
      <c r="F1632" s="7" t="s">
        <v>2097</v>
      </c>
      <c r="G1632" s="7" t="s">
        <v>2097</v>
      </c>
      <c r="H1632" s="9" t="n">
        <v>409</v>
      </c>
      <c r="I1632" s="9" t="n">
        <v>477.86</v>
      </c>
      <c r="J1632" s="9" t="n">
        <v>1433.59</v>
      </c>
      <c r="K1632" s="52" t="n">
        <v>1440</v>
      </c>
      <c r="L1632" s="58" t="n">
        <v>76.2</v>
      </c>
      <c r="M1632" s="59" t="n">
        <v>72.7</v>
      </c>
      <c r="N1632" s="9" t="n">
        <v>12.542359</v>
      </c>
      <c r="O1632" s="8" t="n">
        <v>3.36</v>
      </c>
      <c r="P1632" s="9" t="n">
        <v>-1024.59</v>
      </c>
      <c r="Q1632" s="7" t="s">
        <v>2103</v>
      </c>
      <c r="R1632" s="7" t="s">
        <v>2099</v>
      </c>
      <c r="S1632" s="58" t="n">
        <v>0.5</v>
      </c>
      <c r="T1632" s="9" t="n">
        <v>45</v>
      </c>
      <c r="U1632" s="56" t="n">
        <f aca="false">I1632*O1632</f>
        <v>1605.6096</v>
      </c>
      <c r="V1632" s="56" t="n">
        <f aca="false">J1632*O1632</f>
        <v>4816.8624</v>
      </c>
      <c r="W1632" s="56" t="n">
        <f aca="false">((I1632+J1632)/2)*O1632</f>
        <v>3211.236</v>
      </c>
      <c r="X1632" s="56" t="n">
        <f aca="false">H1632*O1632</f>
        <v>1374.24</v>
      </c>
    </row>
    <row r="1633" customFormat="false" ht="15" hidden="false" customHeight="false" outlineLevel="0" collapsed="false">
      <c r="A1633" s="79" t="s">
        <v>2065</v>
      </c>
      <c r="B1633" s="49" t="s">
        <v>2400</v>
      </c>
      <c r="C1633" s="49" t="s">
        <v>2401</v>
      </c>
      <c r="D1633" s="49" t="s">
        <v>2101</v>
      </c>
      <c r="E1633" s="50" t="s">
        <v>2096</v>
      </c>
      <c r="F1633" s="49" t="s">
        <v>2097</v>
      </c>
      <c r="G1633" s="49" t="s">
        <v>2097</v>
      </c>
      <c r="H1633" s="51" t="n">
        <v>150</v>
      </c>
      <c r="I1633" s="51" t="n">
        <v>1.02</v>
      </c>
      <c r="J1633" s="51" t="n">
        <v>3.05</v>
      </c>
      <c r="K1633" s="52" t="n">
        <v>40</v>
      </c>
      <c r="L1633" s="53" t="n">
        <v>72.9</v>
      </c>
      <c r="M1633" s="54" t="n">
        <v>18.8</v>
      </c>
      <c r="N1633" s="51" t="n">
        <v>0.027897</v>
      </c>
      <c r="O1633" s="55" t="n">
        <v>19.08</v>
      </c>
      <c r="P1633" s="51" t="n">
        <v>146.95</v>
      </c>
      <c r="Q1633" s="49" t="s">
        <v>2098</v>
      </c>
      <c r="R1633" s="49" t="s">
        <v>2099</v>
      </c>
      <c r="S1633" s="53" t="n">
        <v>0.5</v>
      </c>
      <c r="T1633" s="51" t="n">
        <v>40</v>
      </c>
      <c r="U1633" s="56" t="n">
        <f aca="false">I1633*O1633</f>
        <v>19.4616</v>
      </c>
      <c r="V1633" s="56" t="n">
        <f aca="false">J1633*O1633</f>
        <v>58.194</v>
      </c>
      <c r="W1633" s="56" t="n">
        <f aca="false">((I1633+J1633)/2)*O1633</f>
        <v>38.8278</v>
      </c>
      <c r="X1633" s="56" t="n">
        <f aca="false">H1633*O1633</f>
        <v>2862</v>
      </c>
    </row>
    <row r="1634" customFormat="false" ht="15" hidden="false" customHeight="false" outlineLevel="0" collapsed="false">
      <c r="A1634" s="79" t="s">
        <v>2065</v>
      </c>
      <c r="B1634" s="7" t="s">
        <v>2402</v>
      </c>
      <c r="C1634" s="7" t="s">
        <v>2403</v>
      </c>
      <c r="D1634" s="7" t="s">
        <v>2101</v>
      </c>
      <c r="E1634" s="50" t="s">
        <v>2096</v>
      </c>
      <c r="F1634" s="7" t="s">
        <v>2097</v>
      </c>
      <c r="G1634" s="7" t="s">
        <v>2097</v>
      </c>
      <c r="H1634" s="9" t="n">
        <v>150</v>
      </c>
      <c r="I1634" s="9" t="n">
        <v>0.27</v>
      </c>
      <c r="J1634" s="9" t="n">
        <v>0.8</v>
      </c>
      <c r="K1634" s="52" t="n">
        <v>40</v>
      </c>
      <c r="L1634" s="58" t="n">
        <v>78.2</v>
      </c>
      <c r="M1634" s="59" t="n">
        <v>33.3</v>
      </c>
      <c r="N1634" s="9" t="n">
        <v>0.006781</v>
      </c>
      <c r="O1634" s="8" t="n">
        <v>23.285</v>
      </c>
      <c r="P1634" s="9" t="n">
        <v>149.2</v>
      </c>
      <c r="Q1634" s="7" t="s">
        <v>2098</v>
      </c>
      <c r="R1634" s="7" t="s">
        <v>2099</v>
      </c>
      <c r="S1634" s="58" t="n">
        <v>0.5</v>
      </c>
      <c r="T1634" s="9" t="n">
        <v>40</v>
      </c>
      <c r="U1634" s="56" t="n">
        <f aca="false">I1634*O1634</f>
        <v>6.28695</v>
      </c>
      <c r="V1634" s="56" t="n">
        <f aca="false">J1634*O1634</f>
        <v>18.628</v>
      </c>
      <c r="W1634" s="56" t="n">
        <f aca="false">((I1634+J1634)/2)*O1634</f>
        <v>12.457475</v>
      </c>
      <c r="X1634" s="56" t="n">
        <f aca="false">H1634*O1634</f>
        <v>3492.75</v>
      </c>
    </row>
    <row r="1635" customFormat="false" ht="15" hidden="false" customHeight="false" outlineLevel="0" collapsed="false">
      <c r="A1635" s="79" t="s">
        <v>2065</v>
      </c>
      <c r="B1635" s="49" t="s">
        <v>2404</v>
      </c>
      <c r="C1635" s="49" t="s">
        <v>2405</v>
      </c>
      <c r="D1635" s="49" t="s">
        <v>2101</v>
      </c>
      <c r="E1635" s="50" t="s">
        <v>2096</v>
      </c>
      <c r="F1635" s="49" t="s">
        <v>2097</v>
      </c>
      <c r="G1635" s="49" t="s">
        <v>2097</v>
      </c>
      <c r="H1635" s="51" t="n">
        <v>150</v>
      </c>
      <c r="I1635" s="51" t="n">
        <v>2.09</v>
      </c>
      <c r="J1635" s="51" t="n">
        <v>6.28</v>
      </c>
      <c r="K1635" s="52" t="n">
        <v>50</v>
      </c>
      <c r="L1635" s="53" t="n">
        <v>82.1</v>
      </c>
      <c r="M1635" s="54" t="n">
        <v>25</v>
      </c>
      <c r="N1635" s="51" t="n">
        <v>0.051</v>
      </c>
      <c r="O1635" s="55" t="n">
        <v>15.91</v>
      </c>
      <c r="P1635" s="51" t="n">
        <v>143.72</v>
      </c>
      <c r="Q1635" s="49" t="s">
        <v>2098</v>
      </c>
      <c r="R1635" s="49" t="s">
        <v>2099</v>
      </c>
      <c r="S1635" s="53" t="n">
        <v>0.5</v>
      </c>
      <c r="T1635" s="51" t="n">
        <v>50</v>
      </c>
      <c r="U1635" s="56" t="n">
        <f aca="false">I1635*O1635</f>
        <v>33.2519</v>
      </c>
      <c r="V1635" s="56" t="n">
        <f aca="false">J1635*O1635</f>
        <v>99.9148</v>
      </c>
      <c r="W1635" s="56" t="n">
        <f aca="false">((I1635+J1635)/2)*O1635</f>
        <v>66.58335</v>
      </c>
      <c r="X1635" s="56" t="n">
        <f aca="false">H1635*O1635</f>
        <v>2386.5</v>
      </c>
    </row>
    <row r="1636" customFormat="false" ht="15" hidden="false" customHeight="false" outlineLevel="0" collapsed="false">
      <c r="A1636" s="79" t="s">
        <v>2065</v>
      </c>
      <c r="B1636" s="7" t="s">
        <v>4173</v>
      </c>
      <c r="C1636" s="7" t="s">
        <v>4174</v>
      </c>
      <c r="D1636" s="7" t="s">
        <v>2101</v>
      </c>
      <c r="E1636" s="50" t="s">
        <v>2096</v>
      </c>
      <c r="F1636" s="7" t="s">
        <v>2097</v>
      </c>
      <c r="G1636" s="7" t="s">
        <v>2097</v>
      </c>
      <c r="H1636" s="9" t="n">
        <v>150</v>
      </c>
      <c r="I1636" s="9" t="n">
        <v>0.73</v>
      </c>
      <c r="J1636" s="9" t="n">
        <v>2.2</v>
      </c>
      <c r="K1636" s="52" t="n">
        <v>45</v>
      </c>
      <c r="L1636" s="58" t="n">
        <v>67</v>
      </c>
      <c r="M1636" s="59" t="n">
        <v>50</v>
      </c>
      <c r="N1636" s="9" t="n">
        <v>0.021918</v>
      </c>
      <c r="O1636" s="8" t="n">
        <v>21.56</v>
      </c>
      <c r="P1636" s="9" t="n">
        <v>147.8</v>
      </c>
      <c r="Q1636" s="7" t="s">
        <v>2098</v>
      </c>
      <c r="R1636" s="7" t="s">
        <v>2099</v>
      </c>
      <c r="S1636" s="58" t="n">
        <v>0.5</v>
      </c>
      <c r="T1636" s="9" t="n">
        <v>45</v>
      </c>
      <c r="U1636" s="56" t="n">
        <f aca="false">I1636*O1636</f>
        <v>15.7388</v>
      </c>
      <c r="V1636" s="56" t="n">
        <f aca="false">J1636*O1636</f>
        <v>47.432</v>
      </c>
      <c r="W1636" s="56" t="n">
        <f aca="false">((I1636+J1636)/2)*O1636</f>
        <v>31.5854</v>
      </c>
      <c r="X1636" s="56" t="n">
        <f aca="false">H1636*O1636</f>
        <v>3234</v>
      </c>
    </row>
    <row r="1637" customFormat="false" ht="15" hidden="false" customHeight="false" outlineLevel="0" collapsed="false">
      <c r="A1637" s="79" t="s">
        <v>2065</v>
      </c>
      <c r="B1637" s="49" t="s">
        <v>2406</v>
      </c>
      <c r="C1637" s="49" t="s">
        <v>2407</v>
      </c>
      <c r="D1637" s="49" t="s">
        <v>2101</v>
      </c>
      <c r="E1637" s="50" t="s">
        <v>2096</v>
      </c>
      <c r="F1637" s="49" t="s">
        <v>2097</v>
      </c>
      <c r="G1637" s="49" t="s">
        <v>2097</v>
      </c>
      <c r="H1637" s="51" t="n">
        <v>150</v>
      </c>
      <c r="I1637" s="51" t="n">
        <v>6.71</v>
      </c>
      <c r="J1637" s="51" t="n">
        <v>20.13</v>
      </c>
      <c r="K1637" s="52" t="n">
        <v>50</v>
      </c>
      <c r="L1637" s="53" t="n">
        <v>36.9</v>
      </c>
      <c r="M1637" s="54" t="n">
        <v>77.8</v>
      </c>
      <c r="N1637" s="51" t="n">
        <v>0.363652</v>
      </c>
      <c r="O1637" s="55" t="n">
        <v>11.398</v>
      </c>
      <c r="P1637" s="51" t="n">
        <v>129.87</v>
      </c>
      <c r="Q1637" s="49" t="s">
        <v>2098</v>
      </c>
      <c r="R1637" s="49" t="s">
        <v>2099</v>
      </c>
      <c r="S1637" s="53" t="n">
        <v>0.5</v>
      </c>
      <c r="T1637" s="51" t="n">
        <v>50</v>
      </c>
      <c r="U1637" s="56" t="n">
        <f aca="false">I1637*O1637</f>
        <v>76.48058</v>
      </c>
      <c r="V1637" s="56" t="n">
        <f aca="false">J1637*O1637</f>
        <v>229.44174</v>
      </c>
      <c r="W1637" s="56" t="n">
        <f aca="false">((I1637+J1637)/2)*O1637</f>
        <v>152.96116</v>
      </c>
      <c r="X1637" s="56" t="n">
        <f aca="false">H1637*O1637</f>
        <v>1709.7</v>
      </c>
    </row>
    <row r="1638" customFormat="false" ht="15" hidden="false" customHeight="false" outlineLevel="0" collapsed="false">
      <c r="A1638" s="79" t="s">
        <v>2065</v>
      </c>
      <c r="B1638" s="7" t="s">
        <v>2408</v>
      </c>
      <c r="C1638" s="7" t="s">
        <v>2409</v>
      </c>
      <c r="D1638" s="7" t="s">
        <v>2101</v>
      </c>
      <c r="E1638" s="50" t="s">
        <v>2096</v>
      </c>
      <c r="F1638" s="7" t="s">
        <v>2097</v>
      </c>
      <c r="G1638" s="7" t="s">
        <v>2097</v>
      </c>
      <c r="H1638" s="9" t="n">
        <v>150</v>
      </c>
      <c r="I1638" s="9" t="n">
        <v>12.91</v>
      </c>
      <c r="J1638" s="9" t="n">
        <v>38.73</v>
      </c>
      <c r="K1638" s="52" t="n">
        <v>50</v>
      </c>
      <c r="L1638" s="58" t="n">
        <v>60.6</v>
      </c>
      <c r="M1638" s="59" t="n">
        <v>35.7</v>
      </c>
      <c r="N1638" s="9" t="n">
        <v>0.426027</v>
      </c>
      <c r="O1638" s="8" t="n">
        <v>15.43</v>
      </c>
      <c r="P1638" s="9" t="n">
        <v>111.27</v>
      </c>
      <c r="Q1638" s="7" t="s">
        <v>2098</v>
      </c>
      <c r="R1638" s="7" t="s">
        <v>2099</v>
      </c>
      <c r="S1638" s="58" t="n">
        <v>0.5</v>
      </c>
      <c r="T1638" s="9" t="n">
        <v>50</v>
      </c>
      <c r="U1638" s="56" t="n">
        <f aca="false">I1638*O1638</f>
        <v>199.2013</v>
      </c>
      <c r="V1638" s="56" t="n">
        <f aca="false">J1638*O1638</f>
        <v>597.6039</v>
      </c>
      <c r="W1638" s="56" t="n">
        <f aca="false">((I1638+J1638)/2)*O1638</f>
        <v>398.4026</v>
      </c>
      <c r="X1638" s="56" t="n">
        <f aca="false">H1638*O1638</f>
        <v>2314.5</v>
      </c>
    </row>
    <row r="1639" customFormat="false" ht="15" hidden="false" customHeight="false" outlineLevel="0" collapsed="false">
      <c r="A1639" s="79" t="s">
        <v>2065</v>
      </c>
      <c r="B1639" s="49" t="s">
        <v>2410</v>
      </c>
      <c r="C1639" s="49" t="s">
        <v>2411</v>
      </c>
      <c r="D1639" s="49" t="s">
        <v>2101</v>
      </c>
      <c r="E1639" s="50" t="s">
        <v>2096</v>
      </c>
      <c r="F1639" s="49" t="s">
        <v>2097</v>
      </c>
      <c r="G1639" s="49" t="s">
        <v>2097</v>
      </c>
      <c r="H1639" s="51" t="n">
        <v>150</v>
      </c>
      <c r="I1639" s="51" t="n">
        <v>7.69</v>
      </c>
      <c r="J1639" s="51" t="n">
        <v>23.06</v>
      </c>
      <c r="K1639" s="52" t="n">
        <v>45</v>
      </c>
      <c r="L1639" s="53" t="n">
        <v>48.4</v>
      </c>
      <c r="M1639" s="54" t="n">
        <v>61.5</v>
      </c>
      <c r="N1639" s="51" t="n">
        <v>0.31766</v>
      </c>
      <c r="O1639" s="55" t="n">
        <v>8.7296</v>
      </c>
      <c r="P1639" s="51" t="n">
        <v>126.94</v>
      </c>
      <c r="Q1639" s="49" t="s">
        <v>2098</v>
      </c>
      <c r="R1639" s="49" t="s">
        <v>2099</v>
      </c>
      <c r="S1639" s="53" t="n">
        <v>0.5</v>
      </c>
      <c r="T1639" s="51" t="n">
        <v>45</v>
      </c>
      <c r="U1639" s="56" t="n">
        <f aca="false">I1639*O1639</f>
        <v>67.130624</v>
      </c>
      <c r="V1639" s="56" t="n">
        <f aca="false">J1639*O1639</f>
        <v>201.304576</v>
      </c>
      <c r="W1639" s="56" t="n">
        <f aca="false">((I1639+J1639)/2)*O1639</f>
        <v>134.2176</v>
      </c>
      <c r="X1639" s="56" t="n">
        <f aca="false">H1639*O1639</f>
        <v>1309.44</v>
      </c>
    </row>
    <row r="1640" customFormat="false" ht="15" hidden="false" customHeight="false" outlineLevel="0" collapsed="false">
      <c r="A1640" s="79" t="s">
        <v>2065</v>
      </c>
      <c r="B1640" s="7" t="s">
        <v>2412</v>
      </c>
      <c r="C1640" s="7" t="s">
        <v>2413</v>
      </c>
      <c r="D1640" s="7" t="s">
        <v>2101</v>
      </c>
      <c r="E1640" s="50" t="s">
        <v>2096</v>
      </c>
      <c r="F1640" s="7" t="s">
        <v>2097</v>
      </c>
      <c r="G1640" s="7" t="s">
        <v>2097</v>
      </c>
      <c r="H1640" s="9" t="n">
        <v>150</v>
      </c>
      <c r="I1640" s="9" t="n">
        <v>3.38</v>
      </c>
      <c r="J1640" s="9" t="n">
        <v>10.13</v>
      </c>
      <c r="K1640" s="52" t="n">
        <v>45</v>
      </c>
      <c r="L1640" s="58" t="n">
        <v>50.3</v>
      </c>
      <c r="M1640" s="59" t="n">
        <v>64.7</v>
      </c>
      <c r="N1640" s="9" t="n">
        <v>0.134263</v>
      </c>
      <c r="O1640" s="8" t="n">
        <v>16.649</v>
      </c>
      <c r="P1640" s="9" t="n">
        <v>139.87</v>
      </c>
      <c r="Q1640" s="7" t="s">
        <v>2098</v>
      </c>
      <c r="R1640" s="7" t="s">
        <v>2099</v>
      </c>
      <c r="S1640" s="58" t="n">
        <v>0.5</v>
      </c>
      <c r="T1640" s="9" t="n">
        <v>45</v>
      </c>
      <c r="U1640" s="56" t="n">
        <f aca="false">I1640*O1640</f>
        <v>56.27362</v>
      </c>
      <c r="V1640" s="56" t="n">
        <f aca="false">J1640*O1640</f>
        <v>168.65437</v>
      </c>
      <c r="W1640" s="56" t="n">
        <f aca="false">((I1640+J1640)/2)*O1640</f>
        <v>112.463995</v>
      </c>
      <c r="X1640" s="56" t="n">
        <f aca="false">H1640*O1640</f>
        <v>2497.35</v>
      </c>
    </row>
    <row r="1641" customFormat="false" ht="22.35" hidden="false" customHeight="false" outlineLevel="0" collapsed="false">
      <c r="A1641" s="79" t="s">
        <v>2065</v>
      </c>
      <c r="B1641" s="49" t="s">
        <v>3827</v>
      </c>
      <c r="C1641" s="49" t="s">
        <v>3828</v>
      </c>
      <c r="D1641" s="49" t="s">
        <v>2095</v>
      </c>
      <c r="E1641" s="61" t="s">
        <v>2113</v>
      </c>
      <c r="F1641" s="49" t="s">
        <v>2097</v>
      </c>
      <c r="G1641" s="49" t="s">
        <v>2097</v>
      </c>
      <c r="H1641" s="51" t="n">
        <v>5804</v>
      </c>
      <c r="I1641" s="51" t="n">
        <v>9441.25</v>
      </c>
      <c r="J1641" s="51" t="n">
        <v>18882.5</v>
      </c>
      <c r="K1641" s="52" t="n">
        <v>31104</v>
      </c>
      <c r="L1641" s="53" t="n">
        <v>132</v>
      </c>
      <c r="M1641" s="54" t="n">
        <v>37.3</v>
      </c>
      <c r="N1641" s="51" t="n">
        <v>71.524658</v>
      </c>
      <c r="O1641" s="55" t="n">
        <v>0.31</v>
      </c>
      <c r="P1641" s="51" t="n">
        <v>-13078.5</v>
      </c>
      <c r="Q1641" s="49" t="s">
        <v>2103</v>
      </c>
      <c r="R1641" s="49" t="s">
        <v>2099</v>
      </c>
      <c r="S1641" s="53" t="n">
        <v>1</v>
      </c>
      <c r="T1641" s="51" t="n">
        <v>31104</v>
      </c>
      <c r="U1641" s="56" t="n">
        <f aca="false">I1641*O1641</f>
        <v>2926.7875</v>
      </c>
      <c r="V1641" s="56" t="n">
        <f aca="false">J1641*O1641</f>
        <v>5853.575</v>
      </c>
      <c r="W1641" s="56" t="n">
        <f aca="false">((I1641+J1641)/2)*O1641</f>
        <v>4390.18125</v>
      </c>
      <c r="X1641" s="56" t="n">
        <f aca="false">H1641*O1641</f>
        <v>1799.24</v>
      </c>
    </row>
    <row r="1642" customFormat="false" ht="15" hidden="false" customHeight="false" outlineLevel="0" collapsed="false">
      <c r="A1642" s="79" t="s">
        <v>2065</v>
      </c>
      <c r="B1642" s="7" t="s">
        <v>3839</v>
      </c>
      <c r="C1642" s="7" t="s">
        <v>3840</v>
      </c>
      <c r="D1642" s="7" t="s">
        <v>2101</v>
      </c>
      <c r="E1642" s="50" t="s">
        <v>2096</v>
      </c>
      <c r="F1642" s="7" t="s">
        <v>2097</v>
      </c>
      <c r="G1642" s="7" t="s">
        <v>2097</v>
      </c>
      <c r="H1642" s="9" t="n">
        <v>286</v>
      </c>
      <c r="I1642" s="9" t="n">
        <v>62.45</v>
      </c>
      <c r="J1642" s="9" t="n">
        <v>187.35</v>
      </c>
      <c r="K1642" s="52" t="n">
        <v>240</v>
      </c>
      <c r="L1642" s="58" t="n">
        <v>29</v>
      </c>
      <c r="M1642" s="59" t="n">
        <v>33.3</v>
      </c>
      <c r="N1642" s="9" t="n">
        <v>4.306849</v>
      </c>
      <c r="O1642" s="8" t="n">
        <v>2.814</v>
      </c>
      <c r="P1642" s="9" t="n">
        <v>98.65</v>
      </c>
      <c r="Q1642" s="7" t="s">
        <v>2098</v>
      </c>
      <c r="R1642" s="7" t="s">
        <v>2099</v>
      </c>
      <c r="S1642" s="58" t="n">
        <v>0.5</v>
      </c>
      <c r="T1642" s="9" t="n">
        <v>240</v>
      </c>
      <c r="U1642" s="56" t="n">
        <f aca="false">I1642*O1642</f>
        <v>175.7343</v>
      </c>
      <c r="V1642" s="56" t="n">
        <f aca="false">J1642*O1642</f>
        <v>527.2029</v>
      </c>
      <c r="W1642" s="56" t="n">
        <f aca="false">((I1642+J1642)/2)*O1642</f>
        <v>351.4686</v>
      </c>
      <c r="X1642" s="56" t="n">
        <f aca="false">H1642*O1642</f>
        <v>804.804</v>
      </c>
    </row>
    <row r="1643" customFormat="false" ht="22.35" hidden="false" customHeight="false" outlineLevel="0" collapsed="false">
      <c r="A1643" s="79" t="s">
        <v>2065</v>
      </c>
      <c r="B1643" s="49" t="s">
        <v>4175</v>
      </c>
      <c r="C1643" s="49" t="s">
        <v>1589</v>
      </c>
      <c r="D1643" s="49" t="s">
        <v>2101</v>
      </c>
      <c r="E1643" s="57" t="s">
        <v>2102</v>
      </c>
      <c r="F1643" s="49" t="s">
        <v>2097</v>
      </c>
      <c r="G1643" s="49" t="s">
        <v>2097</v>
      </c>
      <c r="H1643" s="51" t="n">
        <v>150</v>
      </c>
      <c r="I1643" s="51" t="n">
        <v>101.18</v>
      </c>
      <c r="J1643" s="51" t="n">
        <v>303.54</v>
      </c>
      <c r="K1643" s="52" t="n">
        <v>320</v>
      </c>
      <c r="L1643" s="53" t="n">
        <v>76.4</v>
      </c>
      <c r="M1643" s="54" t="n">
        <v>68.8</v>
      </c>
      <c r="N1643" s="51" t="n">
        <v>2.648659</v>
      </c>
      <c r="O1643" s="55" t="n">
        <v>11.8014</v>
      </c>
      <c r="P1643" s="51" t="n">
        <v>-153.54</v>
      </c>
      <c r="Q1643" s="49" t="s">
        <v>2103</v>
      </c>
      <c r="R1643" s="49" t="s">
        <v>2099</v>
      </c>
      <c r="S1643" s="53" t="n">
        <v>0.5</v>
      </c>
      <c r="T1643" s="51" t="n">
        <v>40</v>
      </c>
      <c r="U1643" s="56" t="n">
        <f aca="false">I1643*O1643</f>
        <v>1194.065652</v>
      </c>
      <c r="V1643" s="56" t="n">
        <f aca="false">J1643*O1643</f>
        <v>3582.196956</v>
      </c>
      <c r="W1643" s="56" t="n">
        <f aca="false">((I1643+J1643)/2)*O1643</f>
        <v>2388.131304</v>
      </c>
      <c r="X1643" s="56" t="n">
        <f aca="false">H1643*O1643</f>
        <v>1770.21</v>
      </c>
    </row>
    <row r="1644" customFormat="false" ht="15" hidden="false" customHeight="false" outlineLevel="0" collapsed="false">
      <c r="A1644" s="79" t="s">
        <v>2065</v>
      </c>
      <c r="B1644" s="7" t="s">
        <v>2414</v>
      </c>
      <c r="C1644" s="7" t="s">
        <v>2415</v>
      </c>
      <c r="D1644" s="7" t="s">
        <v>2101</v>
      </c>
      <c r="E1644" s="50" t="s">
        <v>2096</v>
      </c>
      <c r="F1644" s="7" t="s">
        <v>2097</v>
      </c>
      <c r="G1644" s="7" t="s">
        <v>2097</v>
      </c>
      <c r="H1644" s="9" t="n">
        <v>150</v>
      </c>
      <c r="I1644" s="9" t="n">
        <v>2.32</v>
      </c>
      <c r="J1644" s="9" t="n">
        <v>6.96</v>
      </c>
      <c r="K1644" s="52" t="n">
        <v>45</v>
      </c>
      <c r="L1644" s="58" t="n">
        <v>30.5</v>
      </c>
      <c r="M1644" s="59" t="n">
        <v>80</v>
      </c>
      <c r="N1644" s="9" t="n">
        <v>0.152192</v>
      </c>
      <c r="O1644" s="8" t="n">
        <v>17.67</v>
      </c>
      <c r="P1644" s="9" t="n">
        <v>143.04</v>
      </c>
      <c r="Q1644" s="7" t="s">
        <v>2098</v>
      </c>
      <c r="R1644" s="7" t="s">
        <v>2099</v>
      </c>
      <c r="S1644" s="58" t="n">
        <v>0.5</v>
      </c>
      <c r="T1644" s="9" t="n">
        <v>45</v>
      </c>
      <c r="U1644" s="56" t="n">
        <f aca="false">I1644*O1644</f>
        <v>40.9944</v>
      </c>
      <c r="V1644" s="56" t="n">
        <f aca="false">J1644*O1644</f>
        <v>122.9832</v>
      </c>
      <c r="W1644" s="56" t="n">
        <f aca="false">((I1644+J1644)/2)*O1644</f>
        <v>81.9888</v>
      </c>
      <c r="X1644" s="56" t="n">
        <f aca="false">H1644*O1644</f>
        <v>2650.5</v>
      </c>
    </row>
    <row r="1645" customFormat="false" ht="15" hidden="false" customHeight="false" outlineLevel="0" collapsed="false">
      <c r="A1645" s="79" t="s">
        <v>2065</v>
      </c>
      <c r="B1645" s="49" t="s">
        <v>2416</v>
      </c>
      <c r="C1645" s="49" t="s">
        <v>2417</v>
      </c>
      <c r="D1645" s="49" t="s">
        <v>2101</v>
      </c>
      <c r="E1645" s="50" t="s">
        <v>2096</v>
      </c>
      <c r="F1645" s="49" t="s">
        <v>2097</v>
      </c>
      <c r="G1645" s="49" t="s">
        <v>2097</v>
      </c>
      <c r="H1645" s="51" t="n">
        <v>150</v>
      </c>
      <c r="I1645" s="51" t="n">
        <v>2.93</v>
      </c>
      <c r="J1645" s="51" t="n">
        <v>8.79</v>
      </c>
      <c r="K1645" s="52" t="n">
        <v>40</v>
      </c>
      <c r="L1645" s="53" t="n">
        <v>36.3</v>
      </c>
      <c r="M1645" s="54" t="n">
        <v>70.4</v>
      </c>
      <c r="N1645" s="51" t="n">
        <v>0.161497</v>
      </c>
      <c r="O1645" s="55" t="n">
        <v>11.67</v>
      </c>
      <c r="P1645" s="51" t="n">
        <v>141.21</v>
      </c>
      <c r="Q1645" s="49" t="s">
        <v>2098</v>
      </c>
      <c r="R1645" s="49" t="s">
        <v>2099</v>
      </c>
      <c r="S1645" s="53" t="n">
        <v>0.5</v>
      </c>
      <c r="T1645" s="51" t="n">
        <v>40</v>
      </c>
      <c r="U1645" s="56" t="n">
        <f aca="false">I1645*O1645</f>
        <v>34.1931</v>
      </c>
      <c r="V1645" s="56" t="n">
        <f aca="false">J1645*O1645</f>
        <v>102.5793</v>
      </c>
      <c r="W1645" s="56" t="n">
        <f aca="false">((I1645+J1645)/2)*O1645</f>
        <v>68.3862</v>
      </c>
      <c r="X1645" s="56" t="n">
        <f aca="false">H1645*O1645</f>
        <v>1750.5</v>
      </c>
    </row>
    <row r="1646" customFormat="false" ht="15" hidden="false" customHeight="false" outlineLevel="0" collapsed="false">
      <c r="A1646" s="79" t="s">
        <v>2065</v>
      </c>
      <c r="B1646" s="7" t="s">
        <v>3843</v>
      </c>
      <c r="C1646" s="7" t="s">
        <v>3844</v>
      </c>
      <c r="D1646" s="7" t="s">
        <v>2101</v>
      </c>
      <c r="E1646" s="50" t="s">
        <v>2096</v>
      </c>
      <c r="F1646" s="7" t="s">
        <v>2097</v>
      </c>
      <c r="G1646" s="7" t="s">
        <v>2097</v>
      </c>
      <c r="H1646" s="9" t="n">
        <v>150</v>
      </c>
      <c r="I1646" s="9" t="n">
        <v>1.81</v>
      </c>
      <c r="J1646" s="9" t="n">
        <v>5.42</v>
      </c>
      <c r="K1646" s="52" t="n">
        <v>40</v>
      </c>
      <c r="L1646" s="58" t="n">
        <v>34</v>
      </c>
      <c r="M1646" s="59" t="n">
        <v>80</v>
      </c>
      <c r="N1646" s="9" t="n">
        <v>0.106301</v>
      </c>
      <c r="O1646" s="8" t="n">
        <v>9.26</v>
      </c>
      <c r="P1646" s="9" t="n">
        <v>144.58</v>
      </c>
      <c r="Q1646" s="7" t="s">
        <v>2098</v>
      </c>
      <c r="R1646" s="7" t="s">
        <v>2099</v>
      </c>
      <c r="S1646" s="58" t="n">
        <v>0.5</v>
      </c>
      <c r="T1646" s="9" t="n">
        <v>40</v>
      </c>
      <c r="U1646" s="56" t="n">
        <f aca="false">I1646*O1646</f>
        <v>16.7606</v>
      </c>
      <c r="V1646" s="56" t="n">
        <f aca="false">J1646*O1646</f>
        <v>50.1892</v>
      </c>
      <c r="W1646" s="56" t="n">
        <f aca="false">((I1646+J1646)/2)*O1646</f>
        <v>33.4749</v>
      </c>
      <c r="X1646" s="56" t="n">
        <f aca="false">H1646*O1646</f>
        <v>1389</v>
      </c>
    </row>
    <row r="1647" customFormat="false" ht="15" hidden="false" customHeight="false" outlineLevel="0" collapsed="false">
      <c r="A1647" s="79" t="s">
        <v>2065</v>
      </c>
      <c r="B1647" s="49" t="s">
        <v>2418</v>
      </c>
      <c r="C1647" s="49" t="s">
        <v>2419</v>
      </c>
      <c r="D1647" s="49" t="s">
        <v>2101</v>
      </c>
      <c r="E1647" s="50" t="s">
        <v>2096</v>
      </c>
      <c r="F1647" s="49" t="s">
        <v>2097</v>
      </c>
      <c r="G1647" s="49" t="s">
        <v>2097</v>
      </c>
      <c r="H1647" s="51" t="n">
        <v>150</v>
      </c>
      <c r="I1647" s="51" t="n">
        <v>3.72</v>
      </c>
      <c r="J1647" s="51" t="n">
        <v>11.15</v>
      </c>
      <c r="K1647" s="52" t="n">
        <v>40</v>
      </c>
      <c r="L1647" s="53" t="n">
        <v>42.1</v>
      </c>
      <c r="M1647" s="54" t="n">
        <v>64</v>
      </c>
      <c r="N1647" s="51" t="n">
        <v>0.176546</v>
      </c>
      <c r="O1647" s="55" t="n">
        <v>11.34</v>
      </c>
      <c r="P1647" s="51" t="n">
        <v>138.85</v>
      </c>
      <c r="Q1647" s="49" t="s">
        <v>2098</v>
      </c>
      <c r="R1647" s="49" t="s">
        <v>2099</v>
      </c>
      <c r="S1647" s="53" t="n">
        <v>0.5</v>
      </c>
      <c r="T1647" s="51" t="n">
        <v>40</v>
      </c>
      <c r="U1647" s="56" t="n">
        <f aca="false">I1647*O1647</f>
        <v>42.1848</v>
      </c>
      <c r="V1647" s="56" t="n">
        <f aca="false">J1647*O1647</f>
        <v>126.441</v>
      </c>
      <c r="W1647" s="56" t="n">
        <f aca="false">((I1647+J1647)/2)*O1647</f>
        <v>84.3129</v>
      </c>
      <c r="X1647" s="56" t="n">
        <f aca="false">H1647*O1647</f>
        <v>1701</v>
      </c>
    </row>
    <row r="1648" customFormat="false" ht="15" hidden="false" customHeight="false" outlineLevel="0" collapsed="false">
      <c r="A1648" s="79" t="s">
        <v>2065</v>
      </c>
      <c r="B1648" s="7" t="s">
        <v>3847</v>
      </c>
      <c r="C1648" s="7" t="s">
        <v>3848</v>
      </c>
      <c r="D1648" s="7" t="s">
        <v>2101</v>
      </c>
      <c r="E1648" s="50" t="s">
        <v>2096</v>
      </c>
      <c r="F1648" s="7" t="s">
        <v>2097</v>
      </c>
      <c r="G1648" s="7" t="s">
        <v>2097</v>
      </c>
      <c r="H1648" s="9" t="n">
        <v>150</v>
      </c>
      <c r="I1648" s="9" t="n">
        <v>0.73</v>
      </c>
      <c r="J1648" s="9" t="n">
        <v>2.18</v>
      </c>
      <c r="K1648" s="52" t="n">
        <v>40</v>
      </c>
      <c r="L1648" s="58" t="n">
        <v>66.3</v>
      </c>
      <c r="M1648" s="59" t="n">
        <v>50</v>
      </c>
      <c r="N1648" s="9" t="n">
        <v>0.021918</v>
      </c>
      <c r="O1648" s="8" t="n">
        <v>13.95</v>
      </c>
      <c r="P1648" s="9" t="n">
        <v>147.82</v>
      </c>
      <c r="Q1648" s="7" t="s">
        <v>2098</v>
      </c>
      <c r="R1648" s="7" t="s">
        <v>2099</v>
      </c>
      <c r="S1648" s="58" t="n">
        <v>0.5</v>
      </c>
      <c r="T1648" s="9" t="n">
        <v>40</v>
      </c>
      <c r="U1648" s="56" t="n">
        <f aca="false">I1648*O1648</f>
        <v>10.1835</v>
      </c>
      <c r="V1648" s="56" t="n">
        <f aca="false">J1648*O1648</f>
        <v>30.411</v>
      </c>
      <c r="W1648" s="56" t="n">
        <f aca="false">((I1648+J1648)/2)*O1648</f>
        <v>20.29725</v>
      </c>
      <c r="X1648" s="56" t="n">
        <f aca="false">H1648*O1648</f>
        <v>2092.5</v>
      </c>
    </row>
    <row r="1649" customFormat="false" ht="15" hidden="false" customHeight="false" outlineLevel="0" collapsed="false">
      <c r="A1649" s="79" t="s">
        <v>2065</v>
      </c>
      <c r="B1649" s="49" t="s">
        <v>2422</v>
      </c>
      <c r="C1649" s="49" t="s">
        <v>2423</v>
      </c>
      <c r="D1649" s="49" t="s">
        <v>2101</v>
      </c>
      <c r="E1649" s="50" t="s">
        <v>2096</v>
      </c>
      <c r="F1649" s="49" t="s">
        <v>2097</v>
      </c>
      <c r="G1649" s="49" t="s">
        <v>2097</v>
      </c>
      <c r="H1649" s="51" t="n">
        <v>150</v>
      </c>
      <c r="I1649" s="51" t="n">
        <v>2.07</v>
      </c>
      <c r="J1649" s="51" t="n">
        <v>6.21</v>
      </c>
      <c r="K1649" s="52" t="n">
        <v>35</v>
      </c>
      <c r="L1649" s="53" t="n">
        <v>88.8</v>
      </c>
      <c r="M1649" s="54" t="n">
        <v>42.9</v>
      </c>
      <c r="N1649" s="51" t="n">
        <v>0.046653</v>
      </c>
      <c r="O1649" s="55" t="n">
        <v>4.0163</v>
      </c>
      <c r="P1649" s="51" t="n">
        <v>143.79</v>
      </c>
      <c r="Q1649" s="49" t="s">
        <v>2098</v>
      </c>
      <c r="R1649" s="49" t="s">
        <v>2099</v>
      </c>
      <c r="S1649" s="53" t="n">
        <v>0.5</v>
      </c>
      <c r="T1649" s="51" t="n">
        <v>35</v>
      </c>
      <c r="U1649" s="56" t="n">
        <f aca="false">I1649*O1649</f>
        <v>8.313741</v>
      </c>
      <c r="V1649" s="56" t="n">
        <f aca="false">J1649*O1649</f>
        <v>24.941223</v>
      </c>
      <c r="W1649" s="56" t="n">
        <f aca="false">((I1649+J1649)/2)*O1649</f>
        <v>16.627482</v>
      </c>
      <c r="X1649" s="56" t="n">
        <f aca="false">H1649*O1649</f>
        <v>602.445</v>
      </c>
    </row>
    <row r="1650" customFormat="false" ht="15" hidden="false" customHeight="false" outlineLevel="0" collapsed="false">
      <c r="A1650" s="79" t="s">
        <v>2065</v>
      </c>
      <c r="B1650" s="7" t="s">
        <v>2424</v>
      </c>
      <c r="C1650" s="7" t="s">
        <v>1716</v>
      </c>
      <c r="D1650" s="7" t="s">
        <v>2101</v>
      </c>
      <c r="E1650" s="50" t="s">
        <v>2096</v>
      </c>
      <c r="F1650" s="7" t="s">
        <v>2097</v>
      </c>
      <c r="G1650" s="7" t="s">
        <v>2097</v>
      </c>
      <c r="H1650" s="9" t="n">
        <v>150</v>
      </c>
      <c r="I1650" s="9" t="n">
        <v>0.4</v>
      </c>
      <c r="J1650" s="9" t="n">
        <v>1.2</v>
      </c>
      <c r="K1650" s="52" t="n">
        <v>40</v>
      </c>
      <c r="L1650" s="58" t="n">
        <v>57.7</v>
      </c>
      <c r="M1650" s="59" t="n">
        <v>70</v>
      </c>
      <c r="N1650" s="9" t="n">
        <v>0.013818</v>
      </c>
      <c r="O1650" s="8" t="n">
        <v>19.15</v>
      </c>
      <c r="P1650" s="9" t="n">
        <v>148.8</v>
      </c>
      <c r="Q1650" s="7" t="s">
        <v>2098</v>
      </c>
      <c r="R1650" s="7" t="s">
        <v>2099</v>
      </c>
      <c r="S1650" s="58" t="n">
        <v>0.5</v>
      </c>
      <c r="T1650" s="9" t="n">
        <v>40</v>
      </c>
      <c r="U1650" s="56" t="n">
        <f aca="false">I1650*O1650</f>
        <v>7.66</v>
      </c>
      <c r="V1650" s="56" t="n">
        <f aca="false">J1650*O1650</f>
        <v>22.98</v>
      </c>
      <c r="W1650" s="56" t="n">
        <f aca="false">((I1650+J1650)/2)*O1650</f>
        <v>15.32</v>
      </c>
      <c r="X1650" s="56" t="n">
        <f aca="false">H1650*O1650</f>
        <v>2872.5</v>
      </c>
    </row>
    <row r="1651" customFormat="false" ht="15" hidden="false" customHeight="false" outlineLevel="0" collapsed="false">
      <c r="A1651" s="79" t="s">
        <v>2065</v>
      </c>
      <c r="B1651" s="49" t="s">
        <v>2425</v>
      </c>
      <c r="C1651" s="49" t="s">
        <v>2426</v>
      </c>
      <c r="D1651" s="49" t="s">
        <v>2101</v>
      </c>
      <c r="E1651" s="50" t="s">
        <v>2096</v>
      </c>
      <c r="F1651" s="49" t="s">
        <v>2097</v>
      </c>
      <c r="G1651" s="49" t="s">
        <v>2097</v>
      </c>
      <c r="H1651" s="51" t="n">
        <v>150</v>
      </c>
      <c r="I1651" s="51" t="n">
        <v>25.65</v>
      </c>
      <c r="J1651" s="51" t="n">
        <v>76.95</v>
      </c>
      <c r="K1651" s="52" t="n">
        <v>80</v>
      </c>
      <c r="L1651" s="53" t="n">
        <v>73.9</v>
      </c>
      <c r="M1651" s="54" t="n">
        <v>50</v>
      </c>
      <c r="N1651" s="51" t="n">
        <v>0.694247</v>
      </c>
      <c r="O1651" s="55" t="n">
        <v>18.76</v>
      </c>
      <c r="P1651" s="51" t="n">
        <v>73.05</v>
      </c>
      <c r="Q1651" s="49" t="s">
        <v>2098</v>
      </c>
      <c r="R1651" s="49" t="s">
        <v>2099</v>
      </c>
      <c r="S1651" s="53" t="n">
        <v>0.5</v>
      </c>
      <c r="T1651" s="51" t="n">
        <v>40</v>
      </c>
      <c r="U1651" s="56" t="n">
        <f aca="false">I1651*O1651</f>
        <v>481.194</v>
      </c>
      <c r="V1651" s="56" t="n">
        <f aca="false">J1651*O1651</f>
        <v>1443.582</v>
      </c>
      <c r="W1651" s="56" t="n">
        <f aca="false">((I1651+J1651)/2)*O1651</f>
        <v>962.388</v>
      </c>
      <c r="X1651" s="56" t="n">
        <f aca="false">H1651*O1651</f>
        <v>2814</v>
      </c>
    </row>
    <row r="1652" customFormat="false" ht="15" hidden="false" customHeight="false" outlineLevel="0" collapsed="false">
      <c r="A1652" s="79" t="s">
        <v>2065</v>
      </c>
      <c r="B1652" s="7" t="s">
        <v>2427</v>
      </c>
      <c r="C1652" s="7" t="s">
        <v>2428</v>
      </c>
      <c r="D1652" s="7" t="s">
        <v>2101</v>
      </c>
      <c r="E1652" s="50" t="s">
        <v>2096</v>
      </c>
      <c r="F1652" s="7" t="s">
        <v>2097</v>
      </c>
      <c r="G1652" s="7" t="s">
        <v>2097</v>
      </c>
      <c r="H1652" s="9" t="n">
        <v>150</v>
      </c>
      <c r="I1652" s="9" t="n">
        <v>10.95</v>
      </c>
      <c r="J1652" s="9" t="n">
        <v>32.85</v>
      </c>
      <c r="K1652" s="52" t="n">
        <v>40</v>
      </c>
      <c r="L1652" s="58" t="n">
        <v>77</v>
      </c>
      <c r="M1652" s="59" t="n">
        <v>70</v>
      </c>
      <c r="N1652" s="9" t="n">
        <v>0.284453</v>
      </c>
      <c r="O1652" s="8" t="n">
        <v>4.14</v>
      </c>
      <c r="P1652" s="9" t="n">
        <v>117.15</v>
      </c>
      <c r="Q1652" s="7" t="s">
        <v>2098</v>
      </c>
      <c r="R1652" s="7" t="s">
        <v>2099</v>
      </c>
      <c r="S1652" s="58" t="n">
        <v>0.5</v>
      </c>
      <c r="T1652" s="9" t="n">
        <v>40</v>
      </c>
      <c r="U1652" s="56" t="n">
        <f aca="false">I1652*O1652</f>
        <v>45.333</v>
      </c>
      <c r="V1652" s="56" t="n">
        <f aca="false">J1652*O1652</f>
        <v>135.999</v>
      </c>
      <c r="W1652" s="56" t="n">
        <f aca="false">((I1652+J1652)/2)*O1652</f>
        <v>90.666</v>
      </c>
      <c r="X1652" s="56" t="n">
        <f aca="false">H1652*O1652</f>
        <v>621</v>
      </c>
    </row>
    <row r="1653" customFormat="false" ht="15" hidden="false" customHeight="false" outlineLevel="0" collapsed="false">
      <c r="A1653" s="79" t="s">
        <v>2065</v>
      </c>
      <c r="B1653" s="49" t="s">
        <v>2429</v>
      </c>
      <c r="C1653" s="49" t="s">
        <v>2430</v>
      </c>
      <c r="D1653" s="49" t="s">
        <v>2101</v>
      </c>
      <c r="E1653" s="50" t="s">
        <v>2096</v>
      </c>
      <c r="F1653" s="49" t="s">
        <v>2097</v>
      </c>
      <c r="G1653" s="49" t="s">
        <v>2097</v>
      </c>
      <c r="H1653" s="51" t="n">
        <v>150</v>
      </c>
      <c r="I1653" s="51" t="n">
        <v>4.17</v>
      </c>
      <c r="J1653" s="51" t="n">
        <v>12.52</v>
      </c>
      <c r="K1653" s="52" t="n">
        <v>40</v>
      </c>
      <c r="L1653" s="53" t="n">
        <v>36.5</v>
      </c>
      <c r="M1653" s="54" t="n">
        <v>38.9</v>
      </c>
      <c r="N1653" s="51" t="n">
        <v>0.228699</v>
      </c>
      <c r="O1653" s="55" t="n">
        <v>16.64</v>
      </c>
      <c r="P1653" s="51" t="n">
        <v>137.48</v>
      </c>
      <c r="Q1653" s="49" t="s">
        <v>2098</v>
      </c>
      <c r="R1653" s="49" t="s">
        <v>2099</v>
      </c>
      <c r="S1653" s="53" t="n">
        <v>0.5</v>
      </c>
      <c r="T1653" s="51" t="n">
        <v>40</v>
      </c>
      <c r="U1653" s="56" t="n">
        <f aca="false">I1653*O1653</f>
        <v>69.3888</v>
      </c>
      <c r="V1653" s="56" t="n">
        <f aca="false">J1653*O1653</f>
        <v>208.3328</v>
      </c>
      <c r="W1653" s="56" t="n">
        <f aca="false">((I1653+J1653)/2)*O1653</f>
        <v>138.8608</v>
      </c>
      <c r="X1653" s="56" t="n">
        <f aca="false">H1653*O1653</f>
        <v>2496</v>
      </c>
    </row>
    <row r="1654" customFormat="false" ht="15" hidden="false" customHeight="false" outlineLevel="0" collapsed="false">
      <c r="A1654" s="79" t="s">
        <v>2065</v>
      </c>
      <c r="B1654" s="7" t="s">
        <v>2431</v>
      </c>
      <c r="C1654" s="7" t="s">
        <v>2432</v>
      </c>
      <c r="D1654" s="7" t="s">
        <v>2101</v>
      </c>
      <c r="E1654" s="50" t="s">
        <v>2096</v>
      </c>
      <c r="F1654" s="7" t="s">
        <v>2097</v>
      </c>
      <c r="G1654" s="7" t="s">
        <v>2097</v>
      </c>
      <c r="H1654" s="9" t="n">
        <v>150</v>
      </c>
      <c r="I1654" s="9" t="n">
        <v>10.18</v>
      </c>
      <c r="J1654" s="9" t="n">
        <v>30.53</v>
      </c>
      <c r="K1654" s="52" t="n">
        <v>40</v>
      </c>
      <c r="L1654" s="58" t="n">
        <v>33.6</v>
      </c>
      <c r="M1654" s="59" t="n">
        <v>60.9</v>
      </c>
      <c r="N1654" s="9" t="n">
        <v>0.605699</v>
      </c>
      <c r="O1654" s="8" t="n">
        <v>26.2</v>
      </c>
      <c r="P1654" s="9" t="n">
        <v>119.47</v>
      </c>
      <c r="Q1654" s="7" t="s">
        <v>2098</v>
      </c>
      <c r="R1654" s="7" t="s">
        <v>2099</v>
      </c>
      <c r="S1654" s="58" t="n">
        <v>0.5</v>
      </c>
      <c r="T1654" s="9" t="n">
        <v>40</v>
      </c>
      <c r="U1654" s="56" t="n">
        <f aca="false">I1654*O1654</f>
        <v>266.716</v>
      </c>
      <c r="V1654" s="56" t="n">
        <f aca="false">J1654*O1654</f>
        <v>799.886</v>
      </c>
      <c r="W1654" s="56" t="n">
        <f aca="false">((I1654+J1654)/2)*O1654</f>
        <v>533.301</v>
      </c>
      <c r="X1654" s="56" t="n">
        <f aca="false">H1654*O1654</f>
        <v>3930</v>
      </c>
    </row>
    <row r="1655" customFormat="false" ht="15" hidden="false" customHeight="false" outlineLevel="0" collapsed="false">
      <c r="A1655" s="79" t="s">
        <v>2065</v>
      </c>
      <c r="B1655" s="49" t="s">
        <v>2433</v>
      </c>
      <c r="C1655" s="49" t="s">
        <v>2434</v>
      </c>
      <c r="D1655" s="49" t="s">
        <v>2101</v>
      </c>
      <c r="E1655" s="50" t="s">
        <v>2096</v>
      </c>
      <c r="F1655" s="49" t="s">
        <v>2097</v>
      </c>
      <c r="G1655" s="49" t="s">
        <v>2097</v>
      </c>
      <c r="H1655" s="51" t="n">
        <v>150</v>
      </c>
      <c r="I1655" s="51" t="n">
        <v>44.21</v>
      </c>
      <c r="J1655" s="51" t="n">
        <v>132.64</v>
      </c>
      <c r="K1655" s="52" t="n">
        <v>140</v>
      </c>
      <c r="L1655" s="53" t="n">
        <v>34.1</v>
      </c>
      <c r="M1655" s="54" t="n">
        <v>75.7</v>
      </c>
      <c r="N1655" s="51" t="n">
        <v>2.593177</v>
      </c>
      <c r="O1655" s="55" t="n">
        <v>3.79</v>
      </c>
      <c r="P1655" s="51" t="n">
        <v>17.36</v>
      </c>
      <c r="Q1655" s="49" t="s">
        <v>2098</v>
      </c>
      <c r="R1655" s="49" t="s">
        <v>2099</v>
      </c>
      <c r="S1655" s="53" t="n">
        <v>0.5</v>
      </c>
      <c r="T1655" s="51" t="n">
        <v>70</v>
      </c>
      <c r="U1655" s="56" t="n">
        <f aca="false">I1655*O1655</f>
        <v>167.5559</v>
      </c>
      <c r="V1655" s="56" t="n">
        <f aca="false">J1655*O1655</f>
        <v>502.7056</v>
      </c>
      <c r="W1655" s="56" t="n">
        <f aca="false">((I1655+J1655)/2)*O1655</f>
        <v>335.13075</v>
      </c>
      <c r="X1655" s="56" t="n">
        <f aca="false">H1655*O1655</f>
        <v>568.5</v>
      </c>
    </row>
    <row r="1656" customFormat="false" ht="15" hidden="false" customHeight="false" outlineLevel="0" collapsed="false">
      <c r="A1656" s="79" t="s">
        <v>2065</v>
      </c>
      <c r="B1656" s="7" t="s">
        <v>2435</v>
      </c>
      <c r="C1656" s="7" t="s">
        <v>2436</v>
      </c>
      <c r="D1656" s="7" t="s">
        <v>2101</v>
      </c>
      <c r="E1656" s="50" t="s">
        <v>2096</v>
      </c>
      <c r="F1656" s="7" t="s">
        <v>2097</v>
      </c>
      <c r="G1656" s="7" t="s">
        <v>2097</v>
      </c>
      <c r="H1656" s="9" t="n">
        <v>150</v>
      </c>
      <c r="I1656" s="9" t="n">
        <v>28.17</v>
      </c>
      <c r="J1656" s="9" t="n">
        <v>84.52</v>
      </c>
      <c r="K1656" s="52" t="n">
        <v>120</v>
      </c>
      <c r="L1656" s="58" t="n">
        <v>50.2</v>
      </c>
      <c r="M1656" s="59" t="n">
        <v>65.7</v>
      </c>
      <c r="N1656" s="9" t="n">
        <v>1.122412</v>
      </c>
      <c r="O1656" s="8" t="n">
        <v>5.15</v>
      </c>
      <c r="P1656" s="9" t="n">
        <v>65.48</v>
      </c>
      <c r="Q1656" s="7" t="s">
        <v>2098</v>
      </c>
      <c r="R1656" s="7" t="s">
        <v>2099</v>
      </c>
      <c r="S1656" s="58" t="n">
        <v>0.5</v>
      </c>
      <c r="T1656" s="9" t="n">
        <v>40</v>
      </c>
      <c r="U1656" s="56" t="n">
        <f aca="false">I1656*O1656</f>
        <v>145.0755</v>
      </c>
      <c r="V1656" s="56" t="n">
        <f aca="false">J1656*O1656</f>
        <v>435.278</v>
      </c>
      <c r="W1656" s="56" t="n">
        <f aca="false">((I1656+J1656)/2)*O1656</f>
        <v>290.17675</v>
      </c>
      <c r="X1656" s="56" t="n">
        <f aca="false">H1656*O1656</f>
        <v>772.5</v>
      </c>
    </row>
    <row r="1657" customFormat="false" ht="22.35" hidden="false" customHeight="false" outlineLevel="0" collapsed="false">
      <c r="A1657" s="79" t="s">
        <v>2065</v>
      </c>
      <c r="B1657" s="49" t="s">
        <v>4176</v>
      </c>
      <c r="C1657" s="49" t="s">
        <v>4177</v>
      </c>
      <c r="D1657" s="49" t="s">
        <v>2101</v>
      </c>
      <c r="E1657" s="57" t="s">
        <v>2102</v>
      </c>
      <c r="F1657" s="49" t="s">
        <v>2097</v>
      </c>
      <c r="G1657" s="49" t="s">
        <v>2097</v>
      </c>
      <c r="H1657" s="51" t="n">
        <v>338</v>
      </c>
      <c r="I1657" s="51" t="n">
        <v>239.41</v>
      </c>
      <c r="J1657" s="51" t="n">
        <v>718.24</v>
      </c>
      <c r="K1657" s="52" t="n">
        <v>750</v>
      </c>
      <c r="L1657" s="53" t="n">
        <v>29.9</v>
      </c>
      <c r="M1657" s="54" t="n">
        <v>57.9</v>
      </c>
      <c r="N1657" s="51" t="n">
        <v>16.014374</v>
      </c>
      <c r="O1657" s="55" t="n">
        <v>0.94</v>
      </c>
      <c r="P1657" s="51" t="n">
        <v>-380.24</v>
      </c>
      <c r="Q1657" s="49" t="s">
        <v>2103</v>
      </c>
      <c r="R1657" s="49" t="s">
        <v>2099</v>
      </c>
      <c r="S1657" s="53" t="n">
        <v>0.5</v>
      </c>
      <c r="T1657" s="51" t="n">
        <v>50</v>
      </c>
      <c r="U1657" s="56" t="n">
        <f aca="false">I1657*O1657</f>
        <v>225.0454</v>
      </c>
      <c r="V1657" s="56" t="n">
        <f aca="false">J1657*O1657</f>
        <v>675.1456</v>
      </c>
      <c r="W1657" s="56" t="n">
        <f aca="false">((I1657+J1657)/2)*O1657</f>
        <v>450.0955</v>
      </c>
      <c r="X1657" s="56" t="n">
        <f aca="false">H1657*O1657</f>
        <v>317.72</v>
      </c>
    </row>
    <row r="1658" customFormat="false" ht="15" hidden="false" customHeight="false" outlineLevel="0" collapsed="false">
      <c r="A1658" s="79" t="s">
        <v>2065</v>
      </c>
      <c r="B1658" s="7" t="s">
        <v>3859</v>
      </c>
      <c r="C1658" s="7" t="s">
        <v>3860</v>
      </c>
      <c r="D1658" s="7" t="s">
        <v>2101</v>
      </c>
      <c r="E1658" s="50" t="s">
        <v>2096</v>
      </c>
      <c r="F1658" s="7" t="s">
        <v>2097</v>
      </c>
      <c r="G1658" s="7" t="s">
        <v>2097</v>
      </c>
      <c r="H1658" s="9" t="n">
        <v>150</v>
      </c>
      <c r="I1658" s="9" t="n">
        <v>0.98</v>
      </c>
      <c r="J1658" s="9" t="n">
        <v>2.93</v>
      </c>
      <c r="K1658" s="52" t="n">
        <v>132</v>
      </c>
      <c r="L1658" s="58" t="n">
        <v>58.8</v>
      </c>
      <c r="M1658" s="59" t="n">
        <v>23.1</v>
      </c>
      <c r="N1658" s="9" t="n">
        <v>0.033185</v>
      </c>
      <c r="O1658" s="8" t="n">
        <v>42.003</v>
      </c>
      <c r="P1658" s="9" t="n">
        <v>147.07</v>
      </c>
      <c r="Q1658" s="7" t="s">
        <v>2098</v>
      </c>
      <c r="R1658" s="7" t="s">
        <v>2099</v>
      </c>
      <c r="S1658" s="58" t="n">
        <v>0.5</v>
      </c>
      <c r="T1658" s="9" t="n">
        <v>132</v>
      </c>
      <c r="U1658" s="56" t="n">
        <f aca="false">I1658*O1658</f>
        <v>41.16294</v>
      </c>
      <c r="V1658" s="56" t="n">
        <f aca="false">J1658*O1658</f>
        <v>123.06879</v>
      </c>
      <c r="W1658" s="56" t="n">
        <f aca="false">((I1658+J1658)/2)*O1658</f>
        <v>82.115865</v>
      </c>
      <c r="X1658" s="56" t="n">
        <f aca="false">H1658*O1658</f>
        <v>6300.45</v>
      </c>
    </row>
    <row r="1659" customFormat="false" ht="15" hidden="false" customHeight="false" outlineLevel="0" collapsed="false">
      <c r="A1659" s="79" t="s">
        <v>2065</v>
      </c>
      <c r="B1659" s="49" t="s">
        <v>3861</v>
      </c>
      <c r="C1659" s="49" t="s">
        <v>3860</v>
      </c>
      <c r="D1659" s="49" t="s">
        <v>2101</v>
      </c>
      <c r="E1659" s="50" t="s">
        <v>2096</v>
      </c>
      <c r="F1659" s="49" t="s">
        <v>2097</v>
      </c>
      <c r="G1659" s="49" t="s">
        <v>2097</v>
      </c>
      <c r="H1659" s="51" t="n">
        <v>150</v>
      </c>
      <c r="I1659" s="51" t="n">
        <v>38.4</v>
      </c>
      <c r="J1659" s="51" t="n">
        <v>115.2</v>
      </c>
      <c r="K1659" s="52" t="n">
        <v>132</v>
      </c>
      <c r="L1659" s="53" t="n">
        <v>29.4</v>
      </c>
      <c r="M1659" s="54" t="n">
        <v>77.8</v>
      </c>
      <c r="N1659" s="51" t="n">
        <v>2.612375</v>
      </c>
      <c r="O1659" s="55" t="n">
        <v>6.58</v>
      </c>
      <c r="P1659" s="51" t="n">
        <v>34.8</v>
      </c>
      <c r="Q1659" s="49" t="s">
        <v>2098</v>
      </c>
      <c r="R1659" s="49" t="s">
        <v>2099</v>
      </c>
      <c r="S1659" s="53" t="n">
        <v>0.5</v>
      </c>
      <c r="T1659" s="51" t="n">
        <v>44</v>
      </c>
      <c r="U1659" s="56" t="n">
        <f aca="false">I1659*O1659</f>
        <v>252.672</v>
      </c>
      <c r="V1659" s="56" t="n">
        <f aca="false">J1659*O1659</f>
        <v>758.016</v>
      </c>
      <c r="W1659" s="56" t="n">
        <f aca="false">((I1659+J1659)/2)*O1659</f>
        <v>505.344</v>
      </c>
      <c r="X1659" s="56" t="n">
        <f aca="false">H1659*O1659</f>
        <v>987</v>
      </c>
    </row>
    <row r="1660" customFormat="false" ht="15" hidden="false" customHeight="false" outlineLevel="0" collapsed="false">
      <c r="A1660" s="79" t="s">
        <v>2065</v>
      </c>
      <c r="B1660" s="7" t="s">
        <v>3862</v>
      </c>
      <c r="C1660" s="7" t="s">
        <v>3860</v>
      </c>
      <c r="D1660" s="7" t="s">
        <v>2101</v>
      </c>
      <c r="E1660" s="50" t="s">
        <v>2096</v>
      </c>
      <c r="F1660" s="7" t="s">
        <v>2097</v>
      </c>
      <c r="G1660" s="7" t="s">
        <v>2097</v>
      </c>
      <c r="H1660" s="9" t="n">
        <v>150</v>
      </c>
      <c r="I1660" s="9" t="n">
        <v>4.1</v>
      </c>
      <c r="J1660" s="9" t="n">
        <v>12.31</v>
      </c>
      <c r="K1660" s="52" t="n">
        <v>66</v>
      </c>
      <c r="L1660" s="58" t="n">
        <v>16.6</v>
      </c>
      <c r="M1660" s="59" t="n">
        <v>82.6</v>
      </c>
      <c r="N1660" s="9" t="n">
        <v>0.494413</v>
      </c>
      <c r="O1660" s="8" t="n">
        <v>11.1951</v>
      </c>
      <c r="P1660" s="9" t="n">
        <v>137.69</v>
      </c>
      <c r="Q1660" s="7" t="s">
        <v>2098</v>
      </c>
      <c r="R1660" s="7" t="s">
        <v>2099</v>
      </c>
      <c r="S1660" s="58" t="n">
        <v>0.5</v>
      </c>
      <c r="T1660" s="9" t="n">
        <v>66</v>
      </c>
      <c r="U1660" s="56" t="n">
        <f aca="false">I1660*O1660</f>
        <v>45.89991</v>
      </c>
      <c r="V1660" s="56" t="n">
        <f aca="false">J1660*O1660</f>
        <v>137.811681</v>
      </c>
      <c r="W1660" s="56" t="n">
        <f aca="false">((I1660+J1660)/2)*O1660</f>
        <v>91.8557955</v>
      </c>
      <c r="X1660" s="56" t="n">
        <f aca="false">H1660*O1660</f>
        <v>1679.265</v>
      </c>
    </row>
    <row r="1661" customFormat="false" ht="15" hidden="false" customHeight="false" outlineLevel="0" collapsed="false">
      <c r="A1661" s="79" t="s">
        <v>2065</v>
      </c>
      <c r="B1661" s="49" t="s">
        <v>3863</v>
      </c>
      <c r="C1661" s="49" t="s">
        <v>3860</v>
      </c>
      <c r="D1661" s="49" t="s">
        <v>2101</v>
      </c>
      <c r="E1661" s="50" t="s">
        <v>2096</v>
      </c>
      <c r="F1661" s="49" t="s">
        <v>2097</v>
      </c>
      <c r="G1661" s="49" t="s">
        <v>2097</v>
      </c>
      <c r="H1661" s="51" t="n">
        <v>150</v>
      </c>
      <c r="I1661" s="51" t="n">
        <v>7.27</v>
      </c>
      <c r="J1661" s="51" t="n">
        <v>21.8</v>
      </c>
      <c r="K1661" s="52" t="n">
        <v>40</v>
      </c>
      <c r="L1661" s="53" t="n">
        <v>33.9</v>
      </c>
      <c r="M1661" s="54" t="n">
        <v>61.1</v>
      </c>
      <c r="N1661" s="51" t="n">
        <v>0.428658</v>
      </c>
      <c r="O1661" s="55" t="n">
        <v>15.7501</v>
      </c>
      <c r="P1661" s="51" t="n">
        <v>128.2</v>
      </c>
      <c r="Q1661" s="49" t="s">
        <v>2098</v>
      </c>
      <c r="R1661" s="49" t="s">
        <v>2099</v>
      </c>
      <c r="S1661" s="53" t="n">
        <v>0.5</v>
      </c>
      <c r="T1661" s="51" t="n">
        <v>40</v>
      </c>
      <c r="U1661" s="56" t="n">
        <f aca="false">I1661*O1661</f>
        <v>114.503227</v>
      </c>
      <c r="V1661" s="56" t="n">
        <f aca="false">J1661*O1661</f>
        <v>343.35218</v>
      </c>
      <c r="W1661" s="56" t="n">
        <f aca="false">((I1661+J1661)/2)*O1661</f>
        <v>228.9277035</v>
      </c>
      <c r="X1661" s="56" t="n">
        <f aca="false">H1661*O1661</f>
        <v>2362.515</v>
      </c>
    </row>
    <row r="1662" customFormat="false" ht="15" hidden="false" customHeight="false" outlineLevel="0" collapsed="false">
      <c r="A1662" s="79" t="s">
        <v>2065</v>
      </c>
      <c r="B1662" s="7" t="s">
        <v>4178</v>
      </c>
      <c r="C1662" s="7" t="s">
        <v>1694</v>
      </c>
      <c r="D1662" s="7" t="s">
        <v>2101</v>
      </c>
      <c r="E1662" s="50" t="s">
        <v>2096</v>
      </c>
      <c r="F1662" s="7" t="s">
        <v>2097</v>
      </c>
      <c r="G1662" s="7" t="s">
        <v>2097</v>
      </c>
      <c r="H1662" s="9" t="n">
        <v>150</v>
      </c>
      <c r="I1662" s="9" t="n">
        <v>15.98</v>
      </c>
      <c r="J1662" s="9" t="n">
        <v>47.94</v>
      </c>
      <c r="K1662" s="52" t="n">
        <v>50</v>
      </c>
      <c r="L1662" s="58" t="n">
        <v>26.2</v>
      </c>
      <c r="M1662" s="59" t="n">
        <v>100</v>
      </c>
      <c r="N1662" s="9" t="n">
        <v>1.219822</v>
      </c>
      <c r="O1662" s="8" t="n">
        <v>1.26</v>
      </c>
      <c r="P1662" s="9" t="n">
        <v>102.06</v>
      </c>
      <c r="Q1662" s="7" t="s">
        <v>2098</v>
      </c>
      <c r="R1662" s="7" t="s">
        <v>2099</v>
      </c>
      <c r="S1662" s="58" t="n">
        <v>0.5</v>
      </c>
      <c r="T1662" s="9" t="n">
        <v>50</v>
      </c>
      <c r="U1662" s="56" t="n">
        <f aca="false">I1662*O1662</f>
        <v>20.1348</v>
      </c>
      <c r="V1662" s="56" t="n">
        <f aca="false">J1662*O1662</f>
        <v>60.4044</v>
      </c>
      <c r="W1662" s="56" t="n">
        <f aca="false">((I1662+J1662)/2)*O1662</f>
        <v>40.2696</v>
      </c>
      <c r="X1662" s="56" t="n">
        <f aca="false">H1662*O1662</f>
        <v>189</v>
      </c>
    </row>
    <row r="1663" customFormat="false" ht="22.35" hidden="false" customHeight="false" outlineLevel="0" collapsed="false">
      <c r="A1663" s="79" t="s">
        <v>2065</v>
      </c>
      <c r="B1663" s="49" t="s">
        <v>2437</v>
      </c>
      <c r="C1663" s="49" t="s">
        <v>2438</v>
      </c>
      <c r="D1663" s="49" t="s">
        <v>2101</v>
      </c>
      <c r="E1663" s="57" t="s">
        <v>2102</v>
      </c>
      <c r="F1663" s="49" t="s">
        <v>2097</v>
      </c>
      <c r="G1663" s="49" t="s">
        <v>2097</v>
      </c>
      <c r="H1663" s="51" t="n">
        <v>150</v>
      </c>
      <c r="I1663" s="51" t="n">
        <v>52.22</v>
      </c>
      <c r="J1663" s="51" t="n">
        <v>156.66</v>
      </c>
      <c r="K1663" s="52" t="n">
        <v>200</v>
      </c>
      <c r="L1663" s="53" t="n">
        <v>30.9</v>
      </c>
      <c r="M1663" s="54" t="n">
        <v>86.5</v>
      </c>
      <c r="N1663" s="51" t="n">
        <v>3.379836</v>
      </c>
      <c r="O1663" s="55" t="n">
        <v>1.487</v>
      </c>
      <c r="P1663" s="51" t="n">
        <v>-6.66</v>
      </c>
      <c r="Q1663" s="49" t="s">
        <v>2103</v>
      </c>
      <c r="R1663" s="49" t="s">
        <v>2099</v>
      </c>
      <c r="S1663" s="53" t="n">
        <v>0.5</v>
      </c>
      <c r="T1663" s="51" t="n">
        <v>50</v>
      </c>
      <c r="U1663" s="56" t="n">
        <f aca="false">I1663*O1663</f>
        <v>77.65114</v>
      </c>
      <c r="V1663" s="56" t="n">
        <f aca="false">J1663*O1663</f>
        <v>232.95342</v>
      </c>
      <c r="W1663" s="56" t="n">
        <f aca="false">((I1663+J1663)/2)*O1663</f>
        <v>155.30228</v>
      </c>
      <c r="X1663" s="56" t="n">
        <f aca="false">H1663*O1663</f>
        <v>223.05</v>
      </c>
    </row>
    <row r="1664" customFormat="false" ht="15" hidden="false" customHeight="false" outlineLevel="0" collapsed="false">
      <c r="A1664" s="79" t="s">
        <v>2065</v>
      </c>
      <c r="B1664" s="7" t="s">
        <v>2439</v>
      </c>
      <c r="C1664" s="7" t="s">
        <v>2440</v>
      </c>
      <c r="D1664" s="7" t="s">
        <v>2101</v>
      </c>
      <c r="E1664" s="50" t="s">
        <v>2096</v>
      </c>
      <c r="F1664" s="7" t="s">
        <v>2097</v>
      </c>
      <c r="G1664" s="7" t="s">
        <v>2097</v>
      </c>
      <c r="H1664" s="9" t="n">
        <v>342</v>
      </c>
      <c r="I1664" s="9" t="n">
        <v>107.32</v>
      </c>
      <c r="J1664" s="9" t="n">
        <v>321.96</v>
      </c>
      <c r="K1664" s="52" t="n">
        <v>330</v>
      </c>
      <c r="L1664" s="58" t="n">
        <v>21.4</v>
      </c>
      <c r="M1664" s="59" t="n">
        <v>63.3</v>
      </c>
      <c r="N1664" s="9" t="n">
        <v>10.029806</v>
      </c>
      <c r="O1664" s="8" t="n">
        <v>3.766</v>
      </c>
      <c r="P1664" s="9" t="n">
        <v>20.04</v>
      </c>
      <c r="Q1664" s="7" t="s">
        <v>2098</v>
      </c>
      <c r="R1664" s="7" t="s">
        <v>2099</v>
      </c>
      <c r="S1664" s="58" t="n">
        <v>0.5</v>
      </c>
      <c r="T1664" s="9" t="n">
        <v>55</v>
      </c>
      <c r="U1664" s="56" t="n">
        <f aca="false">I1664*O1664</f>
        <v>404.16712</v>
      </c>
      <c r="V1664" s="56" t="n">
        <f aca="false">J1664*O1664</f>
        <v>1212.50136</v>
      </c>
      <c r="W1664" s="56" t="n">
        <f aca="false">((I1664+J1664)/2)*O1664</f>
        <v>808.33424</v>
      </c>
      <c r="X1664" s="56" t="n">
        <f aca="false">H1664*O1664</f>
        <v>1287.972</v>
      </c>
    </row>
    <row r="1665" customFormat="false" ht="22.35" hidden="false" customHeight="false" outlineLevel="0" collapsed="false">
      <c r="A1665" s="79" t="s">
        <v>2065</v>
      </c>
      <c r="B1665" s="49" t="s">
        <v>2441</v>
      </c>
      <c r="C1665" s="49" t="s">
        <v>1744</v>
      </c>
      <c r="D1665" s="49" t="s">
        <v>2095</v>
      </c>
      <c r="E1665" s="61" t="s">
        <v>2113</v>
      </c>
      <c r="F1665" s="49" t="s">
        <v>2097</v>
      </c>
      <c r="G1665" s="49" t="s">
        <v>2097</v>
      </c>
      <c r="H1665" s="51" t="n">
        <v>391</v>
      </c>
      <c r="I1665" s="51" t="n">
        <v>303.34</v>
      </c>
      <c r="J1665" s="51" t="n">
        <v>606.68</v>
      </c>
      <c r="K1665" s="52" t="n">
        <v>650</v>
      </c>
      <c r="L1665" s="53" t="n">
        <v>25.7</v>
      </c>
      <c r="M1665" s="54" t="n">
        <v>82</v>
      </c>
      <c r="N1665" s="51" t="n">
        <v>11.803298</v>
      </c>
      <c r="O1665" s="55" t="n">
        <v>1.6</v>
      </c>
      <c r="P1665" s="51" t="n">
        <v>-215.68</v>
      </c>
      <c r="Q1665" s="49" t="s">
        <v>2103</v>
      </c>
      <c r="R1665" s="49" t="s">
        <v>2099</v>
      </c>
      <c r="S1665" s="53" t="n">
        <v>1</v>
      </c>
      <c r="T1665" s="51" t="n">
        <v>50</v>
      </c>
      <c r="U1665" s="56" t="n">
        <f aca="false">I1665*O1665</f>
        <v>485.344</v>
      </c>
      <c r="V1665" s="56" t="n">
        <f aca="false">J1665*O1665</f>
        <v>970.688</v>
      </c>
      <c r="W1665" s="56" t="n">
        <f aca="false">((I1665+J1665)/2)*O1665</f>
        <v>728.016</v>
      </c>
      <c r="X1665" s="56" t="n">
        <f aca="false">H1665*O1665</f>
        <v>625.6</v>
      </c>
    </row>
    <row r="1666" customFormat="false" ht="22.35" hidden="false" customHeight="false" outlineLevel="0" collapsed="false">
      <c r="A1666" s="79" t="s">
        <v>2065</v>
      </c>
      <c r="B1666" s="7" t="s">
        <v>4179</v>
      </c>
      <c r="C1666" s="7" t="s">
        <v>4180</v>
      </c>
      <c r="D1666" s="7" t="s">
        <v>2101</v>
      </c>
      <c r="E1666" s="57" t="s">
        <v>2102</v>
      </c>
      <c r="F1666" s="7" t="s">
        <v>2097</v>
      </c>
      <c r="G1666" s="7" t="s">
        <v>2097</v>
      </c>
      <c r="H1666" s="9" t="n">
        <v>196</v>
      </c>
      <c r="I1666" s="9" t="n">
        <v>594.66</v>
      </c>
      <c r="J1666" s="9" t="n">
        <v>1783.97</v>
      </c>
      <c r="K1666" s="52" t="n">
        <v>1980</v>
      </c>
      <c r="L1666" s="58" t="n">
        <v>90.4</v>
      </c>
      <c r="M1666" s="59" t="n">
        <v>90.9</v>
      </c>
      <c r="N1666" s="9" t="n">
        <v>13.156136</v>
      </c>
      <c r="O1666" s="8" t="n">
        <v>14.26</v>
      </c>
      <c r="P1666" s="9" t="n">
        <v>-1587.97</v>
      </c>
      <c r="Q1666" s="7" t="s">
        <v>2103</v>
      </c>
      <c r="R1666" s="7" t="s">
        <v>2099</v>
      </c>
      <c r="S1666" s="58" t="n">
        <v>0.5</v>
      </c>
      <c r="T1666" s="9" t="n">
        <v>660</v>
      </c>
      <c r="U1666" s="56" t="n">
        <f aca="false">I1666*O1666</f>
        <v>8479.8516</v>
      </c>
      <c r="V1666" s="56" t="n">
        <f aca="false">J1666*O1666</f>
        <v>25439.4122</v>
      </c>
      <c r="W1666" s="56" t="n">
        <f aca="false">((I1666+J1666)/2)*O1666</f>
        <v>16959.6319</v>
      </c>
      <c r="X1666" s="56" t="n">
        <f aca="false">H1666*O1666</f>
        <v>2794.96</v>
      </c>
    </row>
    <row r="1667" customFormat="false" ht="22.35" hidden="false" customHeight="false" outlineLevel="0" collapsed="false">
      <c r="A1667" s="79" t="s">
        <v>2065</v>
      </c>
      <c r="B1667" s="49" t="s">
        <v>4181</v>
      </c>
      <c r="C1667" s="49" t="s">
        <v>4182</v>
      </c>
      <c r="D1667" s="49" t="s">
        <v>2095</v>
      </c>
      <c r="E1667" s="61" t="s">
        <v>2113</v>
      </c>
      <c r="F1667" s="49" t="s">
        <v>2097</v>
      </c>
      <c r="G1667" s="49" t="s">
        <v>2097</v>
      </c>
      <c r="H1667" s="51" t="n">
        <v>8697</v>
      </c>
      <c r="I1667" s="51" t="n">
        <v>38732.13</v>
      </c>
      <c r="J1667" s="51" t="n">
        <v>77464.26</v>
      </c>
      <c r="K1667" s="52" t="n">
        <v>77464.26</v>
      </c>
      <c r="L1667" s="53" t="n">
        <v>80.1</v>
      </c>
      <c r="M1667" s="54" t="n">
        <v>50</v>
      </c>
      <c r="N1667" s="51" t="n">
        <v>483.547145</v>
      </c>
      <c r="O1667" s="55" t="n">
        <v>3.78</v>
      </c>
      <c r="P1667" s="51" t="n">
        <v>-68767.26</v>
      </c>
      <c r="Q1667" s="49" t="s">
        <v>2103</v>
      </c>
      <c r="R1667" s="49" t="s">
        <v>2099</v>
      </c>
      <c r="S1667" s="53" t="n">
        <v>1</v>
      </c>
      <c r="T1667" s="51" t="n">
        <v>1</v>
      </c>
      <c r="U1667" s="56" t="n">
        <f aca="false">I1667*O1667</f>
        <v>146407.4514</v>
      </c>
      <c r="V1667" s="56" t="n">
        <f aca="false">J1667*O1667</f>
        <v>292814.9028</v>
      </c>
      <c r="W1667" s="56" t="n">
        <f aca="false">((I1667+J1667)/2)*O1667</f>
        <v>219611.1771</v>
      </c>
      <c r="X1667" s="56" t="n">
        <f aca="false">H1667*O1667</f>
        <v>32874.66</v>
      </c>
    </row>
    <row r="1668" customFormat="false" ht="22.35" hidden="false" customHeight="false" outlineLevel="0" collapsed="false">
      <c r="A1668" s="79" t="s">
        <v>2065</v>
      </c>
      <c r="B1668" s="7" t="s">
        <v>2444</v>
      </c>
      <c r="C1668" s="7" t="s">
        <v>2445</v>
      </c>
      <c r="D1668" s="7" t="s">
        <v>2109</v>
      </c>
      <c r="E1668" s="60" t="s">
        <v>2110</v>
      </c>
      <c r="F1668" s="7" t="s">
        <v>2097</v>
      </c>
      <c r="G1668" s="7" t="s">
        <v>2097</v>
      </c>
      <c r="H1668" s="9" t="n">
        <v>10658</v>
      </c>
      <c r="I1668" s="9" t="n">
        <v>69093.55</v>
      </c>
      <c r="J1668" s="9" t="n">
        <v>115155.92</v>
      </c>
      <c r="K1668" s="52" t="n">
        <v>116812</v>
      </c>
      <c r="L1668" s="58" t="n">
        <v>86</v>
      </c>
      <c r="M1668" s="59" t="n">
        <v>81.4</v>
      </c>
      <c r="N1668" s="9" t="n">
        <v>535.608897</v>
      </c>
      <c r="O1668" s="8" t="n">
        <v>4.5</v>
      </c>
      <c r="P1668" s="9" t="n">
        <v>-104497.92</v>
      </c>
      <c r="Q1668" s="7" t="s">
        <v>2103</v>
      </c>
      <c r="R1668" s="7" t="s">
        <v>2099</v>
      </c>
      <c r="S1668" s="58" t="n">
        <v>1.5</v>
      </c>
      <c r="T1668" s="9" t="n">
        <v>2204</v>
      </c>
      <c r="U1668" s="56" t="n">
        <f aca="false">I1668*O1668</f>
        <v>310920.975</v>
      </c>
      <c r="V1668" s="56" t="n">
        <f aca="false">J1668*O1668</f>
        <v>518201.64</v>
      </c>
      <c r="W1668" s="56" t="n">
        <f aca="false">((I1668+J1668)/2)*O1668</f>
        <v>414561.3075</v>
      </c>
      <c r="X1668" s="56" t="n">
        <f aca="false">H1668*O1668</f>
        <v>47961</v>
      </c>
    </row>
    <row r="1669" customFormat="false" ht="22.35" hidden="false" customHeight="false" outlineLevel="0" collapsed="false">
      <c r="A1669" s="79" t="s">
        <v>2065</v>
      </c>
      <c r="B1669" s="49" t="s">
        <v>2446</v>
      </c>
      <c r="C1669" s="49" t="s">
        <v>2277</v>
      </c>
      <c r="D1669" s="49" t="s">
        <v>2109</v>
      </c>
      <c r="E1669" s="60" t="s">
        <v>2110</v>
      </c>
      <c r="F1669" s="49" t="s">
        <v>2097</v>
      </c>
      <c r="G1669" s="49" t="s">
        <v>2097</v>
      </c>
      <c r="H1669" s="51" t="n">
        <v>1933</v>
      </c>
      <c r="I1669" s="51" t="n">
        <v>4493.2</v>
      </c>
      <c r="J1669" s="51" t="n">
        <v>7488.66</v>
      </c>
      <c r="K1669" s="52" t="n">
        <v>8818.48</v>
      </c>
      <c r="L1669" s="53" t="n">
        <v>62.2</v>
      </c>
      <c r="M1669" s="54" t="n">
        <v>71.4</v>
      </c>
      <c r="N1669" s="51" t="n">
        <v>48.158599</v>
      </c>
      <c r="O1669" s="55" t="n">
        <v>1.34</v>
      </c>
      <c r="P1669" s="51" t="n">
        <v>-5555.66</v>
      </c>
      <c r="Q1669" s="49" t="s">
        <v>2103</v>
      </c>
      <c r="R1669" s="49" t="s">
        <v>2099</v>
      </c>
      <c r="S1669" s="53" t="n">
        <v>1.5</v>
      </c>
      <c r="T1669" s="51" t="n">
        <v>2204.62</v>
      </c>
      <c r="U1669" s="56" t="n">
        <f aca="false">I1669*O1669</f>
        <v>6020.888</v>
      </c>
      <c r="V1669" s="56" t="n">
        <f aca="false">J1669*O1669</f>
        <v>10034.8044</v>
      </c>
      <c r="W1669" s="56" t="n">
        <f aca="false">((I1669+J1669)/2)*O1669</f>
        <v>8027.8462</v>
      </c>
      <c r="X1669" s="56" t="n">
        <f aca="false">H1669*O1669</f>
        <v>2590.22</v>
      </c>
    </row>
    <row r="1670" customFormat="false" ht="22.35" hidden="false" customHeight="false" outlineLevel="0" collapsed="false">
      <c r="A1670" s="79" t="s">
        <v>2065</v>
      </c>
      <c r="B1670" s="7" t="s">
        <v>2453</v>
      </c>
      <c r="C1670" s="7" t="s">
        <v>2454</v>
      </c>
      <c r="D1670" s="7" t="s">
        <v>2095</v>
      </c>
      <c r="E1670" s="61" t="s">
        <v>2113</v>
      </c>
      <c r="F1670" s="7" t="s">
        <v>2097</v>
      </c>
      <c r="G1670" s="7" t="s">
        <v>2097</v>
      </c>
      <c r="H1670" s="9" t="n">
        <v>218</v>
      </c>
      <c r="I1670" s="9" t="n">
        <v>305.34</v>
      </c>
      <c r="J1670" s="9" t="n">
        <v>610.68</v>
      </c>
      <c r="K1670" s="52" t="n">
        <v>840</v>
      </c>
      <c r="L1670" s="58" t="n">
        <v>39.2</v>
      </c>
      <c r="M1670" s="59" t="n">
        <v>66.7</v>
      </c>
      <c r="N1670" s="9" t="n">
        <v>7.789341</v>
      </c>
      <c r="O1670" s="8" t="n">
        <v>3.857</v>
      </c>
      <c r="P1670" s="9" t="n">
        <v>-392.68</v>
      </c>
      <c r="Q1670" s="7" t="s">
        <v>2103</v>
      </c>
      <c r="R1670" s="7" t="s">
        <v>2099</v>
      </c>
      <c r="S1670" s="58" t="n">
        <v>1</v>
      </c>
      <c r="T1670" s="9" t="n">
        <v>420</v>
      </c>
      <c r="U1670" s="56" t="n">
        <f aca="false">I1670*O1670</f>
        <v>1177.69638</v>
      </c>
      <c r="V1670" s="56" t="n">
        <f aca="false">J1670*O1670</f>
        <v>2355.39276</v>
      </c>
      <c r="W1670" s="56" t="n">
        <f aca="false">((I1670+J1670)/2)*O1670</f>
        <v>1766.54457</v>
      </c>
      <c r="X1670" s="56" t="n">
        <f aca="false">H1670*O1670</f>
        <v>840.826</v>
      </c>
    </row>
    <row r="1671" customFormat="false" ht="22.35" hidden="false" customHeight="false" outlineLevel="0" collapsed="false">
      <c r="A1671" s="79" t="s">
        <v>2065</v>
      </c>
      <c r="B1671" s="49" t="s">
        <v>2455</v>
      </c>
      <c r="C1671" s="49" t="s">
        <v>2456</v>
      </c>
      <c r="D1671" s="49" t="s">
        <v>2095</v>
      </c>
      <c r="E1671" s="61" t="s">
        <v>2113</v>
      </c>
      <c r="F1671" s="49" t="s">
        <v>2097</v>
      </c>
      <c r="G1671" s="49" t="s">
        <v>2097</v>
      </c>
      <c r="H1671" s="51" t="n">
        <v>3112</v>
      </c>
      <c r="I1671" s="51" t="n">
        <v>2662.15</v>
      </c>
      <c r="J1671" s="51" t="n">
        <v>5324.3</v>
      </c>
      <c r="K1671" s="52" t="n">
        <v>5700</v>
      </c>
      <c r="L1671" s="53" t="n">
        <v>32.6</v>
      </c>
      <c r="M1671" s="54" t="n">
        <v>79.3</v>
      </c>
      <c r="N1671" s="51" t="n">
        <v>81.660907</v>
      </c>
      <c r="O1671" s="55" t="n">
        <v>1.72</v>
      </c>
      <c r="P1671" s="51" t="n">
        <v>-2212.3</v>
      </c>
      <c r="Q1671" s="49" t="s">
        <v>2103</v>
      </c>
      <c r="R1671" s="49" t="s">
        <v>2099</v>
      </c>
      <c r="S1671" s="53" t="n">
        <v>1</v>
      </c>
      <c r="T1671" s="51" t="n">
        <v>475</v>
      </c>
      <c r="U1671" s="56" t="n">
        <f aca="false">I1671*O1671</f>
        <v>4578.898</v>
      </c>
      <c r="V1671" s="56" t="n">
        <f aca="false">J1671*O1671</f>
        <v>9157.796</v>
      </c>
      <c r="W1671" s="56" t="n">
        <f aca="false">((I1671+J1671)/2)*O1671</f>
        <v>6868.347</v>
      </c>
      <c r="X1671" s="56" t="n">
        <f aca="false">H1671*O1671</f>
        <v>5352.64</v>
      </c>
    </row>
    <row r="1672" customFormat="false" ht="22.35" hidden="false" customHeight="false" outlineLevel="0" collapsed="false">
      <c r="A1672" s="79" t="s">
        <v>2065</v>
      </c>
      <c r="B1672" s="7" t="s">
        <v>4183</v>
      </c>
      <c r="C1672" s="7" t="s">
        <v>4184</v>
      </c>
      <c r="D1672" s="7" t="s">
        <v>2109</v>
      </c>
      <c r="E1672" s="60" t="s">
        <v>2110</v>
      </c>
      <c r="F1672" s="7" t="s">
        <v>2097</v>
      </c>
      <c r="G1672" s="7" t="s">
        <v>2097</v>
      </c>
      <c r="H1672" s="9" t="n">
        <v>24225</v>
      </c>
      <c r="I1672" s="9" t="n">
        <v>127047.47</v>
      </c>
      <c r="J1672" s="9" t="n">
        <v>211745.78</v>
      </c>
      <c r="K1672" s="52" t="n">
        <v>218240</v>
      </c>
      <c r="L1672" s="58" t="n">
        <v>63.7</v>
      </c>
      <c r="M1672" s="59" t="n">
        <v>76.9</v>
      </c>
      <c r="N1672" s="9" t="n">
        <v>1329.643839</v>
      </c>
      <c r="O1672" s="8" t="n">
        <v>4.265</v>
      </c>
      <c r="P1672" s="9" t="n">
        <v>-187520.78</v>
      </c>
      <c r="Q1672" s="7" t="s">
        <v>2103</v>
      </c>
      <c r="R1672" s="7" t="s">
        <v>2099</v>
      </c>
      <c r="S1672" s="58" t="n">
        <v>1.5</v>
      </c>
      <c r="T1672" s="9" t="n">
        <v>9920</v>
      </c>
      <c r="U1672" s="56" t="n">
        <f aca="false">I1672*O1672</f>
        <v>541857.45955</v>
      </c>
      <c r="V1672" s="56" t="n">
        <f aca="false">J1672*O1672</f>
        <v>903095.7517</v>
      </c>
      <c r="W1672" s="56" t="n">
        <f aca="false">((I1672+J1672)/2)*O1672</f>
        <v>722476.605625</v>
      </c>
      <c r="X1672" s="56" t="n">
        <f aca="false">H1672*O1672</f>
        <v>103319.625</v>
      </c>
    </row>
    <row r="1673" customFormat="false" ht="15" hidden="false" customHeight="false" outlineLevel="0" collapsed="false">
      <c r="A1673" s="79" t="s">
        <v>2065</v>
      </c>
      <c r="B1673" s="49" t="s">
        <v>3883</v>
      </c>
      <c r="C1673" s="49" t="s">
        <v>3884</v>
      </c>
      <c r="D1673" s="49" t="s">
        <v>2101</v>
      </c>
      <c r="E1673" s="50" t="s">
        <v>2096</v>
      </c>
      <c r="F1673" s="49" t="s">
        <v>2097</v>
      </c>
      <c r="G1673" s="49" t="s">
        <v>2097</v>
      </c>
      <c r="H1673" s="51" t="n">
        <v>150</v>
      </c>
      <c r="I1673" s="51" t="n">
        <v>6.88</v>
      </c>
      <c r="J1673" s="51" t="n">
        <v>20.64</v>
      </c>
      <c r="K1673" s="52" t="n">
        <v>400</v>
      </c>
      <c r="L1673" s="53" t="n">
        <v>14.7</v>
      </c>
      <c r="M1673" s="54" t="n">
        <v>66.7</v>
      </c>
      <c r="N1673" s="51" t="n">
        <v>0.935837</v>
      </c>
      <c r="O1673" s="55" t="n">
        <v>2.244</v>
      </c>
      <c r="P1673" s="51" t="n">
        <v>129.36</v>
      </c>
      <c r="Q1673" s="49" t="s">
        <v>2098</v>
      </c>
      <c r="R1673" s="49" t="s">
        <v>2099</v>
      </c>
      <c r="S1673" s="53" t="n">
        <v>0.5</v>
      </c>
      <c r="T1673" s="51" t="n">
        <v>400</v>
      </c>
      <c r="U1673" s="56" t="n">
        <f aca="false">I1673*O1673</f>
        <v>15.43872</v>
      </c>
      <c r="V1673" s="56" t="n">
        <f aca="false">J1673*O1673</f>
        <v>46.31616</v>
      </c>
      <c r="W1673" s="56" t="n">
        <f aca="false">((I1673+J1673)/2)*O1673</f>
        <v>30.87744</v>
      </c>
      <c r="X1673" s="56" t="n">
        <f aca="false">H1673*O1673</f>
        <v>336.6</v>
      </c>
    </row>
    <row r="1674" customFormat="false" ht="15" hidden="false" customHeight="false" outlineLevel="0" collapsed="false">
      <c r="A1674" s="79" t="s">
        <v>2065</v>
      </c>
      <c r="B1674" s="7" t="s">
        <v>3889</v>
      </c>
      <c r="C1674" s="7" t="s">
        <v>1848</v>
      </c>
      <c r="D1674" s="7" t="s">
        <v>2101</v>
      </c>
      <c r="E1674" s="50" t="s">
        <v>2096</v>
      </c>
      <c r="F1674" s="7" t="s">
        <v>2097</v>
      </c>
      <c r="G1674" s="7" t="s">
        <v>2097</v>
      </c>
      <c r="H1674" s="9" t="n">
        <v>150</v>
      </c>
      <c r="I1674" s="9" t="n">
        <v>1.6</v>
      </c>
      <c r="J1674" s="9" t="n">
        <v>4.81</v>
      </c>
      <c r="K1674" s="52" t="n">
        <v>400</v>
      </c>
      <c r="L1674" s="58" t="n">
        <v>24</v>
      </c>
      <c r="M1674" s="59" t="n">
        <v>65.4</v>
      </c>
      <c r="N1674" s="9" t="n">
        <v>0.133562</v>
      </c>
      <c r="O1674" s="8" t="n">
        <v>1.88</v>
      </c>
      <c r="P1674" s="9" t="n">
        <v>145.19</v>
      </c>
      <c r="Q1674" s="7" t="s">
        <v>2098</v>
      </c>
      <c r="R1674" s="7" t="s">
        <v>2099</v>
      </c>
      <c r="S1674" s="58" t="n">
        <v>0.5</v>
      </c>
      <c r="T1674" s="9" t="n">
        <v>400</v>
      </c>
      <c r="U1674" s="56" t="n">
        <f aca="false">I1674*O1674</f>
        <v>3.008</v>
      </c>
      <c r="V1674" s="56" t="n">
        <f aca="false">J1674*O1674</f>
        <v>9.0428</v>
      </c>
      <c r="W1674" s="56" t="n">
        <f aca="false">((I1674+J1674)/2)*O1674</f>
        <v>6.0254</v>
      </c>
      <c r="X1674" s="56" t="n">
        <f aca="false">H1674*O1674</f>
        <v>282</v>
      </c>
    </row>
    <row r="1675" customFormat="false" ht="22.35" hidden="false" customHeight="false" outlineLevel="0" collapsed="false">
      <c r="A1675" s="79" t="s">
        <v>2065</v>
      </c>
      <c r="B1675" s="49" t="s">
        <v>3893</v>
      </c>
      <c r="C1675" s="49" t="s">
        <v>1992</v>
      </c>
      <c r="D1675" s="49" t="s">
        <v>2101</v>
      </c>
      <c r="E1675" s="57" t="s">
        <v>2102</v>
      </c>
      <c r="F1675" s="49" t="s">
        <v>2097</v>
      </c>
      <c r="G1675" s="49" t="s">
        <v>2097</v>
      </c>
      <c r="H1675" s="51" t="n">
        <v>1119</v>
      </c>
      <c r="I1675" s="51" t="n">
        <v>928.36</v>
      </c>
      <c r="J1675" s="51" t="n">
        <v>2785.08</v>
      </c>
      <c r="K1675" s="52" t="n">
        <v>2800</v>
      </c>
      <c r="L1675" s="53" t="n">
        <v>45.4</v>
      </c>
      <c r="M1675" s="54" t="n">
        <v>69</v>
      </c>
      <c r="N1675" s="51" t="n">
        <v>40.897021</v>
      </c>
      <c r="O1675" s="55" t="n">
        <v>6.39</v>
      </c>
      <c r="P1675" s="51" t="n">
        <v>-1666.08</v>
      </c>
      <c r="Q1675" s="49" t="s">
        <v>2103</v>
      </c>
      <c r="R1675" s="49" t="s">
        <v>2099</v>
      </c>
      <c r="S1675" s="53" t="n">
        <v>0.5</v>
      </c>
      <c r="T1675" s="51" t="n">
        <v>400</v>
      </c>
      <c r="U1675" s="56" t="n">
        <f aca="false">I1675*O1675</f>
        <v>5932.2204</v>
      </c>
      <c r="V1675" s="56" t="n">
        <f aca="false">J1675*O1675</f>
        <v>17796.6612</v>
      </c>
      <c r="W1675" s="56" t="n">
        <f aca="false">((I1675+J1675)/2)*O1675</f>
        <v>11864.4408</v>
      </c>
      <c r="X1675" s="56" t="n">
        <f aca="false">H1675*O1675</f>
        <v>7150.41</v>
      </c>
    </row>
    <row r="1676" customFormat="false" ht="22.35" hidden="false" customHeight="false" outlineLevel="0" collapsed="false">
      <c r="A1676" s="79" t="s">
        <v>2065</v>
      </c>
      <c r="B1676" s="7" t="s">
        <v>4185</v>
      </c>
      <c r="C1676" s="7" t="s">
        <v>2473</v>
      </c>
      <c r="D1676" s="7" t="s">
        <v>2101</v>
      </c>
      <c r="E1676" s="57" t="s">
        <v>2102</v>
      </c>
      <c r="F1676" s="7" t="s">
        <v>2097</v>
      </c>
      <c r="G1676" s="7" t="s">
        <v>2097</v>
      </c>
      <c r="H1676" s="9" t="n">
        <v>2345</v>
      </c>
      <c r="I1676" s="9" t="n">
        <v>1434.74</v>
      </c>
      <c r="J1676" s="9" t="n">
        <v>4304.22</v>
      </c>
      <c r="K1676" s="52" t="n">
        <v>4400</v>
      </c>
      <c r="L1676" s="58" t="n">
        <v>30.7</v>
      </c>
      <c r="M1676" s="59" t="n">
        <v>38.5</v>
      </c>
      <c r="N1676" s="9" t="n">
        <v>93.468328</v>
      </c>
      <c r="O1676" s="8" t="n">
        <v>3.68</v>
      </c>
      <c r="P1676" s="9" t="n">
        <v>-1959.22</v>
      </c>
      <c r="Q1676" s="7" t="s">
        <v>2103</v>
      </c>
      <c r="R1676" s="7" t="s">
        <v>2099</v>
      </c>
      <c r="S1676" s="58" t="n">
        <v>0.5</v>
      </c>
      <c r="T1676" s="9" t="n">
        <v>400</v>
      </c>
      <c r="U1676" s="56" t="n">
        <f aca="false">I1676*O1676</f>
        <v>5279.8432</v>
      </c>
      <c r="V1676" s="56" t="n">
        <f aca="false">J1676*O1676</f>
        <v>15839.5296</v>
      </c>
      <c r="W1676" s="56" t="n">
        <f aca="false">((I1676+J1676)/2)*O1676</f>
        <v>10559.6864</v>
      </c>
      <c r="X1676" s="56" t="n">
        <f aca="false">H1676*O1676</f>
        <v>8629.6</v>
      </c>
    </row>
    <row r="1677" customFormat="false" ht="22.35" hidden="false" customHeight="false" outlineLevel="0" collapsed="false">
      <c r="A1677" s="79" t="s">
        <v>2065</v>
      </c>
      <c r="B1677" s="49" t="s">
        <v>4186</v>
      </c>
      <c r="C1677" s="49" t="s">
        <v>2473</v>
      </c>
      <c r="D1677" s="49" t="s">
        <v>2101</v>
      </c>
      <c r="E1677" s="57" t="s">
        <v>2102</v>
      </c>
      <c r="F1677" s="49" t="s">
        <v>2097</v>
      </c>
      <c r="G1677" s="49" t="s">
        <v>2097</v>
      </c>
      <c r="H1677" s="51" t="n">
        <v>3337</v>
      </c>
      <c r="I1677" s="51" t="n">
        <v>3810.75</v>
      </c>
      <c r="J1677" s="51" t="n">
        <v>11432.25</v>
      </c>
      <c r="K1677" s="52" t="n">
        <v>11600</v>
      </c>
      <c r="L1677" s="53" t="n">
        <v>60.8</v>
      </c>
      <c r="M1677" s="54" t="n">
        <v>44.4</v>
      </c>
      <c r="N1677" s="51" t="n">
        <v>125.353685</v>
      </c>
      <c r="O1677" s="55" t="n">
        <v>2.7204</v>
      </c>
      <c r="P1677" s="51" t="n">
        <v>-8095.25</v>
      </c>
      <c r="Q1677" s="49" t="s">
        <v>2103</v>
      </c>
      <c r="R1677" s="49" t="s">
        <v>2099</v>
      </c>
      <c r="S1677" s="53" t="n">
        <v>0.5</v>
      </c>
      <c r="T1677" s="51" t="n">
        <v>400</v>
      </c>
      <c r="U1677" s="56" t="n">
        <f aca="false">I1677*O1677</f>
        <v>10366.7643</v>
      </c>
      <c r="V1677" s="56" t="n">
        <f aca="false">J1677*O1677</f>
        <v>31100.2929</v>
      </c>
      <c r="W1677" s="56" t="n">
        <f aca="false">((I1677+J1677)/2)*O1677</f>
        <v>20733.5286</v>
      </c>
      <c r="X1677" s="56" t="n">
        <f aca="false">H1677*O1677</f>
        <v>9077.9748</v>
      </c>
    </row>
    <row r="1678" customFormat="false" ht="22.35" hidden="false" customHeight="false" outlineLevel="0" collapsed="false">
      <c r="A1678" s="79" t="s">
        <v>2065</v>
      </c>
      <c r="B1678" s="7" t="s">
        <v>4187</v>
      </c>
      <c r="C1678" s="7" t="s">
        <v>3884</v>
      </c>
      <c r="D1678" s="7" t="s">
        <v>2101</v>
      </c>
      <c r="E1678" s="57" t="s">
        <v>2102</v>
      </c>
      <c r="F1678" s="7" t="s">
        <v>2097</v>
      </c>
      <c r="G1678" s="7" t="s">
        <v>2097</v>
      </c>
      <c r="H1678" s="9" t="n">
        <v>150</v>
      </c>
      <c r="I1678" s="9" t="n">
        <v>908.79</v>
      </c>
      <c r="J1678" s="9" t="n">
        <v>2726.37</v>
      </c>
      <c r="K1678" s="52" t="n">
        <v>2800</v>
      </c>
      <c r="L1678" s="58" t="n">
        <v>31</v>
      </c>
      <c r="M1678" s="59" t="n">
        <v>88.9</v>
      </c>
      <c r="N1678" s="9" t="n">
        <v>58.631495</v>
      </c>
      <c r="O1678" s="8" t="n">
        <v>3.141</v>
      </c>
      <c r="P1678" s="9" t="n">
        <v>-2576.37</v>
      </c>
      <c r="Q1678" s="7" t="s">
        <v>2103</v>
      </c>
      <c r="R1678" s="7" t="s">
        <v>2099</v>
      </c>
      <c r="S1678" s="58" t="n">
        <v>0.5</v>
      </c>
      <c r="T1678" s="9" t="n">
        <v>400</v>
      </c>
      <c r="U1678" s="56" t="n">
        <f aca="false">I1678*O1678</f>
        <v>2854.50939</v>
      </c>
      <c r="V1678" s="56" t="n">
        <f aca="false">J1678*O1678</f>
        <v>8563.52817</v>
      </c>
      <c r="W1678" s="56" t="n">
        <f aca="false">((I1678+J1678)/2)*O1678</f>
        <v>5709.01878</v>
      </c>
      <c r="X1678" s="56" t="n">
        <f aca="false">H1678*O1678</f>
        <v>471.15</v>
      </c>
    </row>
    <row r="1679" customFormat="false" ht="22.35" hidden="false" customHeight="false" outlineLevel="0" collapsed="false">
      <c r="A1679" s="79" t="s">
        <v>2065</v>
      </c>
      <c r="B1679" s="49" t="s">
        <v>4188</v>
      </c>
      <c r="C1679" s="49" t="s">
        <v>1848</v>
      </c>
      <c r="D1679" s="49" t="s">
        <v>2101</v>
      </c>
      <c r="E1679" s="57" t="s">
        <v>2102</v>
      </c>
      <c r="F1679" s="49" t="s">
        <v>2097</v>
      </c>
      <c r="G1679" s="49" t="s">
        <v>2097</v>
      </c>
      <c r="H1679" s="51" t="n">
        <v>2832</v>
      </c>
      <c r="I1679" s="51" t="n">
        <v>2652.01</v>
      </c>
      <c r="J1679" s="51" t="n">
        <v>7956.03</v>
      </c>
      <c r="K1679" s="52" t="n">
        <v>40000</v>
      </c>
      <c r="L1679" s="53" t="n">
        <v>52.6</v>
      </c>
      <c r="M1679" s="54" t="n">
        <v>50</v>
      </c>
      <c r="N1679" s="51" t="n">
        <v>100.836911</v>
      </c>
      <c r="O1679" s="55" t="n">
        <v>1.507</v>
      </c>
      <c r="P1679" s="51" t="n">
        <v>-5124.03</v>
      </c>
      <c r="Q1679" s="49" t="s">
        <v>2103</v>
      </c>
      <c r="R1679" s="49" t="s">
        <v>2099</v>
      </c>
      <c r="S1679" s="53" t="n">
        <v>0.5</v>
      </c>
      <c r="T1679" s="51" t="n">
        <v>40000</v>
      </c>
      <c r="U1679" s="56" t="n">
        <f aca="false">I1679*O1679</f>
        <v>3996.57907</v>
      </c>
      <c r="V1679" s="56" t="n">
        <f aca="false">J1679*O1679</f>
        <v>11989.73721</v>
      </c>
      <c r="W1679" s="56" t="n">
        <f aca="false">((I1679+J1679)/2)*O1679</f>
        <v>7993.15814</v>
      </c>
      <c r="X1679" s="56" t="n">
        <f aca="false">H1679*O1679</f>
        <v>4267.824</v>
      </c>
    </row>
    <row r="1680" customFormat="false" ht="22.35" hidden="false" customHeight="false" outlineLevel="0" collapsed="false">
      <c r="A1680" s="79" t="s">
        <v>2065</v>
      </c>
      <c r="B1680" s="7" t="s">
        <v>4189</v>
      </c>
      <c r="C1680" s="7" t="s">
        <v>1848</v>
      </c>
      <c r="D1680" s="7" t="s">
        <v>2101</v>
      </c>
      <c r="E1680" s="57" t="s">
        <v>2102</v>
      </c>
      <c r="F1680" s="7" t="s">
        <v>2097</v>
      </c>
      <c r="G1680" s="7" t="s">
        <v>2097</v>
      </c>
      <c r="H1680" s="9" t="n">
        <v>3424</v>
      </c>
      <c r="I1680" s="9" t="n">
        <v>3522.61</v>
      </c>
      <c r="J1680" s="9" t="n">
        <v>10567.84</v>
      </c>
      <c r="K1680" s="52" t="n">
        <v>45000</v>
      </c>
      <c r="L1680" s="58" t="n">
        <v>63.6</v>
      </c>
      <c r="M1680" s="59" t="n">
        <v>77.8</v>
      </c>
      <c r="N1680" s="9" t="n">
        <v>110.773998</v>
      </c>
      <c r="O1680" s="8" t="n">
        <v>1.646</v>
      </c>
      <c r="P1680" s="9" t="n">
        <v>-7143.84</v>
      </c>
      <c r="Q1680" s="7" t="s">
        <v>2103</v>
      </c>
      <c r="R1680" s="7" t="s">
        <v>2099</v>
      </c>
      <c r="S1680" s="58" t="n">
        <v>0.5</v>
      </c>
      <c r="T1680" s="9" t="n">
        <v>45000</v>
      </c>
      <c r="U1680" s="56" t="n">
        <f aca="false">I1680*O1680</f>
        <v>5798.21606</v>
      </c>
      <c r="V1680" s="56" t="n">
        <f aca="false">J1680*O1680</f>
        <v>17394.66464</v>
      </c>
      <c r="W1680" s="56" t="n">
        <f aca="false">((I1680+J1680)/2)*O1680</f>
        <v>11596.44035</v>
      </c>
      <c r="X1680" s="56" t="n">
        <f aca="false">H1680*O1680</f>
        <v>5635.904</v>
      </c>
    </row>
    <row r="1681" customFormat="false" ht="22.35" hidden="false" customHeight="false" outlineLevel="0" collapsed="false">
      <c r="A1681" s="79" t="s">
        <v>2065</v>
      </c>
      <c r="B1681" s="49" t="s">
        <v>4190</v>
      </c>
      <c r="C1681" s="49" t="s">
        <v>2473</v>
      </c>
      <c r="D1681" s="49" t="s">
        <v>2095</v>
      </c>
      <c r="E1681" s="61" t="s">
        <v>2113</v>
      </c>
      <c r="F1681" s="49" t="s">
        <v>2097</v>
      </c>
      <c r="G1681" s="49" t="s">
        <v>2097</v>
      </c>
      <c r="H1681" s="51" t="n">
        <v>4193</v>
      </c>
      <c r="I1681" s="51" t="n">
        <v>7566.93</v>
      </c>
      <c r="J1681" s="51" t="n">
        <v>15133.86</v>
      </c>
      <c r="K1681" s="52" t="n">
        <v>15200</v>
      </c>
      <c r="L1681" s="53" t="n">
        <v>48.5</v>
      </c>
      <c r="M1681" s="54" t="n">
        <v>64.5</v>
      </c>
      <c r="N1681" s="51" t="n">
        <v>156.0191</v>
      </c>
      <c r="O1681" s="55" t="n">
        <v>8.39</v>
      </c>
      <c r="P1681" s="51" t="n">
        <v>-10940.86</v>
      </c>
      <c r="Q1681" s="49" t="s">
        <v>2103</v>
      </c>
      <c r="R1681" s="49" t="s">
        <v>2099</v>
      </c>
      <c r="S1681" s="53" t="n">
        <v>1</v>
      </c>
      <c r="T1681" s="51" t="n">
        <v>400</v>
      </c>
      <c r="U1681" s="56" t="n">
        <f aca="false">I1681*O1681</f>
        <v>63486.5427</v>
      </c>
      <c r="V1681" s="56" t="n">
        <f aca="false">J1681*O1681</f>
        <v>126973.0854</v>
      </c>
      <c r="W1681" s="56" t="n">
        <f aca="false">((I1681+J1681)/2)*O1681</f>
        <v>95229.81405</v>
      </c>
      <c r="X1681" s="56" t="n">
        <f aca="false">H1681*O1681</f>
        <v>35179.27</v>
      </c>
    </row>
    <row r="1682" customFormat="false" ht="22.35" hidden="false" customHeight="false" outlineLevel="0" collapsed="false">
      <c r="A1682" s="79" t="s">
        <v>2065</v>
      </c>
      <c r="B1682" s="7" t="s">
        <v>3897</v>
      </c>
      <c r="C1682" s="7" t="s">
        <v>1619</v>
      </c>
      <c r="D1682" s="7" t="s">
        <v>2101</v>
      </c>
      <c r="E1682" s="57" t="s">
        <v>2102</v>
      </c>
      <c r="F1682" s="7" t="s">
        <v>2097</v>
      </c>
      <c r="G1682" s="7" t="s">
        <v>2097</v>
      </c>
      <c r="H1682" s="9" t="n">
        <v>2227</v>
      </c>
      <c r="I1682" s="9" t="n">
        <v>2037.64</v>
      </c>
      <c r="J1682" s="9" t="n">
        <v>6112.93</v>
      </c>
      <c r="K1682" s="52" t="n">
        <v>6172.88</v>
      </c>
      <c r="L1682" s="58" t="n">
        <v>49.6</v>
      </c>
      <c r="M1682" s="59" t="n">
        <v>66.7</v>
      </c>
      <c r="N1682" s="9" t="n">
        <v>82.16308</v>
      </c>
      <c r="O1682" s="8" t="n">
        <v>4.73</v>
      </c>
      <c r="P1682" s="9" t="n">
        <v>-3885.93</v>
      </c>
      <c r="Q1682" s="7" t="s">
        <v>2103</v>
      </c>
      <c r="R1682" s="7" t="s">
        <v>2099</v>
      </c>
      <c r="S1682" s="58" t="n">
        <v>0.5</v>
      </c>
      <c r="T1682" s="9" t="n">
        <v>440.92</v>
      </c>
      <c r="U1682" s="56" t="n">
        <f aca="false">I1682*O1682</f>
        <v>9638.0372</v>
      </c>
      <c r="V1682" s="56" t="n">
        <f aca="false">J1682*O1682</f>
        <v>28914.1589</v>
      </c>
      <c r="W1682" s="56" t="n">
        <f aca="false">((I1682+J1682)/2)*O1682</f>
        <v>19276.09805</v>
      </c>
      <c r="X1682" s="56" t="n">
        <f aca="false">H1682*O1682</f>
        <v>10533.71</v>
      </c>
    </row>
    <row r="1683" customFormat="false" ht="22.35" hidden="false" customHeight="false" outlineLevel="0" collapsed="false">
      <c r="A1683" s="79" t="s">
        <v>2065</v>
      </c>
      <c r="B1683" s="49" t="s">
        <v>3898</v>
      </c>
      <c r="C1683" s="49" t="s">
        <v>2473</v>
      </c>
      <c r="D1683" s="49" t="s">
        <v>2101</v>
      </c>
      <c r="E1683" s="57" t="s">
        <v>2102</v>
      </c>
      <c r="F1683" s="49" t="s">
        <v>2097</v>
      </c>
      <c r="G1683" s="49" t="s">
        <v>2097</v>
      </c>
      <c r="H1683" s="51" t="n">
        <v>3571</v>
      </c>
      <c r="I1683" s="51" t="n">
        <v>4307.35</v>
      </c>
      <c r="J1683" s="51" t="n">
        <v>12922.04</v>
      </c>
      <c r="K1683" s="52" t="n">
        <v>13230</v>
      </c>
      <c r="L1683" s="53" t="n">
        <v>66.2</v>
      </c>
      <c r="M1683" s="54" t="n">
        <v>50</v>
      </c>
      <c r="N1683" s="51" t="n">
        <v>130.131292</v>
      </c>
      <c r="O1683" s="55" t="n">
        <v>8.304</v>
      </c>
      <c r="P1683" s="51" t="n">
        <v>-9351.04</v>
      </c>
      <c r="Q1683" s="49" t="s">
        <v>2103</v>
      </c>
      <c r="R1683" s="49" t="s">
        <v>2099</v>
      </c>
      <c r="S1683" s="53" t="n">
        <v>0.5</v>
      </c>
      <c r="T1683" s="51" t="n">
        <v>441</v>
      </c>
      <c r="U1683" s="56" t="n">
        <f aca="false">I1683*O1683</f>
        <v>35768.2344</v>
      </c>
      <c r="V1683" s="56" t="n">
        <f aca="false">J1683*O1683</f>
        <v>107304.62016</v>
      </c>
      <c r="W1683" s="56" t="n">
        <f aca="false">((I1683+J1683)/2)*O1683</f>
        <v>71536.42728</v>
      </c>
      <c r="X1683" s="56" t="n">
        <f aca="false">H1683*O1683</f>
        <v>29653.584</v>
      </c>
    </row>
    <row r="1684" customFormat="false" ht="22.35" hidden="false" customHeight="false" outlineLevel="0" collapsed="false">
      <c r="A1684" s="79" t="s">
        <v>2065</v>
      </c>
      <c r="B1684" s="7" t="s">
        <v>4191</v>
      </c>
      <c r="C1684" s="7" t="s">
        <v>2495</v>
      </c>
      <c r="D1684" s="7" t="s">
        <v>2101</v>
      </c>
      <c r="E1684" s="57" t="s">
        <v>2102</v>
      </c>
      <c r="F1684" s="7" t="s">
        <v>2097</v>
      </c>
      <c r="G1684" s="7" t="s">
        <v>2097</v>
      </c>
      <c r="H1684" s="9" t="n">
        <v>219</v>
      </c>
      <c r="I1684" s="9" t="n">
        <v>128.43</v>
      </c>
      <c r="J1684" s="9" t="n">
        <v>385.28</v>
      </c>
      <c r="K1684" s="52" t="n">
        <v>400</v>
      </c>
      <c r="L1684" s="58" t="n">
        <v>22.2</v>
      </c>
      <c r="M1684" s="59" t="n">
        <v>25</v>
      </c>
      <c r="N1684" s="9" t="n">
        <v>11.569863</v>
      </c>
      <c r="O1684" s="8" t="n">
        <v>1.5775</v>
      </c>
      <c r="P1684" s="9" t="n">
        <v>-166.28</v>
      </c>
      <c r="Q1684" s="7" t="s">
        <v>2103</v>
      </c>
      <c r="R1684" s="7" t="s">
        <v>2099</v>
      </c>
      <c r="S1684" s="58" t="n">
        <v>0.5</v>
      </c>
      <c r="T1684" s="9" t="n">
        <v>400</v>
      </c>
      <c r="U1684" s="56" t="n">
        <f aca="false">I1684*O1684</f>
        <v>202.598325</v>
      </c>
      <c r="V1684" s="56" t="n">
        <f aca="false">J1684*O1684</f>
        <v>607.7792</v>
      </c>
      <c r="W1684" s="56" t="n">
        <f aca="false">((I1684+J1684)/2)*O1684</f>
        <v>405.1887625</v>
      </c>
      <c r="X1684" s="56" t="n">
        <f aca="false">H1684*O1684</f>
        <v>345.4725</v>
      </c>
    </row>
    <row r="1685" customFormat="false" ht="22.35" hidden="false" customHeight="false" outlineLevel="0" collapsed="false">
      <c r="A1685" s="79" t="s">
        <v>2065</v>
      </c>
      <c r="B1685" s="49" t="s">
        <v>3899</v>
      </c>
      <c r="C1685" s="49" t="s">
        <v>1992</v>
      </c>
      <c r="D1685" s="49" t="s">
        <v>2101</v>
      </c>
      <c r="E1685" s="57" t="s">
        <v>2102</v>
      </c>
      <c r="F1685" s="49" t="s">
        <v>2097</v>
      </c>
      <c r="G1685" s="49" t="s">
        <v>2097</v>
      </c>
      <c r="H1685" s="51" t="n">
        <v>474</v>
      </c>
      <c r="I1685" s="51" t="n">
        <v>390.02</v>
      </c>
      <c r="J1685" s="51" t="n">
        <v>1170.07</v>
      </c>
      <c r="K1685" s="52" t="n">
        <v>1200</v>
      </c>
      <c r="L1685" s="53" t="n">
        <v>49.1</v>
      </c>
      <c r="M1685" s="54" t="n">
        <v>70.5</v>
      </c>
      <c r="N1685" s="51" t="n">
        <v>15.886904</v>
      </c>
      <c r="O1685" s="55" t="n">
        <v>4.17</v>
      </c>
      <c r="P1685" s="51" t="n">
        <v>-696.07</v>
      </c>
      <c r="Q1685" s="49" t="s">
        <v>2103</v>
      </c>
      <c r="R1685" s="49" t="s">
        <v>2099</v>
      </c>
      <c r="S1685" s="53" t="n">
        <v>0.5</v>
      </c>
      <c r="T1685" s="51" t="n">
        <v>400</v>
      </c>
      <c r="U1685" s="56" t="n">
        <f aca="false">I1685*O1685</f>
        <v>1626.3834</v>
      </c>
      <c r="V1685" s="56" t="n">
        <f aca="false">J1685*O1685</f>
        <v>4879.1919</v>
      </c>
      <c r="W1685" s="56" t="n">
        <f aca="false">((I1685+J1685)/2)*O1685</f>
        <v>3252.78765</v>
      </c>
      <c r="X1685" s="56" t="n">
        <f aca="false">H1685*O1685</f>
        <v>1976.58</v>
      </c>
    </row>
    <row r="1686" customFormat="false" ht="22.35" hidden="false" customHeight="false" outlineLevel="0" collapsed="false">
      <c r="A1686" s="79" t="s">
        <v>2065</v>
      </c>
      <c r="B1686" s="4" t="s">
        <v>4192</v>
      </c>
      <c r="C1686" s="4" t="s">
        <v>2473</v>
      </c>
      <c r="D1686" s="4" t="s">
        <v>2101</v>
      </c>
      <c r="E1686" s="70" t="s">
        <v>2193</v>
      </c>
      <c r="F1686" s="4" t="s">
        <v>2097</v>
      </c>
      <c r="G1686" s="71" t="s">
        <v>2194</v>
      </c>
      <c r="H1686" s="6" t="n">
        <v>150</v>
      </c>
      <c r="I1686" s="6" t="n">
        <v>0</v>
      </c>
      <c r="J1686" s="6" t="n">
        <v>0</v>
      </c>
      <c r="K1686" s="52" t="n">
        <v>0</v>
      </c>
      <c r="L1686" s="72" t="n">
        <v>19</v>
      </c>
      <c r="M1686" s="73" t="n">
        <v>75</v>
      </c>
      <c r="N1686" s="6" t="n">
        <v>2.826999</v>
      </c>
      <c r="O1686" s="5" t="n">
        <v>6.24</v>
      </c>
      <c r="P1686" s="6" t="n">
        <v>150</v>
      </c>
      <c r="Q1686" s="4" t="s">
        <v>2098</v>
      </c>
      <c r="R1686" s="4" t="s">
        <v>2195</v>
      </c>
      <c r="S1686" s="72" t="n">
        <v>0</v>
      </c>
      <c r="T1686" s="6" t="n">
        <v>400</v>
      </c>
      <c r="U1686" s="56" t="n">
        <f aca="false">I1686*O1686</f>
        <v>0</v>
      </c>
      <c r="V1686" s="56" t="n">
        <f aca="false">J1686*O1686</f>
        <v>0</v>
      </c>
      <c r="W1686" s="56" t="n">
        <f aca="false">((I1686+J1686)/2)*O1686</f>
        <v>0</v>
      </c>
      <c r="X1686" s="56" t="n">
        <f aca="false">H1686*O1686</f>
        <v>936</v>
      </c>
    </row>
    <row r="1687" customFormat="false" ht="22.35" hidden="false" customHeight="false" outlineLevel="0" collapsed="false">
      <c r="A1687" s="79" t="s">
        <v>2065</v>
      </c>
      <c r="B1687" s="49" t="s">
        <v>3903</v>
      </c>
      <c r="C1687" s="49" t="s">
        <v>2473</v>
      </c>
      <c r="D1687" s="49" t="s">
        <v>2095</v>
      </c>
      <c r="E1687" s="61" t="s">
        <v>2113</v>
      </c>
      <c r="F1687" s="49" t="s">
        <v>2097</v>
      </c>
      <c r="G1687" s="49" t="s">
        <v>2097</v>
      </c>
      <c r="H1687" s="51" t="n">
        <v>14048</v>
      </c>
      <c r="I1687" s="51" t="n">
        <v>32968.11</v>
      </c>
      <c r="J1687" s="51" t="n">
        <v>65936.22</v>
      </c>
      <c r="K1687" s="52" t="n">
        <v>66000</v>
      </c>
      <c r="L1687" s="53" t="n">
        <v>42.9</v>
      </c>
      <c r="M1687" s="54" t="n">
        <v>80.6</v>
      </c>
      <c r="N1687" s="51" t="n">
        <v>768.487378</v>
      </c>
      <c r="O1687" s="55" t="n">
        <v>1.45</v>
      </c>
      <c r="P1687" s="51" t="n">
        <v>-51888.22</v>
      </c>
      <c r="Q1687" s="49" t="s">
        <v>2103</v>
      </c>
      <c r="R1687" s="49" t="s">
        <v>2099</v>
      </c>
      <c r="S1687" s="53" t="n">
        <v>1</v>
      </c>
      <c r="T1687" s="51" t="n">
        <v>500</v>
      </c>
      <c r="U1687" s="56" t="n">
        <f aca="false">I1687*O1687</f>
        <v>47803.7595</v>
      </c>
      <c r="V1687" s="56" t="n">
        <f aca="false">J1687*O1687</f>
        <v>95607.519</v>
      </c>
      <c r="W1687" s="56" t="n">
        <f aca="false">((I1687+J1687)/2)*O1687</f>
        <v>71705.63925</v>
      </c>
      <c r="X1687" s="56" t="n">
        <f aca="false">H1687*O1687</f>
        <v>20369.6</v>
      </c>
    </row>
    <row r="1688" customFormat="false" ht="22.35" hidden="false" customHeight="false" outlineLevel="0" collapsed="false">
      <c r="A1688" s="79" t="s">
        <v>2065</v>
      </c>
      <c r="B1688" s="7" t="s">
        <v>2462</v>
      </c>
      <c r="C1688" s="7" t="s">
        <v>2463</v>
      </c>
      <c r="D1688" s="7" t="s">
        <v>2095</v>
      </c>
      <c r="E1688" s="61" t="s">
        <v>2113</v>
      </c>
      <c r="F1688" s="7" t="s">
        <v>2097</v>
      </c>
      <c r="G1688" s="7" t="s">
        <v>2097</v>
      </c>
      <c r="H1688" s="9" t="n">
        <v>150</v>
      </c>
      <c r="I1688" s="9" t="n">
        <v>214.58</v>
      </c>
      <c r="J1688" s="9" t="n">
        <v>429.16</v>
      </c>
      <c r="K1688" s="52" t="n">
        <v>440.925</v>
      </c>
      <c r="L1688" s="58" t="n">
        <v>32.4</v>
      </c>
      <c r="M1688" s="59" t="n">
        <v>53.6</v>
      </c>
      <c r="N1688" s="9" t="n">
        <v>6.622918</v>
      </c>
      <c r="O1688" s="8" t="n">
        <v>3.621</v>
      </c>
      <c r="P1688" s="9" t="n">
        <v>-279.16</v>
      </c>
      <c r="Q1688" s="7" t="s">
        <v>2103</v>
      </c>
      <c r="R1688" s="7" t="s">
        <v>2099</v>
      </c>
      <c r="S1688" s="58" t="n">
        <v>1</v>
      </c>
      <c r="T1688" s="9" t="n">
        <v>440.925</v>
      </c>
      <c r="U1688" s="56" t="n">
        <f aca="false">I1688*O1688</f>
        <v>776.99418</v>
      </c>
      <c r="V1688" s="56" t="n">
        <f aca="false">J1688*O1688</f>
        <v>1553.98836</v>
      </c>
      <c r="W1688" s="56" t="n">
        <f aca="false">((I1688+J1688)/2)*O1688</f>
        <v>1165.49127</v>
      </c>
      <c r="X1688" s="56" t="n">
        <f aca="false">H1688*O1688</f>
        <v>543.15</v>
      </c>
    </row>
    <row r="1689" customFormat="false" ht="22.35" hidden="false" customHeight="false" outlineLevel="0" collapsed="false">
      <c r="A1689" s="79" t="s">
        <v>2065</v>
      </c>
      <c r="B1689" s="49" t="s">
        <v>2464</v>
      </c>
      <c r="C1689" s="49" t="s">
        <v>1904</v>
      </c>
      <c r="D1689" s="49" t="s">
        <v>2095</v>
      </c>
      <c r="E1689" s="61" t="s">
        <v>2113</v>
      </c>
      <c r="F1689" s="49" t="s">
        <v>2097</v>
      </c>
      <c r="G1689" s="49" t="s">
        <v>2097</v>
      </c>
      <c r="H1689" s="51" t="n">
        <v>150</v>
      </c>
      <c r="I1689" s="51" t="n">
        <v>102.26</v>
      </c>
      <c r="J1689" s="51" t="n">
        <v>204.52</v>
      </c>
      <c r="K1689" s="52" t="n">
        <v>427</v>
      </c>
      <c r="L1689" s="53" t="n">
        <v>52</v>
      </c>
      <c r="M1689" s="54" t="n">
        <v>72.3</v>
      </c>
      <c r="N1689" s="51" t="n">
        <v>1.966562</v>
      </c>
      <c r="O1689" s="55" t="n">
        <v>2.4784</v>
      </c>
      <c r="P1689" s="51" t="n">
        <v>-54.52</v>
      </c>
      <c r="Q1689" s="49" t="s">
        <v>2103</v>
      </c>
      <c r="R1689" s="49" t="s">
        <v>2099</v>
      </c>
      <c r="S1689" s="53" t="n">
        <v>1</v>
      </c>
      <c r="T1689" s="51" t="n">
        <v>427</v>
      </c>
      <c r="U1689" s="56" t="n">
        <f aca="false">I1689*O1689</f>
        <v>253.441184</v>
      </c>
      <c r="V1689" s="56" t="n">
        <f aca="false">J1689*O1689</f>
        <v>506.882368</v>
      </c>
      <c r="W1689" s="56" t="n">
        <f aca="false">((I1689+J1689)/2)*O1689</f>
        <v>380.161776</v>
      </c>
      <c r="X1689" s="56" t="n">
        <f aca="false">H1689*O1689</f>
        <v>371.76</v>
      </c>
    </row>
    <row r="1690" customFormat="false" ht="15" hidden="false" customHeight="false" outlineLevel="0" collapsed="false">
      <c r="A1690" s="79" t="s">
        <v>2065</v>
      </c>
      <c r="B1690" s="7" t="s">
        <v>3910</v>
      </c>
      <c r="C1690" s="7" t="s">
        <v>3911</v>
      </c>
      <c r="D1690" s="7" t="s">
        <v>2101</v>
      </c>
      <c r="E1690" s="50" t="s">
        <v>2096</v>
      </c>
      <c r="F1690" s="7" t="s">
        <v>2097</v>
      </c>
      <c r="G1690" s="7" t="s">
        <v>2097</v>
      </c>
      <c r="H1690" s="9" t="n">
        <v>150</v>
      </c>
      <c r="I1690" s="9" t="n">
        <v>13.67</v>
      </c>
      <c r="J1690" s="9" t="n">
        <v>41</v>
      </c>
      <c r="K1690" s="52" t="n">
        <v>390</v>
      </c>
      <c r="L1690" s="58" t="n">
        <v>18.2</v>
      </c>
      <c r="M1690" s="59" t="n">
        <v>77.8</v>
      </c>
      <c r="N1690" s="9" t="n">
        <v>1.501822</v>
      </c>
      <c r="O1690" s="8" t="n">
        <v>1.841</v>
      </c>
      <c r="P1690" s="9" t="n">
        <v>109</v>
      </c>
      <c r="Q1690" s="7" t="s">
        <v>2098</v>
      </c>
      <c r="R1690" s="7" t="s">
        <v>2099</v>
      </c>
      <c r="S1690" s="58" t="n">
        <v>0.5</v>
      </c>
      <c r="T1690" s="9" t="n">
        <v>390</v>
      </c>
      <c r="U1690" s="56" t="n">
        <f aca="false">I1690*O1690</f>
        <v>25.16647</v>
      </c>
      <c r="V1690" s="56" t="n">
        <f aca="false">J1690*O1690</f>
        <v>75.481</v>
      </c>
      <c r="W1690" s="56" t="n">
        <f aca="false">((I1690+J1690)/2)*O1690</f>
        <v>50.323735</v>
      </c>
      <c r="X1690" s="56" t="n">
        <f aca="false">H1690*O1690</f>
        <v>276.15</v>
      </c>
    </row>
    <row r="1691" customFormat="false" ht="22.35" hidden="false" customHeight="false" outlineLevel="0" collapsed="false">
      <c r="A1691" s="79" t="s">
        <v>2065</v>
      </c>
      <c r="B1691" s="49" t="s">
        <v>2467</v>
      </c>
      <c r="C1691" s="49" t="s">
        <v>2468</v>
      </c>
      <c r="D1691" s="49" t="s">
        <v>2095</v>
      </c>
      <c r="E1691" s="61" t="s">
        <v>2113</v>
      </c>
      <c r="F1691" s="49" t="s">
        <v>2097</v>
      </c>
      <c r="G1691" s="49" t="s">
        <v>2097</v>
      </c>
      <c r="H1691" s="51" t="n">
        <v>772</v>
      </c>
      <c r="I1691" s="51" t="n">
        <v>415.92</v>
      </c>
      <c r="J1691" s="51" t="n">
        <v>831.84</v>
      </c>
      <c r="K1691" s="52" t="n">
        <v>1000</v>
      </c>
      <c r="L1691" s="53" t="n">
        <v>26.5</v>
      </c>
      <c r="M1691" s="54" t="n">
        <v>84.1</v>
      </c>
      <c r="N1691" s="51" t="n">
        <v>15.694959</v>
      </c>
      <c r="O1691" s="55" t="n">
        <v>1.887</v>
      </c>
      <c r="P1691" s="51" t="n">
        <v>-59.84</v>
      </c>
      <c r="Q1691" s="49" t="s">
        <v>2103</v>
      </c>
      <c r="R1691" s="49" t="s">
        <v>2099</v>
      </c>
      <c r="S1691" s="53" t="n">
        <v>1</v>
      </c>
      <c r="T1691" s="51" t="n">
        <v>500</v>
      </c>
      <c r="U1691" s="56" t="n">
        <f aca="false">I1691*O1691</f>
        <v>784.84104</v>
      </c>
      <c r="V1691" s="56" t="n">
        <f aca="false">J1691*O1691</f>
        <v>1569.68208</v>
      </c>
      <c r="W1691" s="56" t="n">
        <f aca="false">((I1691+J1691)/2)*O1691</f>
        <v>1177.26156</v>
      </c>
      <c r="X1691" s="56" t="n">
        <f aca="false">H1691*O1691</f>
        <v>1456.764</v>
      </c>
    </row>
    <row r="1692" customFormat="false" ht="22.35" hidden="false" customHeight="false" outlineLevel="0" collapsed="false">
      <c r="A1692" s="79" t="s">
        <v>2065</v>
      </c>
      <c r="B1692" s="7" t="s">
        <v>2470</v>
      </c>
      <c r="C1692" s="7" t="s">
        <v>2471</v>
      </c>
      <c r="D1692" s="7" t="s">
        <v>2109</v>
      </c>
      <c r="E1692" s="60" t="s">
        <v>2110</v>
      </c>
      <c r="F1692" s="7" t="s">
        <v>2097</v>
      </c>
      <c r="G1692" s="7" t="s">
        <v>2097</v>
      </c>
      <c r="H1692" s="9" t="n">
        <v>8760</v>
      </c>
      <c r="I1692" s="9" t="n">
        <v>14492.77</v>
      </c>
      <c r="J1692" s="9" t="n">
        <v>24154.62</v>
      </c>
      <c r="K1692" s="52" t="n">
        <v>24500</v>
      </c>
      <c r="L1692" s="58" t="n">
        <v>30.5</v>
      </c>
      <c r="M1692" s="59" t="n">
        <v>52.9</v>
      </c>
      <c r="N1692" s="9" t="n">
        <v>316.781819</v>
      </c>
      <c r="O1692" s="8" t="n">
        <v>2.7883</v>
      </c>
      <c r="P1692" s="9" t="n">
        <v>-15394.62</v>
      </c>
      <c r="Q1692" s="7" t="s">
        <v>2103</v>
      </c>
      <c r="R1692" s="7" t="s">
        <v>2099</v>
      </c>
      <c r="S1692" s="58" t="n">
        <v>1.5</v>
      </c>
      <c r="T1692" s="9" t="n">
        <v>500</v>
      </c>
      <c r="U1692" s="56" t="n">
        <f aca="false">I1692*O1692</f>
        <v>40410.190591</v>
      </c>
      <c r="V1692" s="56" t="n">
        <f aca="false">J1692*O1692</f>
        <v>67350.326946</v>
      </c>
      <c r="W1692" s="56" t="n">
        <f aca="false">((I1692+J1692)/2)*O1692</f>
        <v>53880.2587685</v>
      </c>
      <c r="X1692" s="56" t="n">
        <f aca="false">H1692*O1692</f>
        <v>24425.508</v>
      </c>
    </row>
    <row r="1693" customFormat="false" ht="15" hidden="false" customHeight="false" outlineLevel="0" collapsed="false">
      <c r="A1693" s="79" t="s">
        <v>2065</v>
      </c>
      <c r="B1693" s="49" t="s">
        <v>4193</v>
      </c>
      <c r="C1693" s="49" t="s">
        <v>1820</v>
      </c>
      <c r="D1693" s="49" t="s">
        <v>2101</v>
      </c>
      <c r="E1693" s="50" t="s">
        <v>2096</v>
      </c>
      <c r="F1693" s="49" t="s">
        <v>2097</v>
      </c>
      <c r="G1693" s="49" t="s">
        <v>2097</v>
      </c>
      <c r="H1693" s="51" t="n">
        <v>150</v>
      </c>
      <c r="I1693" s="51" t="n">
        <v>36.96</v>
      </c>
      <c r="J1693" s="51" t="n">
        <v>110.88</v>
      </c>
      <c r="K1693" s="52" t="n">
        <v>400</v>
      </c>
      <c r="L1693" s="53" t="n">
        <v>31.1</v>
      </c>
      <c r="M1693" s="54" t="n">
        <v>92.9</v>
      </c>
      <c r="N1693" s="51" t="n">
        <v>2.376855</v>
      </c>
      <c r="O1693" s="55" t="n">
        <v>3.074</v>
      </c>
      <c r="P1693" s="51" t="n">
        <v>39.12</v>
      </c>
      <c r="Q1693" s="49" t="s">
        <v>2098</v>
      </c>
      <c r="R1693" s="49" t="s">
        <v>2099</v>
      </c>
      <c r="S1693" s="53" t="n">
        <v>0.5</v>
      </c>
      <c r="T1693" s="51" t="n">
        <v>400</v>
      </c>
      <c r="U1693" s="56" t="n">
        <f aca="false">I1693*O1693</f>
        <v>113.61504</v>
      </c>
      <c r="V1693" s="56" t="n">
        <f aca="false">J1693*O1693</f>
        <v>340.84512</v>
      </c>
      <c r="W1693" s="56" t="n">
        <f aca="false">((I1693+J1693)/2)*O1693</f>
        <v>227.23008</v>
      </c>
      <c r="X1693" s="56" t="n">
        <f aca="false">H1693*O1693</f>
        <v>461.1</v>
      </c>
    </row>
    <row r="1694" customFormat="false" ht="32.8" hidden="false" customHeight="false" outlineLevel="0" collapsed="false">
      <c r="A1694" s="79" t="s">
        <v>2065</v>
      </c>
      <c r="B1694" s="62" t="s">
        <v>3917</v>
      </c>
      <c r="C1694" s="62" t="s">
        <v>3918</v>
      </c>
      <c r="D1694" s="62" t="s">
        <v>2101</v>
      </c>
      <c r="E1694" s="78" t="s">
        <v>3474</v>
      </c>
      <c r="F1694" s="64" t="s">
        <v>2170</v>
      </c>
      <c r="G1694" s="62" t="s">
        <v>2097</v>
      </c>
      <c r="H1694" s="65" t="n">
        <v>150</v>
      </c>
      <c r="I1694" s="65" t="n">
        <v>128.32</v>
      </c>
      <c r="J1694" s="65" t="n">
        <v>384.95</v>
      </c>
      <c r="K1694" s="66" t="n">
        <v>430</v>
      </c>
      <c r="L1694" s="67" t="n">
        <v>19.7</v>
      </c>
      <c r="M1694" s="68" t="n">
        <v>90.9</v>
      </c>
      <c r="N1694" s="65" t="n">
        <v>6.383932</v>
      </c>
      <c r="O1694" s="69" t="n">
        <v>1.761</v>
      </c>
      <c r="P1694" s="65" t="n">
        <v>-234.95</v>
      </c>
      <c r="Q1694" s="62" t="s">
        <v>2103</v>
      </c>
      <c r="R1694" s="62" t="s">
        <v>3919</v>
      </c>
      <c r="S1694" s="67" t="n">
        <v>0.5</v>
      </c>
      <c r="T1694" s="65" t="n">
        <v>430</v>
      </c>
      <c r="U1694" s="56" t="n">
        <f aca="false">I1694*O1694</f>
        <v>225.97152</v>
      </c>
      <c r="V1694" s="56" t="n">
        <f aca="false">J1694*O1694</f>
        <v>677.89695</v>
      </c>
      <c r="W1694" s="56" t="n">
        <f aca="false">((I1694+J1694)/2)*O1694</f>
        <v>451.934235</v>
      </c>
      <c r="X1694" s="56" t="n">
        <f aca="false">H1694*O1694</f>
        <v>264.15</v>
      </c>
    </row>
    <row r="1695" customFormat="false" ht="22.35" hidden="false" customHeight="false" outlineLevel="0" collapsed="false">
      <c r="A1695" s="79" t="s">
        <v>2065</v>
      </c>
      <c r="B1695" s="49" t="s">
        <v>2479</v>
      </c>
      <c r="C1695" s="49" t="s">
        <v>1904</v>
      </c>
      <c r="D1695" s="49" t="s">
        <v>2095</v>
      </c>
      <c r="E1695" s="61" t="s">
        <v>2113</v>
      </c>
      <c r="F1695" s="49" t="s">
        <v>2097</v>
      </c>
      <c r="G1695" s="49" t="s">
        <v>2097</v>
      </c>
      <c r="H1695" s="51" t="n">
        <v>521</v>
      </c>
      <c r="I1695" s="51" t="n">
        <v>377.2</v>
      </c>
      <c r="J1695" s="51" t="n">
        <v>754.4</v>
      </c>
      <c r="K1695" s="52" t="n">
        <v>1960</v>
      </c>
      <c r="L1695" s="53" t="n">
        <v>52.9</v>
      </c>
      <c r="M1695" s="54" t="n">
        <v>76.5</v>
      </c>
      <c r="N1695" s="51" t="n">
        <v>7.130359</v>
      </c>
      <c r="O1695" s="55" t="n">
        <v>5.15</v>
      </c>
      <c r="P1695" s="51" t="n">
        <v>-233.4</v>
      </c>
      <c r="Q1695" s="49" t="s">
        <v>2103</v>
      </c>
      <c r="R1695" s="49" t="s">
        <v>2099</v>
      </c>
      <c r="S1695" s="53" t="n">
        <v>1</v>
      </c>
      <c r="T1695" s="51" t="n">
        <v>1960</v>
      </c>
      <c r="U1695" s="56" t="n">
        <f aca="false">I1695*O1695</f>
        <v>1942.58</v>
      </c>
      <c r="V1695" s="56" t="n">
        <f aca="false">J1695*O1695</f>
        <v>3885.16</v>
      </c>
      <c r="W1695" s="56" t="n">
        <f aca="false">((I1695+J1695)/2)*O1695</f>
        <v>2913.87</v>
      </c>
      <c r="X1695" s="56" t="n">
        <f aca="false">H1695*O1695</f>
        <v>2683.15</v>
      </c>
    </row>
    <row r="1696" customFormat="false" ht="22.35" hidden="false" customHeight="false" outlineLevel="0" collapsed="false">
      <c r="A1696" s="79" t="s">
        <v>2065</v>
      </c>
      <c r="B1696" s="7" t="s">
        <v>4194</v>
      </c>
      <c r="C1696" s="7" t="s">
        <v>1807</v>
      </c>
      <c r="D1696" s="7" t="s">
        <v>2095</v>
      </c>
      <c r="E1696" s="61" t="s">
        <v>2113</v>
      </c>
      <c r="F1696" s="7" t="s">
        <v>2097</v>
      </c>
      <c r="G1696" s="7" t="s">
        <v>2097</v>
      </c>
      <c r="H1696" s="9" t="n">
        <v>12147</v>
      </c>
      <c r="I1696" s="9" t="n">
        <v>13448.68</v>
      </c>
      <c r="J1696" s="9" t="n">
        <v>26897.36</v>
      </c>
      <c r="K1696" s="52" t="n">
        <v>27200</v>
      </c>
      <c r="L1696" s="58" t="n">
        <v>36.3</v>
      </c>
      <c r="M1696" s="59" t="n">
        <v>58.3</v>
      </c>
      <c r="N1696" s="9" t="n">
        <v>370.486928</v>
      </c>
      <c r="O1696" s="8" t="n">
        <v>1.61</v>
      </c>
      <c r="P1696" s="9" t="n">
        <v>-14750.36</v>
      </c>
      <c r="Q1696" s="7" t="s">
        <v>2103</v>
      </c>
      <c r="R1696" s="7" t="s">
        <v>2099</v>
      </c>
      <c r="S1696" s="58" t="n">
        <v>1</v>
      </c>
      <c r="T1696" s="9" t="n">
        <v>400</v>
      </c>
      <c r="U1696" s="56" t="n">
        <f aca="false">I1696*O1696</f>
        <v>21652.3748</v>
      </c>
      <c r="V1696" s="56" t="n">
        <f aca="false">J1696*O1696</f>
        <v>43304.7496</v>
      </c>
      <c r="W1696" s="56" t="n">
        <f aca="false">((I1696+J1696)/2)*O1696</f>
        <v>32478.5622</v>
      </c>
      <c r="X1696" s="56" t="n">
        <f aca="false">H1696*O1696</f>
        <v>19556.67</v>
      </c>
    </row>
    <row r="1697" customFormat="false" ht="22.35" hidden="false" customHeight="false" outlineLevel="0" collapsed="false">
      <c r="A1697" s="79" t="s">
        <v>2065</v>
      </c>
      <c r="B1697" s="49" t="s">
        <v>2480</v>
      </c>
      <c r="C1697" s="49" t="s">
        <v>2476</v>
      </c>
      <c r="D1697" s="49" t="s">
        <v>2109</v>
      </c>
      <c r="E1697" s="60" t="s">
        <v>2110</v>
      </c>
      <c r="F1697" s="49" t="s">
        <v>2097</v>
      </c>
      <c r="G1697" s="49" t="s">
        <v>2097</v>
      </c>
      <c r="H1697" s="51" t="n">
        <v>1446</v>
      </c>
      <c r="I1697" s="51" t="n">
        <v>2988.81</v>
      </c>
      <c r="J1697" s="51" t="n">
        <v>4981.35</v>
      </c>
      <c r="K1697" s="52" t="n">
        <v>7200</v>
      </c>
      <c r="L1697" s="53" t="n">
        <v>33.2</v>
      </c>
      <c r="M1697" s="54" t="n">
        <v>73.3</v>
      </c>
      <c r="N1697" s="51" t="n">
        <v>60.016334</v>
      </c>
      <c r="O1697" s="55" t="n">
        <v>1.55</v>
      </c>
      <c r="P1697" s="51" t="n">
        <v>-3535.35</v>
      </c>
      <c r="Q1697" s="49" t="s">
        <v>2103</v>
      </c>
      <c r="R1697" s="49" t="s">
        <v>2099</v>
      </c>
      <c r="S1697" s="53" t="n">
        <v>1.5</v>
      </c>
      <c r="T1697" s="51" t="n">
        <v>7200</v>
      </c>
      <c r="U1697" s="56" t="n">
        <f aca="false">I1697*O1697</f>
        <v>4632.6555</v>
      </c>
      <c r="V1697" s="56" t="n">
        <f aca="false">J1697*O1697</f>
        <v>7721.0925</v>
      </c>
      <c r="W1697" s="56" t="n">
        <f aca="false">((I1697+J1697)/2)*O1697</f>
        <v>6176.874</v>
      </c>
      <c r="X1697" s="56" t="n">
        <f aca="false">H1697*O1697</f>
        <v>2241.3</v>
      </c>
    </row>
    <row r="1698" customFormat="false" ht="22.35" hidden="false" customHeight="false" outlineLevel="0" collapsed="false">
      <c r="A1698" s="79" t="s">
        <v>2065</v>
      </c>
      <c r="B1698" s="7" t="s">
        <v>2482</v>
      </c>
      <c r="C1698" s="7" t="s">
        <v>2473</v>
      </c>
      <c r="D1698" s="7" t="s">
        <v>2109</v>
      </c>
      <c r="E1698" s="60" t="s">
        <v>2110</v>
      </c>
      <c r="F1698" s="7" t="s">
        <v>2097</v>
      </c>
      <c r="G1698" s="7" t="s">
        <v>2097</v>
      </c>
      <c r="H1698" s="9" t="n">
        <v>1024</v>
      </c>
      <c r="I1698" s="9" t="n">
        <v>1606.56</v>
      </c>
      <c r="J1698" s="9" t="n">
        <v>2677.6</v>
      </c>
      <c r="K1698" s="52" t="n">
        <v>3880</v>
      </c>
      <c r="L1698" s="58" t="n">
        <v>29.9</v>
      </c>
      <c r="M1698" s="59" t="n">
        <v>87.9</v>
      </c>
      <c r="N1698" s="9" t="n">
        <v>35.820716</v>
      </c>
      <c r="O1698" s="8" t="n">
        <v>1.651</v>
      </c>
      <c r="P1698" s="9" t="n">
        <v>-1653.6</v>
      </c>
      <c r="Q1698" s="7" t="s">
        <v>2103</v>
      </c>
      <c r="R1698" s="7" t="s">
        <v>2099</v>
      </c>
      <c r="S1698" s="58" t="n">
        <v>1.5</v>
      </c>
      <c r="T1698" s="9" t="n">
        <v>1940</v>
      </c>
      <c r="U1698" s="56" t="n">
        <f aca="false">I1698*O1698</f>
        <v>2652.43056</v>
      </c>
      <c r="V1698" s="56" t="n">
        <f aca="false">J1698*O1698</f>
        <v>4420.7176</v>
      </c>
      <c r="W1698" s="56" t="n">
        <f aca="false">((I1698+J1698)/2)*O1698</f>
        <v>3536.57408</v>
      </c>
      <c r="X1698" s="56" t="n">
        <f aca="false">H1698*O1698</f>
        <v>1690.624</v>
      </c>
    </row>
    <row r="1699" customFormat="false" ht="22.35" hidden="false" customHeight="false" outlineLevel="0" collapsed="false">
      <c r="A1699" s="79" t="s">
        <v>2065</v>
      </c>
      <c r="B1699" s="49" t="s">
        <v>3922</v>
      </c>
      <c r="C1699" s="49" t="s">
        <v>3923</v>
      </c>
      <c r="D1699" s="49" t="s">
        <v>2095</v>
      </c>
      <c r="E1699" s="61" t="s">
        <v>2113</v>
      </c>
      <c r="F1699" s="49" t="s">
        <v>2097</v>
      </c>
      <c r="G1699" s="49" t="s">
        <v>2097</v>
      </c>
      <c r="H1699" s="51" t="n">
        <v>357</v>
      </c>
      <c r="I1699" s="51" t="n">
        <v>920.88</v>
      </c>
      <c r="J1699" s="51" t="n">
        <v>1841.76</v>
      </c>
      <c r="K1699" s="52" t="n">
        <v>2000</v>
      </c>
      <c r="L1699" s="53" t="n">
        <v>16</v>
      </c>
      <c r="M1699" s="54" t="n">
        <v>87.3</v>
      </c>
      <c r="N1699" s="51" t="n">
        <v>57.555058</v>
      </c>
      <c r="O1699" s="55" t="n">
        <v>1.0833</v>
      </c>
      <c r="P1699" s="51" t="n">
        <v>-1484.76</v>
      </c>
      <c r="Q1699" s="49" t="s">
        <v>2103</v>
      </c>
      <c r="R1699" s="49" t="s">
        <v>2099</v>
      </c>
      <c r="S1699" s="53" t="n">
        <v>1</v>
      </c>
      <c r="T1699" s="51" t="n">
        <v>500</v>
      </c>
      <c r="U1699" s="56" t="n">
        <f aca="false">I1699*O1699</f>
        <v>997.589304</v>
      </c>
      <c r="V1699" s="56" t="n">
        <f aca="false">J1699*O1699</f>
        <v>1995.178608</v>
      </c>
      <c r="W1699" s="56" t="n">
        <f aca="false">((I1699+J1699)/2)*O1699</f>
        <v>1496.383956</v>
      </c>
      <c r="X1699" s="56" t="n">
        <f aca="false">H1699*O1699</f>
        <v>386.7381</v>
      </c>
    </row>
    <row r="1700" customFormat="false" ht="22.35" hidden="false" customHeight="false" outlineLevel="0" collapsed="false">
      <c r="A1700" s="79" t="s">
        <v>2065</v>
      </c>
      <c r="B1700" s="7" t="s">
        <v>4195</v>
      </c>
      <c r="C1700" s="7" t="s">
        <v>2473</v>
      </c>
      <c r="D1700" s="7" t="s">
        <v>2095</v>
      </c>
      <c r="E1700" s="61" t="s">
        <v>2113</v>
      </c>
      <c r="F1700" s="7" t="s">
        <v>2097</v>
      </c>
      <c r="G1700" s="7" t="s">
        <v>2097</v>
      </c>
      <c r="H1700" s="9" t="n">
        <v>5054</v>
      </c>
      <c r="I1700" s="9" t="n">
        <v>17847.73</v>
      </c>
      <c r="J1700" s="9" t="n">
        <v>35695.46</v>
      </c>
      <c r="K1700" s="52" t="n">
        <v>36000</v>
      </c>
      <c r="L1700" s="58" t="n">
        <v>58.1</v>
      </c>
      <c r="M1700" s="59" t="n">
        <v>59.1</v>
      </c>
      <c r="N1700" s="9" t="n">
        <v>307.189777</v>
      </c>
      <c r="O1700" s="8" t="n">
        <v>3.8</v>
      </c>
      <c r="P1700" s="9" t="n">
        <v>-30641.46</v>
      </c>
      <c r="Q1700" s="7" t="s">
        <v>2103</v>
      </c>
      <c r="R1700" s="7" t="s">
        <v>2099</v>
      </c>
      <c r="S1700" s="58" t="n">
        <v>1</v>
      </c>
      <c r="T1700" s="9" t="n">
        <v>400</v>
      </c>
      <c r="U1700" s="56" t="n">
        <f aca="false">I1700*O1700</f>
        <v>67821.374</v>
      </c>
      <c r="V1700" s="56" t="n">
        <f aca="false">J1700*O1700</f>
        <v>135642.748</v>
      </c>
      <c r="W1700" s="56" t="n">
        <f aca="false">((I1700+J1700)/2)*O1700</f>
        <v>101732.061</v>
      </c>
      <c r="X1700" s="56" t="n">
        <f aca="false">H1700*O1700</f>
        <v>19205.2</v>
      </c>
    </row>
    <row r="1701" customFormat="false" ht="22.35" hidden="false" customHeight="false" outlineLevel="0" collapsed="false">
      <c r="A1701" s="79" t="s">
        <v>2065</v>
      </c>
      <c r="B1701" s="62" t="s">
        <v>4196</v>
      </c>
      <c r="C1701" s="62" t="s">
        <v>4197</v>
      </c>
      <c r="D1701" s="62" t="s">
        <v>2101</v>
      </c>
      <c r="E1701" s="63" t="s">
        <v>2169</v>
      </c>
      <c r="F1701" s="64" t="s">
        <v>2170</v>
      </c>
      <c r="G1701" s="62" t="s">
        <v>2097</v>
      </c>
      <c r="H1701" s="65" t="n">
        <v>695</v>
      </c>
      <c r="I1701" s="65" t="n">
        <v>220.96</v>
      </c>
      <c r="J1701" s="65" t="n">
        <v>662.87</v>
      </c>
      <c r="K1701" s="66" t="n">
        <v>900</v>
      </c>
      <c r="L1701" s="67" t="n">
        <v>12</v>
      </c>
      <c r="M1701" s="68" t="n">
        <v>83.3</v>
      </c>
      <c r="N1701" s="65" t="n">
        <v>9.518137</v>
      </c>
      <c r="O1701" s="69" t="n">
        <v>4.23</v>
      </c>
      <c r="P1701" s="65" t="n">
        <v>32.13</v>
      </c>
      <c r="Q1701" s="62" t="s">
        <v>2098</v>
      </c>
      <c r="R1701" s="62" t="s">
        <v>4198</v>
      </c>
      <c r="S1701" s="67" t="n">
        <v>0.5</v>
      </c>
      <c r="T1701" s="65" t="n">
        <v>450</v>
      </c>
      <c r="U1701" s="56" t="n">
        <f aca="false">I1701*O1701</f>
        <v>934.6608</v>
      </c>
      <c r="V1701" s="56" t="n">
        <f aca="false">J1701*O1701</f>
        <v>2803.9401</v>
      </c>
      <c r="W1701" s="56" t="n">
        <f aca="false">((I1701+J1701)/2)*O1701</f>
        <v>1869.30045</v>
      </c>
      <c r="X1701" s="56" t="n">
        <f aca="false">H1701*O1701</f>
        <v>2939.85</v>
      </c>
    </row>
    <row r="1702" customFormat="false" ht="22.35" hidden="false" customHeight="false" outlineLevel="0" collapsed="false">
      <c r="A1702" s="79" t="s">
        <v>2065</v>
      </c>
      <c r="B1702" s="7" t="s">
        <v>2485</v>
      </c>
      <c r="C1702" s="7" t="s">
        <v>2486</v>
      </c>
      <c r="D1702" s="7" t="s">
        <v>2095</v>
      </c>
      <c r="E1702" s="61" t="s">
        <v>2113</v>
      </c>
      <c r="F1702" s="7" t="s">
        <v>2097</v>
      </c>
      <c r="G1702" s="7" t="s">
        <v>2097</v>
      </c>
      <c r="H1702" s="9" t="n">
        <v>1370</v>
      </c>
      <c r="I1702" s="9" t="n">
        <v>1134.78</v>
      </c>
      <c r="J1702" s="9" t="n">
        <v>2269.56</v>
      </c>
      <c r="K1702" s="52" t="n">
        <v>3600</v>
      </c>
      <c r="L1702" s="58" t="n">
        <v>24.1</v>
      </c>
      <c r="M1702" s="59" t="n">
        <v>76.1</v>
      </c>
      <c r="N1702" s="9" t="n">
        <v>47.086442</v>
      </c>
      <c r="O1702" s="8" t="n">
        <v>2.78</v>
      </c>
      <c r="P1702" s="9" t="n">
        <v>-899.56</v>
      </c>
      <c r="Q1702" s="7" t="s">
        <v>2103</v>
      </c>
      <c r="R1702" s="7" t="s">
        <v>2099</v>
      </c>
      <c r="S1702" s="58" t="n">
        <v>1</v>
      </c>
      <c r="T1702" s="9" t="n">
        <v>1800</v>
      </c>
      <c r="U1702" s="56" t="n">
        <f aca="false">I1702*O1702</f>
        <v>3154.6884</v>
      </c>
      <c r="V1702" s="56" t="n">
        <f aca="false">J1702*O1702</f>
        <v>6309.3768</v>
      </c>
      <c r="W1702" s="56" t="n">
        <f aca="false">((I1702+J1702)/2)*O1702</f>
        <v>4732.0326</v>
      </c>
      <c r="X1702" s="56" t="n">
        <f aca="false">H1702*O1702</f>
        <v>3808.6</v>
      </c>
    </row>
    <row r="1703" customFormat="false" ht="22.35" hidden="false" customHeight="false" outlineLevel="0" collapsed="false">
      <c r="A1703" s="79" t="s">
        <v>2065</v>
      </c>
      <c r="B1703" s="49" t="s">
        <v>2487</v>
      </c>
      <c r="C1703" s="49" t="s">
        <v>1749</v>
      </c>
      <c r="D1703" s="49" t="s">
        <v>2095</v>
      </c>
      <c r="E1703" s="61" t="s">
        <v>2113</v>
      </c>
      <c r="F1703" s="49" t="s">
        <v>2097</v>
      </c>
      <c r="G1703" s="49" t="s">
        <v>2097</v>
      </c>
      <c r="H1703" s="51" t="n">
        <v>485</v>
      </c>
      <c r="I1703" s="51" t="n">
        <v>346.98</v>
      </c>
      <c r="J1703" s="51" t="n">
        <v>693.96</v>
      </c>
      <c r="K1703" s="52" t="n">
        <v>900</v>
      </c>
      <c r="L1703" s="53" t="n">
        <v>20.9</v>
      </c>
      <c r="M1703" s="54" t="n">
        <v>83.3</v>
      </c>
      <c r="N1703" s="51" t="n">
        <v>16.601834</v>
      </c>
      <c r="O1703" s="55" t="n">
        <v>4.78</v>
      </c>
      <c r="P1703" s="51" t="n">
        <v>-208.96</v>
      </c>
      <c r="Q1703" s="49" t="s">
        <v>2103</v>
      </c>
      <c r="R1703" s="49" t="s">
        <v>2099</v>
      </c>
      <c r="S1703" s="53" t="n">
        <v>1</v>
      </c>
      <c r="T1703" s="51" t="n">
        <v>450</v>
      </c>
      <c r="U1703" s="56" t="n">
        <f aca="false">I1703*O1703</f>
        <v>1658.5644</v>
      </c>
      <c r="V1703" s="56" t="n">
        <f aca="false">J1703*O1703</f>
        <v>3317.1288</v>
      </c>
      <c r="W1703" s="56" t="n">
        <f aca="false">((I1703+J1703)/2)*O1703</f>
        <v>2487.8466</v>
      </c>
      <c r="X1703" s="56" t="n">
        <f aca="false">H1703*O1703</f>
        <v>2318.3</v>
      </c>
    </row>
    <row r="1704" customFormat="false" ht="32.8" hidden="false" customHeight="false" outlineLevel="0" collapsed="false">
      <c r="A1704" s="79" t="s">
        <v>2065</v>
      </c>
      <c r="B1704" s="62" t="s">
        <v>4199</v>
      </c>
      <c r="C1704" s="62" t="s">
        <v>4200</v>
      </c>
      <c r="D1704" s="62" t="s">
        <v>2101</v>
      </c>
      <c r="E1704" s="78" t="s">
        <v>3474</v>
      </c>
      <c r="F1704" s="64" t="s">
        <v>2170</v>
      </c>
      <c r="G1704" s="62" t="s">
        <v>2097</v>
      </c>
      <c r="H1704" s="65" t="n">
        <v>1085</v>
      </c>
      <c r="I1704" s="65" t="n">
        <v>656.26</v>
      </c>
      <c r="J1704" s="65" t="n">
        <v>1968.78</v>
      </c>
      <c r="K1704" s="66" t="n">
        <v>2370</v>
      </c>
      <c r="L1704" s="67" t="n">
        <v>27</v>
      </c>
      <c r="M1704" s="68" t="n">
        <v>100</v>
      </c>
      <c r="N1704" s="65" t="n">
        <v>41.66729</v>
      </c>
      <c r="O1704" s="69" t="n">
        <v>2.2497</v>
      </c>
      <c r="P1704" s="65" t="n">
        <v>-883.78</v>
      </c>
      <c r="Q1704" s="62" t="s">
        <v>2103</v>
      </c>
      <c r="R1704" s="62" t="s">
        <v>3652</v>
      </c>
      <c r="S1704" s="67" t="n">
        <v>0.5</v>
      </c>
      <c r="T1704" s="65" t="n">
        <v>474</v>
      </c>
      <c r="U1704" s="56" t="n">
        <f aca="false">I1704*O1704</f>
        <v>1476.388122</v>
      </c>
      <c r="V1704" s="56" t="n">
        <f aca="false">J1704*O1704</f>
        <v>4429.164366</v>
      </c>
      <c r="W1704" s="56" t="n">
        <f aca="false">((I1704+J1704)/2)*O1704</f>
        <v>2952.776244</v>
      </c>
      <c r="X1704" s="56" t="n">
        <f aca="false">H1704*O1704</f>
        <v>2440.9245</v>
      </c>
    </row>
    <row r="1705" customFormat="false" ht="22.35" hidden="false" customHeight="false" outlineLevel="0" collapsed="false">
      <c r="A1705" s="79" t="s">
        <v>2065</v>
      </c>
      <c r="B1705" s="49" t="s">
        <v>2488</v>
      </c>
      <c r="C1705" s="49" t="s">
        <v>2398</v>
      </c>
      <c r="D1705" s="49" t="s">
        <v>2109</v>
      </c>
      <c r="E1705" s="60" t="s">
        <v>2110</v>
      </c>
      <c r="F1705" s="49" t="s">
        <v>2097</v>
      </c>
      <c r="G1705" s="49" t="s">
        <v>2097</v>
      </c>
      <c r="H1705" s="51" t="n">
        <v>1234</v>
      </c>
      <c r="I1705" s="51" t="n">
        <v>2286.62</v>
      </c>
      <c r="J1705" s="51" t="n">
        <v>3811.03</v>
      </c>
      <c r="K1705" s="52" t="n">
        <v>4047.6897</v>
      </c>
      <c r="L1705" s="53" t="n">
        <v>36.3</v>
      </c>
      <c r="M1705" s="54" t="n">
        <v>65.4</v>
      </c>
      <c r="N1705" s="51" t="n">
        <v>41.994773</v>
      </c>
      <c r="O1705" s="55" t="n">
        <v>2.22</v>
      </c>
      <c r="P1705" s="51" t="n">
        <v>-2577.03</v>
      </c>
      <c r="Q1705" s="49" t="s">
        <v>2103</v>
      </c>
      <c r="R1705" s="49" t="s">
        <v>2099</v>
      </c>
      <c r="S1705" s="53" t="n">
        <v>1.5</v>
      </c>
      <c r="T1705" s="51" t="n">
        <v>449.7433</v>
      </c>
      <c r="U1705" s="56" t="n">
        <f aca="false">I1705*O1705</f>
        <v>5076.2964</v>
      </c>
      <c r="V1705" s="56" t="n">
        <f aca="false">J1705*O1705</f>
        <v>8460.4866</v>
      </c>
      <c r="W1705" s="56" t="n">
        <f aca="false">((I1705+J1705)/2)*O1705</f>
        <v>6768.3915</v>
      </c>
      <c r="X1705" s="56" t="n">
        <f aca="false">H1705*O1705</f>
        <v>2739.48</v>
      </c>
    </row>
    <row r="1706" customFormat="false" ht="22.35" hidden="false" customHeight="false" outlineLevel="0" collapsed="false">
      <c r="A1706" s="79" t="s">
        <v>2065</v>
      </c>
      <c r="B1706" s="7" t="s">
        <v>4201</v>
      </c>
      <c r="C1706" s="7" t="s">
        <v>4202</v>
      </c>
      <c r="D1706" s="7" t="s">
        <v>2095</v>
      </c>
      <c r="E1706" s="61" t="s">
        <v>2113</v>
      </c>
      <c r="F1706" s="7" t="s">
        <v>2097</v>
      </c>
      <c r="G1706" s="7" t="s">
        <v>2097</v>
      </c>
      <c r="H1706" s="9" t="n">
        <v>12657</v>
      </c>
      <c r="I1706" s="9" t="n">
        <v>13350.02</v>
      </c>
      <c r="J1706" s="9" t="n">
        <v>26700.04</v>
      </c>
      <c r="K1706" s="52" t="n">
        <v>27600</v>
      </c>
      <c r="L1706" s="58" t="n">
        <v>34.6</v>
      </c>
      <c r="M1706" s="59" t="n">
        <v>42.9</v>
      </c>
      <c r="N1706" s="9" t="n">
        <v>385.838837</v>
      </c>
      <c r="O1706" s="8" t="n">
        <v>1.43</v>
      </c>
      <c r="P1706" s="9" t="n">
        <v>-14043.04</v>
      </c>
      <c r="Q1706" s="7" t="s">
        <v>2103</v>
      </c>
      <c r="R1706" s="7" t="s">
        <v>2099</v>
      </c>
      <c r="S1706" s="58" t="n">
        <v>1</v>
      </c>
      <c r="T1706" s="9" t="n">
        <v>13800</v>
      </c>
      <c r="U1706" s="56" t="n">
        <f aca="false">I1706*O1706</f>
        <v>19090.5286</v>
      </c>
      <c r="V1706" s="56" t="n">
        <f aca="false">J1706*O1706</f>
        <v>38181.0572</v>
      </c>
      <c r="W1706" s="56" t="n">
        <f aca="false">((I1706+J1706)/2)*O1706</f>
        <v>28635.7929</v>
      </c>
      <c r="X1706" s="56" t="n">
        <f aca="false">H1706*O1706</f>
        <v>18099.51</v>
      </c>
    </row>
    <row r="1707" customFormat="false" ht="22.35" hidden="false" customHeight="false" outlineLevel="0" collapsed="false">
      <c r="A1707" s="79" t="s">
        <v>2065</v>
      </c>
      <c r="B1707" s="49" t="s">
        <v>3931</v>
      </c>
      <c r="C1707" s="49" t="s">
        <v>3932</v>
      </c>
      <c r="D1707" s="49" t="s">
        <v>2095</v>
      </c>
      <c r="E1707" s="61" t="s">
        <v>2113</v>
      </c>
      <c r="F1707" s="49" t="s">
        <v>2097</v>
      </c>
      <c r="G1707" s="49" t="s">
        <v>2097</v>
      </c>
      <c r="H1707" s="51" t="n">
        <v>3577</v>
      </c>
      <c r="I1707" s="51" t="n">
        <v>3283.84</v>
      </c>
      <c r="J1707" s="51" t="n">
        <v>6567.68</v>
      </c>
      <c r="K1707" s="52" t="n">
        <v>6750</v>
      </c>
      <c r="L1707" s="53" t="n">
        <v>29.8</v>
      </c>
      <c r="M1707" s="54" t="n">
        <v>72.2</v>
      </c>
      <c r="N1707" s="51" t="n">
        <v>110.195814</v>
      </c>
      <c r="O1707" s="55" t="n">
        <v>3.88</v>
      </c>
      <c r="P1707" s="51" t="n">
        <v>-2990.68</v>
      </c>
      <c r="Q1707" s="49" t="s">
        <v>2103</v>
      </c>
      <c r="R1707" s="49" t="s">
        <v>2099</v>
      </c>
      <c r="S1707" s="53" t="n">
        <v>1</v>
      </c>
      <c r="T1707" s="51" t="n">
        <v>450</v>
      </c>
      <c r="U1707" s="56" t="n">
        <f aca="false">I1707*O1707</f>
        <v>12741.2992</v>
      </c>
      <c r="V1707" s="56" t="n">
        <f aca="false">J1707*O1707</f>
        <v>25482.5984</v>
      </c>
      <c r="W1707" s="56" t="n">
        <f aca="false">((I1707+J1707)/2)*O1707</f>
        <v>19111.9488</v>
      </c>
      <c r="X1707" s="56" t="n">
        <f aca="false">H1707*O1707</f>
        <v>13878.76</v>
      </c>
    </row>
    <row r="1708" customFormat="false" ht="22.35" hidden="false" customHeight="false" outlineLevel="0" collapsed="false">
      <c r="A1708" s="79" t="s">
        <v>2065</v>
      </c>
      <c r="B1708" s="7" t="s">
        <v>4203</v>
      </c>
      <c r="C1708" s="7" t="s">
        <v>4204</v>
      </c>
      <c r="D1708" s="7" t="s">
        <v>2101</v>
      </c>
      <c r="E1708" s="57" t="s">
        <v>2102</v>
      </c>
      <c r="F1708" s="7" t="s">
        <v>2097</v>
      </c>
      <c r="G1708" s="7" t="s">
        <v>2097</v>
      </c>
      <c r="H1708" s="9" t="n">
        <v>174</v>
      </c>
      <c r="I1708" s="9" t="n">
        <v>115.6</v>
      </c>
      <c r="J1708" s="9" t="n">
        <v>346.8</v>
      </c>
      <c r="K1708" s="52" t="n">
        <v>550</v>
      </c>
      <c r="L1708" s="58" t="n">
        <v>50</v>
      </c>
      <c r="M1708" s="59" t="n">
        <v>50</v>
      </c>
      <c r="N1708" s="9" t="n">
        <v>4.624065</v>
      </c>
      <c r="O1708" s="8" t="n">
        <v>1.8</v>
      </c>
      <c r="P1708" s="9" t="n">
        <v>-172.8</v>
      </c>
      <c r="Q1708" s="7" t="s">
        <v>2103</v>
      </c>
      <c r="R1708" s="7" t="s">
        <v>2099</v>
      </c>
      <c r="S1708" s="58" t="n">
        <v>0.5</v>
      </c>
      <c r="T1708" s="9" t="n">
        <v>550</v>
      </c>
      <c r="U1708" s="56" t="n">
        <f aca="false">I1708*O1708</f>
        <v>208.08</v>
      </c>
      <c r="V1708" s="56" t="n">
        <f aca="false">J1708*O1708</f>
        <v>624.24</v>
      </c>
      <c r="W1708" s="56" t="n">
        <f aca="false">((I1708+J1708)/2)*O1708</f>
        <v>416.16</v>
      </c>
      <c r="X1708" s="56" t="n">
        <f aca="false">H1708*O1708</f>
        <v>313.2</v>
      </c>
    </row>
    <row r="1709" customFormat="false" ht="22.35" hidden="false" customHeight="false" outlineLevel="0" collapsed="false">
      <c r="A1709" s="79" t="s">
        <v>2065</v>
      </c>
      <c r="B1709" s="4" t="s">
        <v>4205</v>
      </c>
      <c r="C1709" s="4" t="s">
        <v>4206</v>
      </c>
      <c r="D1709" s="4" t="s">
        <v>2101</v>
      </c>
      <c r="E1709" s="70" t="s">
        <v>2193</v>
      </c>
      <c r="F1709" s="4" t="s">
        <v>2097</v>
      </c>
      <c r="G1709" s="71" t="s">
        <v>2194</v>
      </c>
      <c r="H1709" s="6" t="n">
        <v>150</v>
      </c>
      <c r="I1709" s="6" t="n">
        <v>0</v>
      </c>
      <c r="J1709" s="6" t="n">
        <v>0</v>
      </c>
      <c r="K1709" s="52" t="n">
        <v>0</v>
      </c>
      <c r="L1709" s="72" t="n">
        <v>120.5</v>
      </c>
      <c r="M1709" s="73" t="n">
        <v>50</v>
      </c>
      <c r="N1709" s="6" t="n">
        <v>1.359274</v>
      </c>
      <c r="O1709" s="5" t="n">
        <v>8.5513</v>
      </c>
      <c r="P1709" s="6" t="n">
        <v>150</v>
      </c>
      <c r="Q1709" s="4" t="s">
        <v>2098</v>
      </c>
      <c r="R1709" s="4" t="s">
        <v>2195</v>
      </c>
      <c r="S1709" s="72" t="n">
        <v>0</v>
      </c>
      <c r="T1709" s="6" t="n">
        <v>530.01</v>
      </c>
      <c r="U1709" s="56" t="n">
        <f aca="false">I1709*O1709</f>
        <v>0</v>
      </c>
      <c r="V1709" s="56" t="n">
        <f aca="false">J1709*O1709</f>
        <v>0</v>
      </c>
      <c r="W1709" s="56" t="n">
        <f aca="false">((I1709+J1709)/2)*O1709</f>
        <v>0</v>
      </c>
      <c r="X1709" s="56" t="n">
        <f aca="false">H1709*O1709</f>
        <v>1282.695</v>
      </c>
    </row>
    <row r="1710" customFormat="false" ht="15" hidden="false" customHeight="false" outlineLevel="0" collapsed="false">
      <c r="A1710" s="79" t="s">
        <v>2065</v>
      </c>
      <c r="B1710" s="7" t="s">
        <v>2491</v>
      </c>
      <c r="C1710" s="7" t="s">
        <v>2492</v>
      </c>
      <c r="D1710" s="7" t="s">
        <v>2101</v>
      </c>
      <c r="E1710" s="50" t="s">
        <v>2096</v>
      </c>
      <c r="F1710" s="7" t="s">
        <v>2097</v>
      </c>
      <c r="G1710" s="7" t="s">
        <v>2097</v>
      </c>
      <c r="H1710" s="9" t="n">
        <v>1726</v>
      </c>
      <c r="I1710" s="9" t="n">
        <v>434.16</v>
      </c>
      <c r="J1710" s="9" t="n">
        <v>1302.48</v>
      </c>
      <c r="K1710" s="52" t="n">
        <v>1410</v>
      </c>
      <c r="L1710" s="58" t="n">
        <v>20.8</v>
      </c>
      <c r="M1710" s="59" t="n">
        <v>62.9</v>
      </c>
      <c r="N1710" s="9" t="n">
        <v>41.746288</v>
      </c>
      <c r="O1710" s="8" t="n">
        <v>2.86</v>
      </c>
      <c r="P1710" s="9" t="n">
        <v>423.52</v>
      </c>
      <c r="Q1710" s="7" t="s">
        <v>2098</v>
      </c>
      <c r="R1710" s="7" t="s">
        <v>2099</v>
      </c>
      <c r="S1710" s="58" t="n">
        <v>0.5</v>
      </c>
      <c r="T1710" s="9" t="n">
        <v>470</v>
      </c>
      <c r="U1710" s="56" t="n">
        <f aca="false">I1710*O1710</f>
        <v>1241.6976</v>
      </c>
      <c r="V1710" s="56" t="n">
        <f aca="false">J1710*O1710</f>
        <v>3725.0928</v>
      </c>
      <c r="W1710" s="56" t="n">
        <f aca="false">((I1710+J1710)/2)*O1710</f>
        <v>2483.3952</v>
      </c>
      <c r="X1710" s="56" t="n">
        <f aca="false">H1710*O1710</f>
        <v>4936.36</v>
      </c>
    </row>
    <row r="1711" customFormat="false" ht="15" hidden="false" customHeight="false" outlineLevel="0" collapsed="false">
      <c r="A1711" s="79" t="s">
        <v>2065</v>
      </c>
      <c r="B1711" s="49" t="s">
        <v>3938</v>
      </c>
      <c r="C1711" s="49" t="s">
        <v>1992</v>
      </c>
      <c r="D1711" s="49" t="s">
        <v>2101</v>
      </c>
      <c r="E1711" s="50" t="s">
        <v>2096</v>
      </c>
      <c r="F1711" s="49" t="s">
        <v>2097</v>
      </c>
      <c r="G1711" s="49" t="s">
        <v>2097</v>
      </c>
      <c r="H1711" s="51" t="n">
        <v>150</v>
      </c>
      <c r="I1711" s="51" t="n">
        <v>9.39</v>
      </c>
      <c r="J1711" s="51" t="n">
        <v>28.18</v>
      </c>
      <c r="K1711" s="52" t="n">
        <v>441</v>
      </c>
      <c r="L1711" s="53" t="n">
        <v>22</v>
      </c>
      <c r="M1711" s="54" t="n">
        <v>73.3</v>
      </c>
      <c r="N1711" s="51" t="n">
        <v>0.853986</v>
      </c>
      <c r="O1711" s="55" t="n">
        <v>4.79</v>
      </c>
      <c r="P1711" s="51" t="n">
        <v>121.82</v>
      </c>
      <c r="Q1711" s="49" t="s">
        <v>2098</v>
      </c>
      <c r="R1711" s="49" t="s">
        <v>2099</v>
      </c>
      <c r="S1711" s="53" t="n">
        <v>0.5</v>
      </c>
      <c r="T1711" s="51" t="n">
        <v>441</v>
      </c>
      <c r="U1711" s="56" t="n">
        <f aca="false">I1711*O1711</f>
        <v>44.9781</v>
      </c>
      <c r="V1711" s="56" t="n">
        <f aca="false">J1711*O1711</f>
        <v>134.9822</v>
      </c>
      <c r="W1711" s="56" t="n">
        <f aca="false">((I1711+J1711)/2)*O1711</f>
        <v>89.98015</v>
      </c>
      <c r="X1711" s="56" t="n">
        <f aca="false">H1711*O1711</f>
        <v>718.5</v>
      </c>
    </row>
    <row r="1712" customFormat="false" ht="22.35" hidden="false" customHeight="false" outlineLevel="0" collapsed="false">
      <c r="A1712" s="79" t="s">
        <v>2065</v>
      </c>
      <c r="B1712" s="7" t="s">
        <v>4207</v>
      </c>
      <c r="C1712" s="7" t="s">
        <v>1753</v>
      </c>
      <c r="D1712" s="7" t="s">
        <v>2101</v>
      </c>
      <c r="E1712" s="57" t="s">
        <v>2102</v>
      </c>
      <c r="F1712" s="7" t="s">
        <v>2097</v>
      </c>
      <c r="G1712" s="7" t="s">
        <v>2097</v>
      </c>
      <c r="H1712" s="9" t="n">
        <v>1623</v>
      </c>
      <c r="I1712" s="9" t="n">
        <v>849.05</v>
      </c>
      <c r="J1712" s="9" t="n">
        <v>2547.15</v>
      </c>
      <c r="K1712" s="52" t="n">
        <v>2700</v>
      </c>
      <c r="L1712" s="58" t="n">
        <v>43.4</v>
      </c>
      <c r="M1712" s="59" t="n">
        <v>40</v>
      </c>
      <c r="N1712" s="9" t="n">
        <v>39.126639</v>
      </c>
      <c r="O1712" s="8" t="n">
        <v>5.464</v>
      </c>
      <c r="P1712" s="9" t="n">
        <v>-924.15</v>
      </c>
      <c r="Q1712" s="7" t="s">
        <v>2103</v>
      </c>
      <c r="R1712" s="7" t="s">
        <v>2099</v>
      </c>
      <c r="S1712" s="58" t="n">
        <v>0.5</v>
      </c>
      <c r="T1712" s="9" t="n">
        <v>450</v>
      </c>
      <c r="U1712" s="56" t="n">
        <f aca="false">I1712*O1712</f>
        <v>4639.2092</v>
      </c>
      <c r="V1712" s="56" t="n">
        <f aca="false">J1712*O1712</f>
        <v>13917.6276</v>
      </c>
      <c r="W1712" s="56" t="n">
        <f aca="false">((I1712+J1712)/2)*O1712</f>
        <v>9278.4184</v>
      </c>
      <c r="X1712" s="56" t="n">
        <f aca="false">H1712*O1712</f>
        <v>8868.072</v>
      </c>
    </row>
    <row r="1713" customFormat="false" ht="22.35" hidden="false" customHeight="false" outlineLevel="0" collapsed="false">
      <c r="A1713" s="79" t="s">
        <v>2065</v>
      </c>
      <c r="B1713" s="49" t="s">
        <v>3939</v>
      </c>
      <c r="C1713" s="49" t="s">
        <v>1848</v>
      </c>
      <c r="D1713" s="49" t="s">
        <v>2095</v>
      </c>
      <c r="E1713" s="61" t="s">
        <v>2113</v>
      </c>
      <c r="F1713" s="49" t="s">
        <v>2097</v>
      </c>
      <c r="G1713" s="49" t="s">
        <v>2097</v>
      </c>
      <c r="H1713" s="51" t="n">
        <v>10021</v>
      </c>
      <c r="I1713" s="51" t="n">
        <v>8987.61</v>
      </c>
      <c r="J1713" s="51" t="n">
        <v>17975.22</v>
      </c>
      <c r="K1713" s="52" t="n">
        <v>18000</v>
      </c>
      <c r="L1713" s="53" t="n">
        <v>34.7</v>
      </c>
      <c r="M1713" s="54" t="n">
        <v>73</v>
      </c>
      <c r="N1713" s="51" t="n">
        <v>259.008818</v>
      </c>
      <c r="O1713" s="55" t="n">
        <v>2.847</v>
      </c>
      <c r="P1713" s="51" t="n">
        <v>-7954.22</v>
      </c>
      <c r="Q1713" s="49" t="s">
        <v>2103</v>
      </c>
      <c r="R1713" s="49" t="s">
        <v>2099</v>
      </c>
      <c r="S1713" s="53" t="n">
        <v>1</v>
      </c>
      <c r="T1713" s="51" t="n">
        <v>9000</v>
      </c>
      <c r="U1713" s="56" t="n">
        <f aca="false">I1713*O1713</f>
        <v>25587.72567</v>
      </c>
      <c r="V1713" s="56" t="n">
        <f aca="false">J1713*O1713</f>
        <v>51175.45134</v>
      </c>
      <c r="W1713" s="56" t="n">
        <f aca="false">((I1713+J1713)/2)*O1713</f>
        <v>38381.588505</v>
      </c>
      <c r="X1713" s="56" t="n">
        <f aca="false">H1713*O1713</f>
        <v>28529.787</v>
      </c>
    </row>
    <row r="1714" customFormat="false" ht="22.35" hidden="false" customHeight="false" outlineLevel="0" collapsed="false">
      <c r="A1714" s="79" t="s">
        <v>2065</v>
      </c>
      <c r="B1714" s="7" t="s">
        <v>2493</v>
      </c>
      <c r="C1714" s="7" t="s">
        <v>1744</v>
      </c>
      <c r="D1714" s="7" t="s">
        <v>2095</v>
      </c>
      <c r="E1714" s="61" t="s">
        <v>2113</v>
      </c>
      <c r="F1714" s="7" t="s">
        <v>2097</v>
      </c>
      <c r="G1714" s="7" t="s">
        <v>2097</v>
      </c>
      <c r="H1714" s="9" t="n">
        <v>309</v>
      </c>
      <c r="I1714" s="9" t="n">
        <v>407.63</v>
      </c>
      <c r="J1714" s="9" t="n">
        <v>815.26</v>
      </c>
      <c r="K1714" s="52" t="n">
        <v>880</v>
      </c>
      <c r="L1714" s="58" t="n">
        <v>24.2</v>
      </c>
      <c r="M1714" s="59" t="n">
        <v>90.9</v>
      </c>
      <c r="N1714" s="9" t="n">
        <v>16.844068</v>
      </c>
      <c r="O1714" s="8" t="n">
        <v>3.65</v>
      </c>
      <c r="P1714" s="9" t="n">
        <v>-506.26</v>
      </c>
      <c r="Q1714" s="7" t="s">
        <v>2103</v>
      </c>
      <c r="R1714" s="7" t="s">
        <v>2099</v>
      </c>
      <c r="S1714" s="58" t="n">
        <v>1</v>
      </c>
      <c r="T1714" s="9" t="n">
        <v>440</v>
      </c>
      <c r="U1714" s="56" t="n">
        <f aca="false">I1714*O1714</f>
        <v>1487.8495</v>
      </c>
      <c r="V1714" s="56" t="n">
        <f aca="false">J1714*O1714</f>
        <v>2975.699</v>
      </c>
      <c r="W1714" s="56" t="n">
        <f aca="false">((I1714+J1714)/2)*O1714</f>
        <v>2231.77425</v>
      </c>
      <c r="X1714" s="56" t="n">
        <f aca="false">H1714*O1714</f>
        <v>1127.85</v>
      </c>
    </row>
    <row r="1715" customFormat="false" ht="22.35" hidden="false" customHeight="false" outlineLevel="0" collapsed="false">
      <c r="A1715" s="79" t="s">
        <v>2065</v>
      </c>
      <c r="B1715" s="49" t="s">
        <v>4208</v>
      </c>
      <c r="C1715" s="49" t="s">
        <v>1807</v>
      </c>
      <c r="D1715" s="49" t="s">
        <v>2101</v>
      </c>
      <c r="E1715" s="57" t="s">
        <v>2102</v>
      </c>
      <c r="F1715" s="49" t="s">
        <v>2097</v>
      </c>
      <c r="G1715" s="49" t="s">
        <v>2097</v>
      </c>
      <c r="H1715" s="51" t="n">
        <v>383</v>
      </c>
      <c r="I1715" s="51" t="n">
        <v>229.77</v>
      </c>
      <c r="J1715" s="51" t="n">
        <v>689.31</v>
      </c>
      <c r="K1715" s="52" t="n">
        <v>800</v>
      </c>
      <c r="L1715" s="53" t="n">
        <v>20.3</v>
      </c>
      <c r="M1715" s="54" t="n">
        <v>71.4</v>
      </c>
      <c r="N1715" s="51" t="n">
        <v>22.637319</v>
      </c>
      <c r="O1715" s="55" t="n">
        <v>1.89</v>
      </c>
      <c r="P1715" s="51" t="n">
        <v>-306.31</v>
      </c>
      <c r="Q1715" s="49" t="s">
        <v>2103</v>
      </c>
      <c r="R1715" s="49" t="s">
        <v>2099</v>
      </c>
      <c r="S1715" s="53" t="n">
        <v>0.5</v>
      </c>
      <c r="T1715" s="51" t="n">
        <v>400</v>
      </c>
      <c r="U1715" s="56" t="n">
        <f aca="false">I1715*O1715</f>
        <v>434.2653</v>
      </c>
      <c r="V1715" s="56" t="n">
        <f aca="false">J1715*O1715</f>
        <v>1302.7959</v>
      </c>
      <c r="W1715" s="56" t="n">
        <f aca="false">((I1715+J1715)/2)*O1715</f>
        <v>868.5306</v>
      </c>
      <c r="X1715" s="56" t="n">
        <f aca="false">H1715*O1715</f>
        <v>723.87</v>
      </c>
    </row>
    <row r="1716" customFormat="false" ht="22.35" hidden="false" customHeight="false" outlineLevel="0" collapsed="false">
      <c r="A1716" s="79" t="s">
        <v>2065</v>
      </c>
      <c r="B1716" s="7" t="s">
        <v>2494</v>
      </c>
      <c r="C1716" s="7" t="s">
        <v>2495</v>
      </c>
      <c r="D1716" s="7" t="s">
        <v>2101</v>
      </c>
      <c r="E1716" s="57" t="s">
        <v>2102</v>
      </c>
      <c r="F1716" s="7" t="s">
        <v>2097</v>
      </c>
      <c r="G1716" s="7" t="s">
        <v>2097</v>
      </c>
      <c r="H1716" s="9" t="n">
        <v>644</v>
      </c>
      <c r="I1716" s="9" t="n">
        <v>1016.54</v>
      </c>
      <c r="J1716" s="9" t="n">
        <v>3049.62</v>
      </c>
      <c r="K1716" s="52" t="n">
        <v>3080.14</v>
      </c>
      <c r="L1716" s="58" t="n">
        <v>46.3</v>
      </c>
      <c r="M1716" s="59" t="n">
        <v>75.7</v>
      </c>
      <c r="N1716" s="9" t="n">
        <v>43.911122</v>
      </c>
      <c r="O1716" s="8" t="n">
        <v>2.74</v>
      </c>
      <c r="P1716" s="9" t="n">
        <v>-2405.62</v>
      </c>
      <c r="Q1716" s="7" t="s">
        <v>2103</v>
      </c>
      <c r="R1716" s="7" t="s">
        <v>2099</v>
      </c>
      <c r="S1716" s="58" t="n">
        <v>0.5</v>
      </c>
      <c r="T1716" s="9" t="n">
        <v>440.02</v>
      </c>
      <c r="U1716" s="56" t="n">
        <f aca="false">I1716*O1716</f>
        <v>2785.3196</v>
      </c>
      <c r="V1716" s="56" t="n">
        <f aca="false">J1716*O1716</f>
        <v>8355.9588</v>
      </c>
      <c r="W1716" s="56" t="n">
        <f aca="false">((I1716+J1716)/2)*O1716</f>
        <v>5570.6392</v>
      </c>
      <c r="X1716" s="56" t="n">
        <f aca="false">H1716*O1716</f>
        <v>1764.56</v>
      </c>
    </row>
    <row r="1717" customFormat="false" ht="15" hidden="false" customHeight="false" outlineLevel="0" collapsed="false">
      <c r="A1717" s="79" t="s">
        <v>2065</v>
      </c>
      <c r="B1717" s="49" t="s">
        <v>3940</v>
      </c>
      <c r="C1717" s="49" t="s">
        <v>3941</v>
      </c>
      <c r="D1717" s="49" t="s">
        <v>2095</v>
      </c>
      <c r="E1717" s="50" t="s">
        <v>2096</v>
      </c>
      <c r="F1717" s="49" t="s">
        <v>2097</v>
      </c>
      <c r="G1717" s="49" t="s">
        <v>2097</v>
      </c>
      <c r="H1717" s="51" t="n">
        <v>2377</v>
      </c>
      <c r="I1717" s="51" t="n">
        <v>1065.96</v>
      </c>
      <c r="J1717" s="51" t="n">
        <v>2131.92</v>
      </c>
      <c r="K1717" s="52" t="n">
        <v>2300</v>
      </c>
      <c r="L1717" s="53" t="n">
        <v>23.7</v>
      </c>
      <c r="M1717" s="54" t="n">
        <v>84.4</v>
      </c>
      <c r="N1717" s="51" t="n">
        <v>44.977119</v>
      </c>
      <c r="O1717" s="55" t="n">
        <v>4.14</v>
      </c>
      <c r="P1717" s="51" t="n">
        <v>245.08</v>
      </c>
      <c r="Q1717" s="49" t="s">
        <v>2098</v>
      </c>
      <c r="R1717" s="49" t="s">
        <v>2099</v>
      </c>
      <c r="S1717" s="53" t="n">
        <v>1</v>
      </c>
      <c r="T1717" s="51" t="n">
        <v>460</v>
      </c>
      <c r="U1717" s="56" t="n">
        <f aca="false">I1717*O1717</f>
        <v>4413.0744</v>
      </c>
      <c r="V1717" s="56" t="n">
        <f aca="false">J1717*O1717</f>
        <v>8826.1488</v>
      </c>
      <c r="W1717" s="56" t="n">
        <f aca="false">((I1717+J1717)/2)*O1717</f>
        <v>6619.6116</v>
      </c>
      <c r="X1717" s="56" t="n">
        <f aca="false">H1717*O1717</f>
        <v>9840.78</v>
      </c>
    </row>
    <row r="1718" customFormat="false" ht="15" hidden="false" customHeight="false" outlineLevel="0" collapsed="false">
      <c r="A1718" s="79" t="s">
        <v>2065</v>
      </c>
      <c r="B1718" s="7" t="s">
        <v>3942</v>
      </c>
      <c r="C1718" s="7" t="s">
        <v>3943</v>
      </c>
      <c r="D1718" s="7" t="s">
        <v>2101</v>
      </c>
      <c r="E1718" s="50" t="s">
        <v>2096</v>
      </c>
      <c r="F1718" s="7" t="s">
        <v>2097</v>
      </c>
      <c r="G1718" s="7" t="s">
        <v>2097</v>
      </c>
      <c r="H1718" s="9" t="n">
        <v>185</v>
      </c>
      <c r="I1718" s="9" t="n">
        <v>37.02</v>
      </c>
      <c r="J1718" s="9" t="n">
        <v>111.06</v>
      </c>
      <c r="K1718" s="52" t="n">
        <v>135</v>
      </c>
      <c r="L1718" s="58" t="n">
        <v>22.5</v>
      </c>
      <c r="M1718" s="59" t="n">
        <v>75</v>
      </c>
      <c r="N1718" s="9" t="n">
        <v>3.29074</v>
      </c>
      <c r="O1718" s="8" t="n">
        <v>4.91</v>
      </c>
      <c r="P1718" s="9" t="n">
        <v>73.94</v>
      </c>
      <c r="Q1718" s="7" t="s">
        <v>2098</v>
      </c>
      <c r="R1718" s="7" t="s">
        <v>2099</v>
      </c>
      <c r="S1718" s="58" t="n">
        <v>0.5</v>
      </c>
      <c r="T1718" s="9" t="n">
        <v>45</v>
      </c>
      <c r="U1718" s="56" t="n">
        <f aca="false">I1718*O1718</f>
        <v>181.7682</v>
      </c>
      <c r="V1718" s="56" t="n">
        <f aca="false">J1718*O1718</f>
        <v>545.3046</v>
      </c>
      <c r="W1718" s="56" t="n">
        <f aca="false">((I1718+J1718)/2)*O1718</f>
        <v>363.5364</v>
      </c>
      <c r="X1718" s="56" t="n">
        <f aca="false">H1718*O1718</f>
        <v>908.35</v>
      </c>
    </row>
    <row r="1719" customFormat="false" ht="22.35" hidden="false" customHeight="false" outlineLevel="0" collapsed="false">
      <c r="A1719" s="79" t="s">
        <v>2065</v>
      </c>
      <c r="B1719" s="49" t="s">
        <v>2496</v>
      </c>
      <c r="C1719" s="49" t="s">
        <v>2497</v>
      </c>
      <c r="D1719" s="49" t="s">
        <v>2095</v>
      </c>
      <c r="E1719" s="61" t="s">
        <v>2113</v>
      </c>
      <c r="F1719" s="49" t="s">
        <v>2097</v>
      </c>
      <c r="G1719" s="49" t="s">
        <v>2097</v>
      </c>
      <c r="H1719" s="51" t="n">
        <v>1363</v>
      </c>
      <c r="I1719" s="51" t="n">
        <v>1695.91</v>
      </c>
      <c r="J1719" s="51" t="n">
        <v>3391.82</v>
      </c>
      <c r="K1719" s="52" t="n">
        <v>5000</v>
      </c>
      <c r="L1719" s="53" t="n">
        <v>34.8</v>
      </c>
      <c r="M1719" s="54" t="n">
        <v>90</v>
      </c>
      <c r="N1719" s="51" t="n">
        <v>48.733029</v>
      </c>
      <c r="O1719" s="55" t="n">
        <v>2.7</v>
      </c>
      <c r="P1719" s="51" t="n">
        <v>-2028.82</v>
      </c>
      <c r="Q1719" s="49" t="s">
        <v>2103</v>
      </c>
      <c r="R1719" s="49" t="s">
        <v>2099</v>
      </c>
      <c r="S1719" s="53" t="n">
        <v>1</v>
      </c>
      <c r="T1719" s="51" t="n">
        <v>5000</v>
      </c>
      <c r="U1719" s="56" t="n">
        <f aca="false">I1719*O1719</f>
        <v>4578.957</v>
      </c>
      <c r="V1719" s="56" t="n">
        <f aca="false">J1719*O1719</f>
        <v>9157.914</v>
      </c>
      <c r="W1719" s="56" t="n">
        <f aca="false">((I1719+J1719)/2)*O1719</f>
        <v>6868.4355</v>
      </c>
      <c r="X1719" s="56" t="n">
        <f aca="false">H1719*O1719</f>
        <v>3680.1</v>
      </c>
    </row>
    <row r="1720" customFormat="false" ht="22.35" hidden="false" customHeight="false" outlineLevel="0" collapsed="false">
      <c r="A1720" s="79" t="s">
        <v>2065</v>
      </c>
      <c r="B1720" s="7" t="s">
        <v>2500</v>
      </c>
      <c r="C1720" s="7" t="s">
        <v>2473</v>
      </c>
      <c r="D1720" s="7" t="s">
        <v>2109</v>
      </c>
      <c r="E1720" s="60" t="s">
        <v>2110</v>
      </c>
      <c r="F1720" s="7" t="s">
        <v>2097</v>
      </c>
      <c r="G1720" s="7" t="s">
        <v>2097</v>
      </c>
      <c r="H1720" s="9" t="n">
        <v>39432</v>
      </c>
      <c r="I1720" s="9" t="n">
        <v>79171.51</v>
      </c>
      <c r="J1720" s="9" t="n">
        <v>131952.52</v>
      </c>
      <c r="K1720" s="52" t="n">
        <v>131952.52</v>
      </c>
      <c r="L1720" s="58" t="n">
        <v>37.4</v>
      </c>
      <c r="M1720" s="59" t="n">
        <v>82.3</v>
      </c>
      <c r="N1720" s="9" t="n">
        <v>1411.256871</v>
      </c>
      <c r="O1720" s="8" t="n">
        <v>1.45</v>
      </c>
      <c r="P1720" s="9" t="n">
        <v>-92520.52</v>
      </c>
      <c r="Q1720" s="7" t="s">
        <v>2103</v>
      </c>
      <c r="R1720" s="7" t="s">
        <v>2099</v>
      </c>
      <c r="S1720" s="58" t="n">
        <v>1.5</v>
      </c>
      <c r="T1720" s="9" t="n">
        <v>0</v>
      </c>
      <c r="U1720" s="56" t="n">
        <f aca="false">I1720*O1720</f>
        <v>114798.6895</v>
      </c>
      <c r="V1720" s="56" t="n">
        <f aca="false">J1720*O1720</f>
        <v>191331.154</v>
      </c>
      <c r="W1720" s="56" t="n">
        <f aca="false">((I1720+J1720)/2)*O1720</f>
        <v>153064.92175</v>
      </c>
      <c r="X1720" s="56" t="n">
        <f aca="false">H1720*O1720</f>
        <v>57176.4</v>
      </c>
    </row>
    <row r="1721" customFormat="false" ht="22.35" hidden="false" customHeight="false" outlineLevel="0" collapsed="false">
      <c r="A1721" s="79" t="s">
        <v>2065</v>
      </c>
      <c r="B1721" s="4" t="s">
        <v>4209</v>
      </c>
      <c r="C1721" s="4" t="s">
        <v>1848</v>
      </c>
      <c r="D1721" s="4" t="s">
        <v>2101</v>
      </c>
      <c r="E1721" s="70" t="s">
        <v>2193</v>
      </c>
      <c r="F1721" s="4" t="s">
        <v>2097</v>
      </c>
      <c r="G1721" s="71" t="s">
        <v>2194</v>
      </c>
      <c r="H1721" s="6" t="n">
        <v>198</v>
      </c>
      <c r="I1721" s="6" t="n">
        <v>0</v>
      </c>
      <c r="J1721" s="6" t="n">
        <v>0</v>
      </c>
      <c r="K1721" s="52" t="n">
        <v>0</v>
      </c>
      <c r="L1721" s="72" t="n">
        <v>29.9</v>
      </c>
      <c r="M1721" s="73" t="n">
        <v>87.5</v>
      </c>
      <c r="N1721" s="6" t="n">
        <v>5.538904</v>
      </c>
      <c r="O1721" s="5" t="n">
        <v>2.86</v>
      </c>
      <c r="P1721" s="6" t="n">
        <v>198</v>
      </c>
      <c r="Q1721" s="4" t="s">
        <v>2098</v>
      </c>
      <c r="R1721" s="4" t="s">
        <v>2195</v>
      </c>
      <c r="S1721" s="72" t="n">
        <v>0</v>
      </c>
      <c r="T1721" s="6" t="n">
        <v>400</v>
      </c>
      <c r="U1721" s="56" t="n">
        <f aca="false">I1721*O1721</f>
        <v>0</v>
      </c>
      <c r="V1721" s="56" t="n">
        <f aca="false">J1721*O1721</f>
        <v>0</v>
      </c>
      <c r="W1721" s="56" t="n">
        <f aca="false">((I1721+J1721)/2)*O1721</f>
        <v>0</v>
      </c>
      <c r="X1721" s="56" t="n">
        <f aca="false">H1721*O1721</f>
        <v>566.28</v>
      </c>
    </row>
    <row r="1722" customFormat="false" ht="22.35" hidden="false" customHeight="false" outlineLevel="0" collapsed="false">
      <c r="A1722" s="79" t="s">
        <v>2065</v>
      </c>
      <c r="B1722" s="4" t="s">
        <v>4210</v>
      </c>
      <c r="C1722" s="4" t="s">
        <v>1531</v>
      </c>
      <c r="D1722" s="4" t="s">
        <v>2101</v>
      </c>
      <c r="E1722" s="70" t="s">
        <v>2193</v>
      </c>
      <c r="F1722" s="4" t="s">
        <v>2097</v>
      </c>
      <c r="G1722" s="71" t="s">
        <v>2194</v>
      </c>
      <c r="H1722" s="6" t="n">
        <v>150</v>
      </c>
      <c r="I1722" s="6" t="n">
        <v>0</v>
      </c>
      <c r="J1722" s="6" t="n">
        <v>0</v>
      </c>
      <c r="K1722" s="52" t="n">
        <v>0</v>
      </c>
      <c r="L1722" s="72" t="n">
        <v>42.9</v>
      </c>
      <c r="M1722" s="73" t="n">
        <v>45.5</v>
      </c>
      <c r="N1722" s="6" t="n">
        <v>0.601705</v>
      </c>
      <c r="O1722" s="5" t="n">
        <v>18.1011</v>
      </c>
      <c r="P1722" s="6" t="n">
        <v>150</v>
      </c>
      <c r="Q1722" s="4" t="s">
        <v>2098</v>
      </c>
      <c r="R1722" s="4" t="s">
        <v>2195</v>
      </c>
      <c r="S1722" s="72" t="n">
        <v>0</v>
      </c>
      <c r="T1722" s="6" t="n">
        <v>40</v>
      </c>
      <c r="U1722" s="56" t="n">
        <f aca="false">I1722*O1722</f>
        <v>0</v>
      </c>
      <c r="V1722" s="56" t="n">
        <f aca="false">J1722*O1722</f>
        <v>0</v>
      </c>
      <c r="W1722" s="56" t="n">
        <f aca="false">((I1722+J1722)/2)*O1722</f>
        <v>0</v>
      </c>
      <c r="X1722" s="56" t="n">
        <f aca="false">H1722*O1722</f>
        <v>2715.165</v>
      </c>
    </row>
    <row r="1723" customFormat="false" ht="22.35" hidden="false" customHeight="false" outlineLevel="0" collapsed="false">
      <c r="A1723" s="79" t="s">
        <v>2065</v>
      </c>
      <c r="B1723" s="49" t="s">
        <v>4211</v>
      </c>
      <c r="C1723" s="49" t="s">
        <v>1833</v>
      </c>
      <c r="D1723" s="49" t="s">
        <v>2101</v>
      </c>
      <c r="E1723" s="57" t="s">
        <v>2102</v>
      </c>
      <c r="F1723" s="49" t="s">
        <v>2097</v>
      </c>
      <c r="G1723" s="49" t="s">
        <v>2097</v>
      </c>
      <c r="H1723" s="51" t="n">
        <v>2762</v>
      </c>
      <c r="I1723" s="51" t="n">
        <v>1323.94</v>
      </c>
      <c r="J1723" s="51" t="n">
        <v>3971.81</v>
      </c>
      <c r="K1723" s="52" t="n">
        <v>4000</v>
      </c>
      <c r="L1723" s="53" t="n">
        <v>37.1</v>
      </c>
      <c r="M1723" s="54" t="n">
        <v>72.7</v>
      </c>
      <c r="N1723" s="51" t="n">
        <v>71.371247</v>
      </c>
      <c r="O1723" s="55" t="n">
        <v>1.265</v>
      </c>
      <c r="P1723" s="51" t="n">
        <v>-1209.81</v>
      </c>
      <c r="Q1723" s="49" t="s">
        <v>2103</v>
      </c>
      <c r="R1723" s="49" t="s">
        <v>2099</v>
      </c>
      <c r="S1723" s="53" t="n">
        <v>0.5</v>
      </c>
      <c r="T1723" s="51" t="n">
        <v>40</v>
      </c>
      <c r="U1723" s="56" t="n">
        <f aca="false">I1723*O1723</f>
        <v>1674.7841</v>
      </c>
      <c r="V1723" s="56" t="n">
        <f aca="false">J1723*O1723</f>
        <v>5024.33965</v>
      </c>
      <c r="W1723" s="56" t="n">
        <f aca="false">((I1723+J1723)/2)*O1723</f>
        <v>3349.561875</v>
      </c>
      <c r="X1723" s="56" t="n">
        <f aca="false">H1723*O1723</f>
        <v>3493.93</v>
      </c>
    </row>
    <row r="1724" customFormat="false" ht="22.35" hidden="false" customHeight="false" outlineLevel="0" collapsed="false">
      <c r="A1724" s="79" t="s">
        <v>2065</v>
      </c>
      <c r="B1724" s="7" t="s">
        <v>2505</v>
      </c>
      <c r="C1724" s="7" t="s">
        <v>2506</v>
      </c>
      <c r="D1724" s="7" t="s">
        <v>2109</v>
      </c>
      <c r="E1724" s="60" t="s">
        <v>2110</v>
      </c>
      <c r="F1724" s="7" t="s">
        <v>2097</v>
      </c>
      <c r="G1724" s="7" t="s">
        <v>2097</v>
      </c>
      <c r="H1724" s="9" t="n">
        <v>5593</v>
      </c>
      <c r="I1724" s="9" t="n">
        <v>7344.64</v>
      </c>
      <c r="J1724" s="9" t="n">
        <v>12241.07</v>
      </c>
      <c r="K1724" s="52" t="n">
        <v>12384</v>
      </c>
      <c r="L1724" s="58" t="n">
        <v>29.3</v>
      </c>
      <c r="M1724" s="59" t="n">
        <v>86.1</v>
      </c>
      <c r="N1724" s="9" t="n">
        <v>167.113648</v>
      </c>
      <c r="O1724" s="8" t="n">
        <v>0.72</v>
      </c>
      <c r="P1724" s="9" t="n">
        <v>-6648.07</v>
      </c>
      <c r="Q1724" s="7" t="s">
        <v>2103</v>
      </c>
      <c r="R1724" s="7" t="s">
        <v>2099</v>
      </c>
      <c r="S1724" s="58" t="n">
        <v>1.5</v>
      </c>
      <c r="T1724" s="9" t="n">
        <v>1376</v>
      </c>
      <c r="U1724" s="56" t="n">
        <f aca="false">I1724*O1724</f>
        <v>5288.1408</v>
      </c>
      <c r="V1724" s="56" t="n">
        <f aca="false">J1724*O1724</f>
        <v>8813.5704</v>
      </c>
      <c r="W1724" s="56" t="n">
        <f aca="false">((I1724+J1724)/2)*O1724</f>
        <v>7050.8556</v>
      </c>
      <c r="X1724" s="56" t="n">
        <f aca="false">H1724*O1724</f>
        <v>4026.96</v>
      </c>
    </row>
    <row r="1725" customFormat="false" ht="22.35" hidden="false" customHeight="false" outlineLevel="0" collapsed="false">
      <c r="A1725" s="79" t="s">
        <v>2065</v>
      </c>
      <c r="B1725" s="49" t="s">
        <v>4212</v>
      </c>
      <c r="C1725" s="49" t="s">
        <v>4213</v>
      </c>
      <c r="D1725" s="49" t="s">
        <v>2101</v>
      </c>
      <c r="E1725" s="57" t="s">
        <v>2102</v>
      </c>
      <c r="F1725" s="49" t="s">
        <v>2097</v>
      </c>
      <c r="G1725" s="49" t="s">
        <v>2097</v>
      </c>
      <c r="H1725" s="51" t="n">
        <v>1043</v>
      </c>
      <c r="I1725" s="51" t="n">
        <v>570.74</v>
      </c>
      <c r="J1725" s="51" t="n">
        <v>1712.23</v>
      </c>
      <c r="K1725" s="52" t="n">
        <v>10000</v>
      </c>
      <c r="L1725" s="53" t="n">
        <v>33</v>
      </c>
      <c r="M1725" s="54" t="n">
        <v>61.5</v>
      </c>
      <c r="N1725" s="51" t="n">
        <v>34.590492</v>
      </c>
      <c r="O1725" s="55" t="n">
        <v>1.62</v>
      </c>
      <c r="P1725" s="51" t="n">
        <v>-669.23</v>
      </c>
      <c r="Q1725" s="49" t="s">
        <v>2103</v>
      </c>
      <c r="R1725" s="49" t="s">
        <v>2099</v>
      </c>
      <c r="S1725" s="53" t="n">
        <v>0.5</v>
      </c>
      <c r="T1725" s="51" t="n">
        <v>10000</v>
      </c>
      <c r="U1725" s="56" t="n">
        <f aca="false">I1725*O1725</f>
        <v>924.5988</v>
      </c>
      <c r="V1725" s="56" t="n">
        <f aca="false">J1725*O1725</f>
        <v>2773.8126</v>
      </c>
      <c r="W1725" s="56" t="n">
        <f aca="false">((I1725+J1725)/2)*O1725</f>
        <v>1849.2057</v>
      </c>
      <c r="X1725" s="56" t="n">
        <f aca="false">H1725*O1725</f>
        <v>1689.66</v>
      </c>
    </row>
    <row r="1726" customFormat="false" ht="22.35" hidden="false" customHeight="false" outlineLevel="0" collapsed="false">
      <c r="A1726" s="79" t="s">
        <v>2065</v>
      </c>
      <c r="B1726" s="7" t="s">
        <v>2509</v>
      </c>
      <c r="C1726" s="7" t="s">
        <v>2510</v>
      </c>
      <c r="D1726" s="7" t="s">
        <v>2109</v>
      </c>
      <c r="E1726" s="60" t="s">
        <v>2110</v>
      </c>
      <c r="F1726" s="7" t="s">
        <v>2097</v>
      </c>
      <c r="G1726" s="7" t="s">
        <v>2097</v>
      </c>
      <c r="H1726" s="9" t="n">
        <v>3460</v>
      </c>
      <c r="I1726" s="9" t="n">
        <v>4255.53</v>
      </c>
      <c r="J1726" s="9" t="n">
        <v>7092.55</v>
      </c>
      <c r="K1726" s="52" t="n">
        <v>7840</v>
      </c>
      <c r="L1726" s="58" t="n">
        <v>27.2</v>
      </c>
      <c r="M1726" s="59" t="n">
        <v>80.9</v>
      </c>
      <c r="N1726" s="9" t="n">
        <v>104.3022</v>
      </c>
      <c r="O1726" s="8" t="n">
        <v>0.72</v>
      </c>
      <c r="P1726" s="9" t="n">
        <v>-3632.55</v>
      </c>
      <c r="Q1726" s="7" t="s">
        <v>2103</v>
      </c>
      <c r="R1726" s="7" t="s">
        <v>2099</v>
      </c>
      <c r="S1726" s="58" t="n">
        <v>1.5</v>
      </c>
      <c r="T1726" s="9" t="n">
        <v>784</v>
      </c>
      <c r="U1726" s="56" t="n">
        <f aca="false">I1726*O1726</f>
        <v>3063.9816</v>
      </c>
      <c r="V1726" s="56" t="n">
        <f aca="false">J1726*O1726</f>
        <v>5106.636</v>
      </c>
      <c r="W1726" s="56" t="n">
        <f aca="false">((I1726+J1726)/2)*O1726</f>
        <v>4085.3088</v>
      </c>
      <c r="X1726" s="56" t="n">
        <f aca="false">H1726*O1726</f>
        <v>2491.2</v>
      </c>
    </row>
    <row r="1727" customFormat="false" ht="22.35" hidden="false" customHeight="false" outlineLevel="0" collapsed="false">
      <c r="A1727" s="79" t="s">
        <v>2065</v>
      </c>
      <c r="B1727" s="49" t="s">
        <v>2511</v>
      </c>
      <c r="C1727" s="49" t="s">
        <v>1611</v>
      </c>
      <c r="D1727" s="49" t="s">
        <v>2101</v>
      </c>
      <c r="E1727" s="57" t="s">
        <v>2102</v>
      </c>
      <c r="F1727" s="49" t="s">
        <v>2097</v>
      </c>
      <c r="G1727" s="49" t="s">
        <v>2097</v>
      </c>
      <c r="H1727" s="51" t="n">
        <v>172</v>
      </c>
      <c r="I1727" s="51" t="n">
        <v>110.01</v>
      </c>
      <c r="J1727" s="51" t="n">
        <v>330.04</v>
      </c>
      <c r="K1727" s="52" t="n">
        <v>400</v>
      </c>
      <c r="L1727" s="53" t="n">
        <v>37.6</v>
      </c>
      <c r="M1727" s="54" t="n">
        <v>88.9</v>
      </c>
      <c r="N1727" s="51" t="n">
        <v>5.851833</v>
      </c>
      <c r="O1727" s="55" t="n">
        <v>1.933</v>
      </c>
      <c r="P1727" s="51" t="n">
        <v>-158.04</v>
      </c>
      <c r="Q1727" s="49" t="s">
        <v>2103</v>
      </c>
      <c r="R1727" s="49" t="s">
        <v>2099</v>
      </c>
      <c r="S1727" s="53" t="n">
        <v>0.5</v>
      </c>
      <c r="T1727" s="51" t="n">
        <v>400</v>
      </c>
      <c r="U1727" s="56" t="n">
        <f aca="false">I1727*O1727</f>
        <v>212.64933</v>
      </c>
      <c r="V1727" s="56" t="n">
        <f aca="false">J1727*O1727</f>
        <v>637.96732</v>
      </c>
      <c r="W1727" s="56" t="n">
        <f aca="false">((I1727+J1727)/2)*O1727</f>
        <v>425.308325</v>
      </c>
      <c r="X1727" s="56" t="n">
        <f aca="false">H1727*O1727</f>
        <v>332.476</v>
      </c>
    </row>
    <row r="1728" customFormat="false" ht="22.35" hidden="false" customHeight="false" outlineLevel="0" collapsed="false">
      <c r="A1728" s="79" t="s">
        <v>2065</v>
      </c>
      <c r="B1728" s="7" t="s">
        <v>2512</v>
      </c>
      <c r="C1728" s="7" t="s">
        <v>2513</v>
      </c>
      <c r="D1728" s="7" t="s">
        <v>2095</v>
      </c>
      <c r="E1728" s="61" t="s">
        <v>2113</v>
      </c>
      <c r="F1728" s="7" t="s">
        <v>2097</v>
      </c>
      <c r="G1728" s="7" t="s">
        <v>2097</v>
      </c>
      <c r="H1728" s="9" t="n">
        <v>250</v>
      </c>
      <c r="I1728" s="9" t="n">
        <v>155.13</v>
      </c>
      <c r="J1728" s="9" t="n">
        <v>310.26</v>
      </c>
      <c r="K1728" s="52" t="n">
        <v>410</v>
      </c>
      <c r="L1728" s="58" t="n">
        <v>22.4</v>
      </c>
      <c r="M1728" s="59" t="n">
        <v>82.1</v>
      </c>
      <c r="N1728" s="9" t="n">
        <v>6.925534</v>
      </c>
      <c r="O1728" s="8" t="n">
        <v>1.0633</v>
      </c>
      <c r="P1728" s="9" t="n">
        <v>-60.26</v>
      </c>
      <c r="Q1728" s="7" t="s">
        <v>2103</v>
      </c>
      <c r="R1728" s="7" t="s">
        <v>2099</v>
      </c>
      <c r="S1728" s="58" t="n">
        <v>1</v>
      </c>
      <c r="T1728" s="9" t="n">
        <v>410</v>
      </c>
      <c r="U1728" s="56" t="n">
        <f aca="false">I1728*O1728</f>
        <v>164.949729</v>
      </c>
      <c r="V1728" s="56" t="n">
        <f aca="false">J1728*O1728</f>
        <v>329.899458</v>
      </c>
      <c r="W1728" s="56" t="n">
        <f aca="false">((I1728+J1728)/2)*O1728</f>
        <v>247.4245935</v>
      </c>
      <c r="X1728" s="56" t="n">
        <f aca="false">H1728*O1728</f>
        <v>265.825</v>
      </c>
    </row>
    <row r="1729" customFormat="false" ht="15" hidden="false" customHeight="false" outlineLevel="0" collapsed="false">
      <c r="A1729" s="79" t="s">
        <v>2065</v>
      </c>
      <c r="B1729" s="49" t="s">
        <v>2514</v>
      </c>
      <c r="C1729" s="49" t="s">
        <v>2515</v>
      </c>
      <c r="D1729" s="49" t="s">
        <v>2095</v>
      </c>
      <c r="E1729" s="50" t="s">
        <v>2096</v>
      </c>
      <c r="F1729" s="49" t="s">
        <v>2097</v>
      </c>
      <c r="G1729" s="49" t="s">
        <v>2097</v>
      </c>
      <c r="H1729" s="51" t="n">
        <v>150</v>
      </c>
      <c r="I1729" s="51" t="n">
        <v>6.36</v>
      </c>
      <c r="J1729" s="51" t="n">
        <v>12.72</v>
      </c>
      <c r="K1729" s="52" t="n">
        <v>12.72</v>
      </c>
      <c r="L1729" s="53" t="n">
        <v>28.8</v>
      </c>
      <c r="M1729" s="54" t="n">
        <v>71.7</v>
      </c>
      <c r="N1729" s="51" t="n">
        <v>0.221</v>
      </c>
      <c r="O1729" s="55" t="n">
        <v>0.76</v>
      </c>
      <c r="P1729" s="51" t="n">
        <v>137.28</v>
      </c>
      <c r="Q1729" s="49" t="s">
        <v>2098</v>
      </c>
      <c r="R1729" s="49" t="s">
        <v>2099</v>
      </c>
      <c r="S1729" s="53" t="n">
        <v>1</v>
      </c>
      <c r="T1729" s="51" t="n">
        <v>1</v>
      </c>
      <c r="U1729" s="56" t="n">
        <f aca="false">I1729*O1729</f>
        <v>4.8336</v>
      </c>
      <c r="V1729" s="56" t="n">
        <f aca="false">J1729*O1729</f>
        <v>9.6672</v>
      </c>
      <c r="W1729" s="56" t="n">
        <f aca="false">((I1729+J1729)/2)*O1729</f>
        <v>7.2504</v>
      </c>
      <c r="X1729" s="56" t="n">
        <f aca="false">H1729*O1729</f>
        <v>114</v>
      </c>
    </row>
    <row r="1730" customFormat="false" ht="15" hidden="false" customHeight="false" outlineLevel="0" collapsed="false">
      <c r="A1730" s="79" t="s">
        <v>2065</v>
      </c>
      <c r="B1730" s="7" t="s">
        <v>2516</v>
      </c>
      <c r="C1730" s="7" t="s">
        <v>2517</v>
      </c>
      <c r="D1730" s="7" t="s">
        <v>2101</v>
      </c>
      <c r="E1730" s="50" t="s">
        <v>2096</v>
      </c>
      <c r="F1730" s="7" t="s">
        <v>2097</v>
      </c>
      <c r="G1730" s="7" t="s">
        <v>2097</v>
      </c>
      <c r="H1730" s="9" t="n">
        <v>150</v>
      </c>
      <c r="I1730" s="9" t="n">
        <v>5.01</v>
      </c>
      <c r="J1730" s="9" t="n">
        <v>15.03</v>
      </c>
      <c r="K1730" s="52" t="n">
        <v>815.7</v>
      </c>
      <c r="L1730" s="58" t="n">
        <v>30.6</v>
      </c>
      <c r="M1730" s="59" t="n">
        <v>61.3</v>
      </c>
      <c r="N1730" s="9" t="n">
        <v>0.327296</v>
      </c>
      <c r="O1730" s="8" t="n">
        <v>3.15</v>
      </c>
      <c r="P1730" s="9" t="n">
        <v>134.97</v>
      </c>
      <c r="Q1730" s="7" t="s">
        <v>2098</v>
      </c>
      <c r="R1730" s="7" t="s">
        <v>2099</v>
      </c>
      <c r="S1730" s="58" t="n">
        <v>0.5</v>
      </c>
      <c r="T1730" s="9" t="n">
        <v>815.7</v>
      </c>
      <c r="U1730" s="56" t="n">
        <f aca="false">I1730*O1730</f>
        <v>15.7815</v>
      </c>
      <c r="V1730" s="56" t="n">
        <f aca="false">J1730*O1730</f>
        <v>47.3445</v>
      </c>
      <c r="W1730" s="56" t="n">
        <f aca="false">((I1730+J1730)/2)*O1730</f>
        <v>31.563</v>
      </c>
      <c r="X1730" s="56" t="n">
        <f aca="false">H1730*O1730</f>
        <v>472.5</v>
      </c>
    </row>
    <row r="1731" customFormat="false" ht="22.35" hidden="false" customHeight="false" outlineLevel="0" collapsed="false">
      <c r="A1731" s="79" t="s">
        <v>2065</v>
      </c>
      <c r="B1731" s="49" t="s">
        <v>2520</v>
      </c>
      <c r="C1731" s="49" t="s">
        <v>2521</v>
      </c>
      <c r="D1731" s="49" t="s">
        <v>2109</v>
      </c>
      <c r="E1731" s="60" t="s">
        <v>2110</v>
      </c>
      <c r="F1731" s="49" t="s">
        <v>2097</v>
      </c>
      <c r="G1731" s="49" t="s">
        <v>2097</v>
      </c>
      <c r="H1731" s="51" t="n">
        <v>3550</v>
      </c>
      <c r="I1731" s="51" t="n">
        <v>4398.02</v>
      </c>
      <c r="J1731" s="51" t="n">
        <v>7330.03</v>
      </c>
      <c r="K1731" s="52" t="n">
        <v>7600</v>
      </c>
      <c r="L1731" s="53" t="n">
        <v>28</v>
      </c>
      <c r="M1731" s="54" t="n">
        <v>88.2</v>
      </c>
      <c r="N1731" s="51" t="n">
        <v>104.714715</v>
      </c>
      <c r="O1731" s="55" t="n">
        <v>0.69</v>
      </c>
      <c r="P1731" s="51" t="n">
        <v>-3780.03</v>
      </c>
      <c r="Q1731" s="49" t="s">
        <v>2103</v>
      </c>
      <c r="R1731" s="49" t="s">
        <v>2099</v>
      </c>
      <c r="S1731" s="53" t="n">
        <v>1.5</v>
      </c>
      <c r="T1731" s="51" t="n">
        <v>400</v>
      </c>
      <c r="U1731" s="56" t="n">
        <f aca="false">I1731*O1731</f>
        <v>3034.6338</v>
      </c>
      <c r="V1731" s="56" t="n">
        <f aca="false">J1731*O1731</f>
        <v>5057.7207</v>
      </c>
      <c r="W1731" s="56" t="n">
        <f aca="false">((I1731+J1731)/2)*O1731</f>
        <v>4046.17725</v>
      </c>
      <c r="X1731" s="56" t="n">
        <f aca="false">H1731*O1731</f>
        <v>2449.5</v>
      </c>
    </row>
    <row r="1732" customFormat="false" ht="22.35" hidden="false" customHeight="false" outlineLevel="0" collapsed="false">
      <c r="A1732" s="79" t="s">
        <v>2065</v>
      </c>
      <c r="B1732" s="7" t="s">
        <v>2524</v>
      </c>
      <c r="C1732" s="7" t="s">
        <v>2525</v>
      </c>
      <c r="D1732" s="7" t="s">
        <v>2095</v>
      </c>
      <c r="E1732" s="61" t="s">
        <v>2113</v>
      </c>
      <c r="F1732" s="7" t="s">
        <v>2097</v>
      </c>
      <c r="G1732" s="7" t="s">
        <v>2097</v>
      </c>
      <c r="H1732" s="9" t="n">
        <v>1072</v>
      </c>
      <c r="I1732" s="9" t="n">
        <v>759.3</v>
      </c>
      <c r="J1732" s="9" t="n">
        <v>1518.6</v>
      </c>
      <c r="K1732" s="52" t="n">
        <v>1850</v>
      </c>
      <c r="L1732" s="58" t="n">
        <v>26.5</v>
      </c>
      <c r="M1732" s="59" t="n">
        <v>82.8</v>
      </c>
      <c r="N1732" s="9" t="n">
        <v>28.652837</v>
      </c>
      <c r="O1732" s="8" t="n">
        <v>2.42</v>
      </c>
      <c r="P1732" s="9" t="n">
        <v>-446.6</v>
      </c>
      <c r="Q1732" s="7" t="s">
        <v>2103</v>
      </c>
      <c r="R1732" s="7" t="s">
        <v>2099</v>
      </c>
      <c r="S1732" s="58" t="n">
        <v>1</v>
      </c>
      <c r="T1732" s="9" t="n">
        <v>370</v>
      </c>
      <c r="U1732" s="56" t="n">
        <f aca="false">I1732*O1732</f>
        <v>1837.506</v>
      </c>
      <c r="V1732" s="56" t="n">
        <f aca="false">J1732*O1732</f>
        <v>3675.012</v>
      </c>
      <c r="W1732" s="56" t="n">
        <f aca="false">((I1732+J1732)/2)*O1732</f>
        <v>2756.259</v>
      </c>
      <c r="X1732" s="56" t="n">
        <f aca="false">H1732*O1732</f>
        <v>2594.24</v>
      </c>
    </row>
    <row r="1733" customFormat="false" ht="15" hidden="false" customHeight="false" outlineLevel="0" collapsed="false">
      <c r="A1733" s="79" t="s">
        <v>2065</v>
      </c>
      <c r="B1733" s="49" t="s">
        <v>4214</v>
      </c>
      <c r="C1733" s="49" t="s">
        <v>4215</v>
      </c>
      <c r="D1733" s="49" t="s">
        <v>2101</v>
      </c>
      <c r="E1733" s="50" t="s">
        <v>2096</v>
      </c>
      <c r="F1733" s="49" t="s">
        <v>2097</v>
      </c>
      <c r="G1733" s="49" t="s">
        <v>2097</v>
      </c>
      <c r="H1733" s="51" t="n">
        <v>256</v>
      </c>
      <c r="I1733" s="51" t="n">
        <v>28.59</v>
      </c>
      <c r="J1733" s="51" t="n">
        <v>85.77</v>
      </c>
      <c r="K1733" s="52" t="n">
        <v>400</v>
      </c>
      <c r="L1733" s="53" t="n">
        <v>24</v>
      </c>
      <c r="M1733" s="54" t="n">
        <v>100</v>
      </c>
      <c r="N1733" s="51" t="n">
        <v>2.382433</v>
      </c>
      <c r="O1733" s="55" t="n">
        <v>3.18</v>
      </c>
      <c r="P1733" s="51" t="n">
        <v>170.23</v>
      </c>
      <c r="Q1733" s="49" t="s">
        <v>2098</v>
      </c>
      <c r="R1733" s="49" t="s">
        <v>2099</v>
      </c>
      <c r="S1733" s="53" t="n">
        <v>0.5</v>
      </c>
      <c r="T1733" s="51" t="n">
        <v>400</v>
      </c>
      <c r="U1733" s="56" t="n">
        <f aca="false">I1733*O1733</f>
        <v>90.9162</v>
      </c>
      <c r="V1733" s="56" t="n">
        <f aca="false">J1733*O1733</f>
        <v>272.7486</v>
      </c>
      <c r="W1733" s="56" t="n">
        <f aca="false">((I1733+J1733)/2)*O1733</f>
        <v>181.8324</v>
      </c>
      <c r="X1733" s="56" t="n">
        <f aca="false">H1733*O1733</f>
        <v>814.08</v>
      </c>
    </row>
    <row r="1734" customFormat="false" ht="22.35" hidden="false" customHeight="false" outlineLevel="0" collapsed="false">
      <c r="A1734" s="79" t="s">
        <v>2065</v>
      </c>
      <c r="B1734" s="7" t="s">
        <v>2528</v>
      </c>
      <c r="C1734" s="7" t="s">
        <v>2529</v>
      </c>
      <c r="D1734" s="7" t="s">
        <v>2095</v>
      </c>
      <c r="E1734" s="61" t="s">
        <v>2113</v>
      </c>
      <c r="F1734" s="7" t="s">
        <v>2097</v>
      </c>
      <c r="G1734" s="7" t="s">
        <v>2097</v>
      </c>
      <c r="H1734" s="9" t="n">
        <v>1549</v>
      </c>
      <c r="I1734" s="9" t="n">
        <v>1221.43</v>
      </c>
      <c r="J1734" s="9" t="n">
        <v>2442.86</v>
      </c>
      <c r="K1734" s="52" t="n">
        <v>4600</v>
      </c>
      <c r="L1734" s="58" t="n">
        <v>30.4</v>
      </c>
      <c r="M1734" s="59" t="n">
        <v>83.3</v>
      </c>
      <c r="N1734" s="9" t="n">
        <v>40.178623</v>
      </c>
      <c r="O1734" s="8" t="n">
        <v>1</v>
      </c>
      <c r="P1734" s="9" t="n">
        <v>-893.86</v>
      </c>
      <c r="Q1734" s="7" t="s">
        <v>2103</v>
      </c>
      <c r="R1734" s="7" t="s">
        <v>2099</v>
      </c>
      <c r="S1734" s="58" t="n">
        <v>1</v>
      </c>
      <c r="T1734" s="9" t="n">
        <v>2300</v>
      </c>
      <c r="U1734" s="56" t="n">
        <f aca="false">I1734*O1734</f>
        <v>1221.43</v>
      </c>
      <c r="V1734" s="56" t="n">
        <f aca="false">J1734*O1734</f>
        <v>2442.86</v>
      </c>
      <c r="W1734" s="56" t="n">
        <f aca="false">((I1734+J1734)/2)*O1734</f>
        <v>1832.145</v>
      </c>
      <c r="X1734" s="56" t="n">
        <f aca="false">H1734*O1734</f>
        <v>1549</v>
      </c>
    </row>
    <row r="1735" customFormat="false" ht="22.35" hidden="false" customHeight="false" outlineLevel="0" collapsed="false">
      <c r="A1735" s="79" t="s">
        <v>2065</v>
      </c>
      <c r="B1735" s="49" t="s">
        <v>4216</v>
      </c>
      <c r="C1735" s="49" t="s">
        <v>4217</v>
      </c>
      <c r="D1735" s="49" t="s">
        <v>2101</v>
      </c>
      <c r="E1735" s="57" t="s">
        <v>2102</v>
      </c>
      <c r="F1735" s="49" t="s">
        <v>2097</v>
      </c>
      <c r="G1735" s="49" t="s">
        <v>2097</v>
      </c>
      <c r="H1735" s="51" t="n">
        <v>404</v>
      </c>
      <c r="I1735" s="51" t="n">
        <v>280.68</v>
      </c>
      <c r="J1735" s="51" t="n">
        <v>842.03</v>
      </c>
      <c r="K1735" s="52" t="n">
        <v>940</v>
      </c>
      <c r="L1735" s="53" t="n">
        <v>39.9</v>
      </c>
      <c r="M1735" s="54" t="n">
        <v>80</v>
      </c>
      <c r="N1735" s="51" t="n">
        <v>14.069002</v>
      </c>
      <c r="O1735" s="55" t="n">
        <v>1.7115</v>
      </c>
      <c r="P1735" s="51" t="n">
        <v>-438.03</v>
      </c>
      <c r="Q1735" s="49" t="s">
        <v>2103</v>
      </c>
      <c r="R1735" s="49" t="s">
        <v>2099</v>
      </c>
      <c r="S1735" s="53" t="n">
        <v>0.5</v>
      </c>
      <c r="T1735" s="51" t="n">
        <v>470</v>
      </c>
      <c r="U1735" s="56" t="n">
        <f aca="false">I1735*O1735</f>
        <v>480.38382</v>
      </c>
      <c r="V1735" s="56" t="n">
        <f aca="false">J1735*O1735</f>
        <v>1441.134345</v>
      </c>
      <c r="W1735" s="56" t="n">
        <f aca="false">((I1735+J1735)/2)*O1735</f>
        <v>960.7590825</v>
      </c>
      <c r="X1735" s="56" t="n">
        <f aca="false">H1735*O1735</f>
        <v>691.446</v>
      </c>
    </row>
    <row r="1736" customFormat="false" ht="15" hidden="false" customHeight="false" outlineLevel="0" collapsed="false">
      <c r="A1736" s="79" t="s">
        <v>2065</v>
      </c>
      <c r="B1736" s="7" t="s">
        <v>2530</v>
      </c>
      <c r="C1736" s="7" t="s">
        <v>2527</v>
      </c>
      <c r="D1736" s="7" t="s">
        <v>2101</v>
      </c>
      <c r="E1736" s="50" t="s">
        <v>2096</v>
      </c>
      <c r="F1736" s="7" t="s">
        <v>2097</v>
      </c>
      <c r="G1736" s="7" t="s">
        <v>2097</v>
      </c>
      <c r="H1736" s="9" t="n">
        <v>150</v>
      </c>
      <c r="I1736" s="9" t="n">
        <v>0.41</v>
      </c>
      <c r="J1736" s="9" t="n">
        <v>1.23</v>
      </c>
      <c r="K1736" s="52" t="n">
        <v>1.23</v>
      </c>
      <c r="L1736" s="58" t="n">
        <v>24.6</v>
      </c>
      <c r="M1736" s="59" t="n">
        <v>73.9</v>
      </c>
      <c r="N1736" s="9" t="n">
        <v>0.033466</v>
      </c>
      <c r="O1736" s="8" t="n">
        <v>3.26</v>
      </c>
      <c r="P1736" s="9" t="n">
        <v>148.77</v>
      </c>
      <c r="Q1736" s="7" t="s">
        <v>2098</v>
      </c>
      <c r="R1736" s="7" t="s">
        <v>2099</v>
      </c>
      <c r="S1736" s="58" t="n">
        <v>0.5</v>
      </c>
      <c r="T1736" s="9" t="n">
        <v>0</v>
      </c>
      <c r="U1736" s="56" t="n">
        <f aca="false">I1736*O1736</f>
        <v>1.3366</v>
      </c>
      <c r="V1736" s="56" t="n">
        <f aca="false">J1736*O1736</f>
        <v>4.0098</v>
      </c>
      <c r="W1736" s="56" t="n">
        <f aca="false">((I1736+J1736)/2)*O1736</f>
        <v>2.6732</v>
      </c>
      <c r="X1736" s="56" t="n">
        <f aca="false">H1736*O1736</f>
        <v>489</v>
      </c>
    </row>
    <row r="1737" customFormat="false" ht="22.35" hidden="false" customHeight="false" outlineLevel="0" collapsed="false">
      <c r="A1737" s="79" t="s">
        <v>2065</v>
      </c>
      <c r="B1737" s="4" t="s">
        <v>4218</v>
      </c>
      <c r="C1737" s="4" t="s">
        <v>4219</v>
      </c>
      <c r="D1737" s="4" t="s">
        <v>2101</v>
      </c>
      <c r="E1737" s="70" t="s">
        <v>2193</v>
      </c>
      <c r="F1737" s="4" t="s">
        <v>2097</v>
      </c>
      <c r="G1737" s="71" t="s">
        <v>2194</v>
      </c>
      <c r="H1737" s="6" t="n">
        <v>150</v>
      </c>
      <c r="I1737" s="6" t="n">
        <v>0</v>
      </c>
      <c r="J1737" s="6" t="n">
        <v>0</v>
      </c>
      <c r="K1737" s="52" t="n">
        <v>0</v>
      </c>
      <c r="L1737" s="72" t="n">
        <v>31.2</v>
      </c>
      <c r="M1737" s="73" t="n">
        <v>50</v>
      </c>
      <c r="N1737" s="6" t="n">
        <v>1.178399</v>
      </c>
      <c r="O1737" s="5" t="n">
        <v>2.05</v>
      </c>
      <c r="P1737" s="6" t="n">
        <v>150</v>
      </c>
      <c r="Q1737" s="4" t="s">
        <v>2098</v>
      </c>
      <c r="R1737" s="4" t="s">
        <v>2195</v>
      </c>
      <c r="S1737" s="72" t="n">
        <v>0</v>
      </c>
      <c r="T1737" s="6" t="n">
        <v>423</v>
      </c>
      <c r="U1737" s="56" t="n">
        <f aca="false">I1737*O1737</f>
        <v>0</v>
      </c>
      <c r="V1737" s="56" t="n">
        <f aca="false">J1737*O1737</f>
        <v>0</v>
      </c>
      <c r="W1737" s="56" t="n">
        <f aca="false">((I1737+J1737)/2)*O1737</f>
        <v>0</v>
      </c>
      <c r="X1737" s="56" t="n">
        <f aca="false">H1737*O1737</f>
        <v>307.5</v>
      </c>
    </row>
    <row r="1738" customFormat="false" ht="22.35" hidden="false" customHeight="false" outlineLevel="0" collapsed="false">
      <c r="A1738" s="79" t="s">
        <v>2065</v>
      </c>
      <c r="B1738" s="7" t="s">
        <v>2531</v>
      </c>
      <c r="C1738" s="7" t="s">
        <v>2532</v>
      </c>
      <c r="D1738" s="7" t="s">
        <v>2109</v>
      </c>
      <c r="E1738" s="60" t="s">
        <v>2110</v>
      </c>
      <c r="F1738" s="7" t="s">
        <v>2097</v>
      </c>
      <c r="G1738" s="7" t="s">
        <v>2097</v>
      </c>
      <c r="H1738" s="9" t="n">
        <v>150</v>
      </c>
      <c r="I1738" s="9" t="n">
        <v>204.16</v>
      </c>
      <c r="J1738" s="9" t="n">
        <v>340.27</v>
      </c>
      <c r="K1738" s="52" t="n">
        <v>340.27</v>
      </c>
      <c r="L1738" s="58" t="n">
        <v>34.8</v>
      </c>
      <c r="M1738" s="59" t="n">
        <v>84.4</v>
      </c>
      <c r="N1738" s="9" t="n">
        <v>3.911205</v>
      </c>
      <c r="O1738" s="8" t="n">
        <v>0.89</v>
      </c>
      <c r="P1738" s="9" t="n">
        <v>-190.27</v>
      </c>
      <c r="Q1738" s="7" t="s">
        <v>2103</v>
      </c>
      <c r="R1738" s="7" t="s">
        <v>2099</v>
      </c>
      <c r="S1738" s="58" t="n">
        <v>1.5</v>
      </c>
      <c r="T1738" s="9" t="n">
        <v>1</v>
      </c>
      <c r="U1738" s="56" t="n">
        <f aca="false">I1738*O1738</f>
        <v>181.7024</v>
      </c>
      <c r="V1738" s="56" t="n">
        <f aca="false">J1738*O1738</f>
        <v>302.8403</v>
      </c>
      <c r="W1738" s="56" t="n">
        <f aca="false">((I1738+J1738)/2)*O1738</f>
        <v>242.27135</v>
      </c>
      <c r="X1738" s="56" t="n">
        <f aca="false">H1738*O1738</f>
        <v>133.5</v>
      </c>
    </row>
    <row r="1739" customFormat="false" ht="22.35" hidden="false" customHeight="false" outlineLevel="0" collapsed="false">
      <c r="A1739" s="79" t="s">
        <v>2065</v>
      </c>
      <c r="B1739" s="49" t="s">
        <v>4220</v>
      </c>
      <c r="C1739" s="49" t="s">
        <v>2527</v>
      </c>
      <c r="D1739" s="49" t="s">
        <v>2101</v>
      </c>
      <c r="E1739" s="57" t="s">
        <v>2102</v>
      </c>
      <c r="F1739" s="49" t="s">
        <v>2097</v>
      </c>
      <c r="G1739" s="49" t="s">
        <v>2097</v>
      </c>
      <c r="H1739" s="51" t="n">
        <v>837</v>
      </c>
      <c r="I1739" s="51" t="n">
        <v>324.92</v>
      </c>
      <c r="J1739" s="51" t="n">
        <v>974.77</v>
      </c>
      <c r="K1739" s="52" t="n">
        <v>1684</v>
      </c>
      <c r="L1739" s="53" t="n">
        <v>25.8</v>
      </c>
      <c r="M1739" s="54" t="n">
        <v>79.2</v>
      </c>
      <c r="N1739" s="51" t="n">
        <v>25.187928</v>
      </c>
      <c r="O1739" s="55" t="n">
        <v>2.4552</v>
      </c>
      <c r="P1739" s="51" t="n">
        <v>-137.77</v>
      </c>
      <c r="Q1739" s="49" t="s">
        <v>2103</v>
      </c>
      <c r="R1739" s="49" t="s">
        <v>2099</v>
      </c>
      <c r="S1739" s="53" t="n">
        <v>0.5</v>
      </c>
      <c r="T1739" s="51" t="n">
        <v>842</v>
      </c>
      <c r="U1739" s="56" t="n">
        <f aca="false">I1739*O1739</f>
        <v>797.743584</v>
      </c>
      <c r="V1739" s="56" t="n">
        <f aca="false">J1739*O1739</f>
        <v>2393.255304</v>
      </c>
      <c r="W1739" s="56" t="n">
        <f aca="false">((I1739+J1739)/2)*O1739</f>
        <v>1595.499444</v>
      </c>
      <c r="X1739" s="56" t="n">
        <f aca="false">H1739*O1739</f>
        <v>2055.0024</v>
      </c>
    </row>
    <row r="1740" customFormat="false" ht="22.35" hidden="false" customHeight="false" outlineLevel="0" collapsed="false">
      <c r="A1740" s="79" t="s">
        <v>2065</v>
      </c>
      <c r="B1740" s="7" t="s">
        <v>2533</v>
      </c>
      <c r="C1740" s="7" t="s">
        <v>2534</v>
      </c>
      <c r="D1740" s="7" t="s">
        <v>2095</v>
      </c>
      <c r="E1740" s="61" t="s">
        <v>2113</v>
      </c>
      <c r="F1740" s="7" t="s">
        <v>2097</v>
      </c>
      <c r="G1740" s="7" t="s">
        <v>2097</v>
      </c>
      <c r="H1740" s="9" t="n">
        <v>3905</v>
      </c>
      <c r="I1740" s="9" t="n">
        <v>3035.34</v>
      </c>
      <c r="J1740" s="9" t="n">
        <v>6070.68</v>
      </c>
      <c r="K1740" s="52" t="n">
        <v>8597.94</v>
      </c>
      <c r="L1740" s="58" t="n">
        <v>22.4</v>
      </c>
      <c r="M1740" s="59" t="n">
        <v>82.4</v>
      </c>
      <c r="N1740" s="9" t="n">
        <v>135.506287</v>
      </c>
      <c r="O1740" s="8" t="n">
        <v>1.314</v>
      </c>
      <c r="P1740" s="9" t="n">
        <v>-2165.68</v>
      </c>
      <c r="Q1740" s="7" t="s">
        <v>2103</v>
      </c>
      <c r="R1740" s="7" t="s">
        <v>2099</v>
      </c>
      <c r="S1740" s="58" t="n">
        <v>1</v>
      </c>
      <c r="T1740" s="9" t="n">
        <v>2865.98</v>
      </c>
      <c r="U1740" s="56" t="n">
        <f aca="false">I1740*O1740</f>
        <v>3988.43676</v>
      </c>
      <c r="V1740" s="56" t="n">
        <f aca="false">J1740*O1740</f>
        <v>7976.87352</v>
      </c>
      <c r="W1740" s="56" t="n">
        <f aca="false">((I1740+J1740)/2)*O1740</f>
        <v>5982.65514</v>
      </c>
      <c r="X1740" s="56" t="n">
        <f aca="false">H1740*O1740</f>
        <v>5131.17</v>
      </c>
    </row>
    <row r="1741" customFormat="false" ht="22.35" hidden="false" customHeight="false" outlineLevel="0" collapsed="false">
      <c r="A1741" s="79" t="s">
        <v>2065</v>
      </c>
      <c r="B1741" s="49" t="s">
        <v>2537</v>
      </c>
      <c r="C1741" s="49" t="s">
        <v>2538</v>
      </c>
      <c r="D1741" s="49" t="s">
        <v>2109</v>
      </c>
      <c r="E1741" s="60" t="s">
        <v>2110</v>
      </c>
      <c r="F1741" s="49" t="s">
        <v>2097</v>
      </c>
      <c r="G1741" s="49" t="s">
        <v>2097</v>
      </c>
      <c r="H1741" s="51" t="n">
        <v>4571</v>
      </c>
      <c r="I1741" s="51" t="n">
        <v>8309.79</v>
      </c>
      <c r="J1741" s="51" t="n">
        <v>13849.65</v>
      </c>
      <c r="K1741" s="52" t="n">
        <v>20000</v>
      </c>
      <c r="L1741" s="53" t="n">
        <v>49</v>
      </c>
      <c r="M1741" s="54" t="n">
        <v>85.6</v>
      </c>
      <c r="N1741" s="51" t="n">
        <v>113.058301</v>
      </c>
      <c r="O1741" s="55" t="n">
        <v>0.64</v>
      </c>
      <c r="P1741" s="51" t="n">
        <v>-9278.65</v>
      </c>
      <c r="Q1741" s="49" t="s">
        <v>2103</v>
      </c>
      <c r="R1741" s="49" t="s">
        <v>2099</v>
      </c>
      <c r="S1741" s="53" t="n">
        <v>1.5</v>
      </c>
      <c r="T1741" s="51" t="n">
        <v>10000</v>
      </c>
      <c r="U1741" s="56" t="n">
        <f aca="false">I1741*O1741</f>
        <v>5318.2656</v>
      </c>
      <c r="V1741" s="56" t="n">
        <f aca="false">J1741*O1741</f>
        <v>8863.776</v>
      </c>
      <c r="W1741" s="56" t="n">
        <f aca="false">((I1741+J1741)/2)*O1741</f>
        <v>7091.0208</v>
      </c>
      <c r="X1741" s="56" t="n">
        <f aca="false">H1741*O1741</f>
        <v>2925.44</v>
      </c>
    </row>
    <row r="1742" customFormat="false" ht="22.35" hidden="false" customHeight="false" outlineLevel="0" collapsed="false">
      <c r="A1742" s="79" t="s">
        <v>2065</v>
      </c>
      <c r="B1742" s="7" t="s">
        <v>2539</v>
      </c>
      <c r="C1742" s="7" t="s">
        <v>2540</v>
      </c>
      <c r="D1742" s="7" t="s">
        <v>2109</v>
      </c>
      <c r="E1742" s="60" t="s">
        <v>2110</v>
      </c>
      <c r="F1742" s="7" t="s">
        <v>2097</v>
      </c>
      <c r="G1742" s="7" t="s">
        <v>2097</v>
      </c>
      <c r="H1742" s="9" t="n">
        <v>1996</v>
      </c>
      <c r="I1742" s="9" t="n">
        <v>4394.72</v>
      </c>
      <c r="J1742" s="9" t="n">
        <v>7324.54</v>
      </c>
      <c r="K1742" s="52" t="n">
        <v>7524</v>
      </c>
      <c r="L1742" s="58" t="n">
        <v>51</v>
      </c>
      <c r="M1742" s="59" t="n">
        <v>67.5</v>
      </c>
      <c r="N1742" s="9" t="n">
        <v>57.447357</v>
      </c>
      <c r="O1742" s="8" t="n">
        <v>1.73</v>
      </c>
      <c r="P1742" s="9" t="n">
        <v>-5328.54</v>
      </c>
      <c r="Q1742" s="7" t="s">
        <v>2103</v>
      </c>
      <c r="R1742" s="7" t="s">
        <v>2099</v>
      </c>
      <c r="S1742" s="58" t="n">
        <v>1.5</v>
      </c>
      <c r="T1742" s="9" t="n">
        <v>396</v>
      </c>
      <c r="U1742" s="56" t="n">
        <f aca="false">I1742*O1742</f>
        <v>7602.8656</v>
      </c>
      <c r="V1742" s="56" t="n">
        <f aca="false">J1742*O1742</f>
        <v>12671.4542</v>
      </c>
      <c r="W1742" s="56" t="n">
        <f aca="false">((I1742+J1742)/2)*O1742</f>
        <v>10137.1599</v>
      </c>
      <c r="X1742" s="56" t="n">
        <f aca="false">H1742*O1742</f>
        <v>3453.08</v>
      </c>
    </row>
    <row r="1743" customFormat="false" ht="15" hidden="false" customHeight="false" outlineLevel="0" collapsed="false">
      <c r="A1743" s="79" t="s">
        <v>2065</v>
      </c>
      <c r="B1743" s="49" t="s">
        <v>2545</v>
      </c>
      <c r="C1743" s="49" t="s">
        <v>2546</v>
      </c>
      <c r="D1743" s="49" t="s">
        <v>2109</v>
      </c>
      <c r="E1743" s="50" t="s">
        <v>2096</v>
      </c>
      <c r="F1743" s="49" t="s">
        <v>2097</v>
      </c>
      <c r="G1743" s="49" t="s">
        <v>2097</v>
      </c>
      <c r="H1743" s="51" t="n">
        <v>654</v>
      </c>
      <c r="I1743" s="51" t="n">
        <v>373.52</v>
      </c>
      <c r="J1743" s="51" t="n">
        <v>622.54</v>
      </c>
      <c r="K1743" s="52" t="n">
        <v>622.54</v>
      </c>
      <c r="L1743" s="53" t="n">
        <v>12.8</v>
      </c>
      <c r="M1743" s="54" t="n">
        <v>82.9</v>
      </c>
      <c r="N1743" s="51" t="n">
        <v>19.454312</v>
      </c>
      <c r="O1743" s="55" t="n">
        <v>0.893</v>
      </c>
      <c r="P1743" s="51" t="n">
        <v>31.46</v>
      </c>
      <c r="Q1743" s="49" t="s">
        <v>2098</v>
      </c>
      <c r="R1743" s="49" t="s">
        <v>2099</v>
      </c>
      <c r="S1743" s="53" t="n">
        <v>1.5</v>
      </c>
      <c r="T1743" s="51" t="n">
        <v>1</v>
      </c>
      <c r="U1743" s="56" t="n">
        <f aca="false">I1743*O1743</f>
        <v>333.55336</v>
      </c>
      <c r="V1743" s="56" t="n">
        <f aca="false">J1743*O1743</f>
        <v>555.92822</v>
      </c>
      <c r="W1743" s="56" t="n">
        <f aca="false">((I1743+J1743)/2)*O1743</f>
        <v>444.74079</v>
      </c>
      <c r="X1743" s="56" t="n">
        <f aca="false">H1743*O1743</f>
        <v>584.022</v>
      </c>
    </row>
    <row r="1744" customFormat="false" ht="22.35" hidden="false" customHeight="false" outlineLevel="0" collapsed="false">
      <c r="A1744" s="79" t="s">
        <v>2065</v>
      </c>
      <c r="B1744" s="7" t="s">
        <v>4221</v>
      </c>
      <c r="C1744" s="7" t="s">
        <v>4222</v>
      </c>
      <c r="D1744" s="7" t="s">
        <v>2101</v>
      </c>
      <c r="E1744" s="57" t="s">
        <v>2102</v>
      </c>
      <c r="F1744" s="7" t="s">
        <v>2097</v>
      </c>
      <c r="G1744" s="7" t="s">
        <v>2097</v>
      </c>
      <c r="H1744" s="9" t="n">
        <v>199</v>
      </c>
      <c r="I1744" s="9" t="n">
        <v>113.3</v>
      </c>
      <c r="J1744" s="9" t="n">
        <v>339.89</v>
      </c>
      <c r="K1744" s="52" t="n">
        <v>429.99</v>
      </c>
      <c r="L1744" s="58" t="n">
        <v>35.6</v>
      </c>
      <c r="M1744" s="59" t="n">
        <v>85.7</v>
      </c>
      <c r="N1744" s="9" t="n">
        <v>6.36501</v>
      </c>
      <c r="O1744" s="8" t="n">
        <v>2</v>
      </c>
      <c r="P1744" s="9" t="n">
        <v>-140.89</v>
      </c>
      <c r="Q1744" s="7" t="s">
        <v>2103</v>
      </c>
      <c r="R1744" s="7" t="s">
        <v>2099</v>
      </c>
      <c r="S1744" s="58" t="n">
        <v>0.5</v>
      </c>
      <c r="T1744" s="9" t="n">
        <v>429.99</v>
      </c>
      <c r="U1744" s="56" t="n">
        <f aca="false">I1744*O1744</f>
        <v>226.6</v>
      </c>
      <c r="V1744" s="56" t="n">
        <f aca="false">J1744*O1744</f>
        <v>679.78</v>
      </c>
      <c r="W1744" s="56" t="n">
        <f aca="false">((I1744+J1744)/2)*O1744</f>
        <v>453.19</v>
      </c>
      <c r="X1744" s="56" t="n">
        <f aca="false">H1744*O1744</f>
        <v>398</v>
      </c>
    </row>
    <row r="1745" customFormat="false" ht="22.35" hidden="false" customHeight="false" outlineLevel="0" collapsed="false">
      <c r="A1745" s="79" t="s">
        <v>2065</v>
      </c>
      <c r="B1745" s="49" t="s">
        <v>2553</v>
      </c>
      <c r="C1745" s="49" t="s">
        <v>1983</v>
      </c>
      <c r="D1745" s="49" t="s">
        <v>2109</v>
      </c>
      <c r="E1745" s="60" t="s">
        <v>2110</v>
      </c>
      <c r="F1745" s="49" t="s">
        <v>2097</v>
      </c>
      <c r="G1745" s="49" t="s">
        <v>2097</v>
      </c>
      <c r="H1745" s="51" t="n">
        <v>8814</v>
      </c>
      <c r="I1745" s="51" t="n">
        <v>8582.93</v>
      </c>
      <c r="J1745" s="51" t="n">
        <v>14304.88</v>
      </c>
      <c r="K1745" s="52" t="n">
        <v>15000</v>
      </c>
      <c r="L1745" s="53" t="n">
        <v>42.1</v>
      </c>
      <c r="M1745" s="54" t="n">
        <v>69.2</v>
      </c>
      <c r="N1745" s="51" t="n">
        <v>135.913384</v>
      </c>
      <c r="O1745" s="55" t="n">
        <v>1.6</v>
      </c>
      <c r="P1745" s="51" t="n">
        <v>-5490.88</v>
      </c>
      <c r="Q1745" s="49" t="s">
        <v>2103</v>
      </c>
      <c r="R1745" s="49" t="s">
        <v>2099</v>
      </c>
      <c r="S1745" s="53" t="n">
        <v>1.5</v>
      </c>
      <c r="T1745" s="51" t="n">
        <v>1000</v>
      </c>
      <c r="U1745" s="56" t="n">
        <f aca="false">I1745*O1745</f>
        <v>13732.688</v>
      </c>
      <c r="V1745" s="56" t="n">
        <f aca="false">J1745*O1745</f>
        <v>22887.808</v>
      </c>
      <c r="W1745" s="56" t="n">
        <f aca="false">((I1745+J1745)/2)*O1745</f>
        <v>18310.248</v>
      </c>
      <c r="X1745" s="56" t="n">
        <f aca="false">H1745*O1745</f>
        <v>14102.4</v>
      </c>
    </row>
    <row r="1746" customFormat="false" ht="15" hidden="false" customHeight="false" outlineLevel="0" collapsed="false">
      <c r="A1746" s="79" t="s">
        <v>2065</v>
      </c>
      <c r="B1746" s="7" t="s">
        <v>4003</v>
      </c>
      <c r="C1746" s="7" t="s">
        <v>1983</v>
      </c>
      <c r="D1746" s="7" t="s">
        <v>2101</v>
      </c>
      <c r="E1746" s="50" t="s">
        <v>2096</v>
      </c>
      <c r="F1746" s="7" t="s">
        <v>2097</v>
      </c>
      <c r="G1746" s="7" t="s">
        <v>2097</v>
      </c>
      <c r="H1746" s="9" t="n">
        <v>150</v>
      </c>
      <c r="I1746" s="9" t="n">
        <v>39.95</v>
      </c>
      <c r="J1746" s="9" t="n">
        <v>119.85</v>
      </c>
      <c r="K1746" s="52" t="n">
        <v>150</v>
      </c>
      <c r="L1746" s="58" t="n">
        <v>18.6</v>
      </c>
      <c r="M1746" s="59" t="n">
        <v>77.8</v>
      </c>
      <c r="N1746" s="9" t="n">
        <v>4.295699</v>
      </c>
      <c r="O1746" s="8" t="n">
        <v>2.1851</v>
      </c>
      <c r="P1746" s="9" t="n">
        <v>30.15</v>
      </c>
      <c r="Q1746" s="7" t="s">
        <v>2098</v>
      </c>
      <c r="R1746" s="7" t="s">
        <v>2099</v>
      </c>
      <c r="S1746" s="58" t="n">
        <v>0.5</v>
      </c>
      <c r="T1746" s="9" t="n">
        <v>50</v>
      </c>
      <c r="U1746" s="56" t="n">
        <f aca="false">I1746*O1746</f>
        <v>87.294745</v>
      </c>
      <c r="V1746" s="56" t="n">
        <f aca="false">J1746*O1746</f>
        <v>261.884235</v>
      </c>
      <c r="W1746" s="56" t="n">
        <f aca="false">((I1746+J1746)/2)*O1746</f>
        <v>174.58949</v>
      </c>
      <c r="X1746" s="56" t="n">
        <f aca="false">H1746*O1746</f>
        <v>327.765</v>
      </c>
    </row>
    <row r="1747" customFormat="false" ht="22.35" hidden="false" customHeight="false" outlineLevel="0" collapsed="false">
      <c r="A1747" s="79" t="s">
        <v>2065</v>
      </c>
      <c r="B1747" s="49" t="s">
        <v>4223</v>
      </c>
      <c r="C1747" s="49" t="s">
        <v>1983</v>
      </c>
      <c r="D1747" s="49" t="s">
        <v>2101</v>
      </c>
      <c r="E1747" s="57" t="s">
        <v>2102</v>
      </c>
      <c r="F1747" s="49" t="s">
        <v>2097</v>
      </c>
      <c r="G1747" s="49" t="s">
        <v>2097</v>
      </c>
      <c r="H1747" s="51" t="n">
        <v>3015</v>
      </c>
      <c r="I1747" s="51" t="n">
        <v>2600.78</v>
      </c>
      <c r="J1747" s="51" t="n">
        <v>7802.34</v>
      </c>
      <c r="K1747" s="52" t="n">
        <v>8000</v>
      </c>
      <c r="L1747" s="53" t="n">
        <v>69.8</v>
      </c>
      <c r="M1747" s="54" t="n">
        <v>75</v>
      </c>
      <c r="N1747" s="51" t="n">
        <v>74.520974</v>
      </c>
      <c r="O1747" s="55" t="n">
        <v>1.827</v>
      </c>
      <c r="P1747" s="51" t="n">
        <v>-4787.34</v>
      </c>
      <c r="Q1747" s="49" t="s">
        <v>2103</v>
      </c>
      <c r="R1747" s="49" t="s">
        <v>2099</v>
      </c>
      <c r="S1747" s="53" t="n">
        <v>0.5</v>
      </c>
      <c r="T1747" s="51" t="n">
        <v>500</v>
      </c>
      <c r="U1747" s="56" t="n">
        <f aca="false">I1747*O1747</f>
        <v>4751.62506</v>
      </c>
      <c r="V1747" s="56" t="n">
        <f aca="false">J1747*O1747</f>
        <v>14254.87518</v>
      </c>
      <c r="W1747" s="56" t="n">
        <f aca="false">((I1747+J1747)/2)*O1747</f>
        <v>9503.25012</v>
      </c>
      <c r="X1747" s="56" t="n">
        <f aca="false">H1747*O1747</f>
        <v>5508.405</v>
      </c>
    </row>
    <row r="1748" customFormat="false" ht="22.35" hidden="false" customHeight="false" outlineLevel="0" collapsed="false">
      <c r="A1748" s="79" t="s">
        <v>2065</v>
      </c>
      <c r="B1748" s="7" t="s">
        <v>2554</v>
      </c>
      <c r="C1748" s="7" t="s">
        <v>1983</v>
      </c>
      <c r="D1748" s="7" t="s">
        <v>2109</v>
      </c>
      <c r="E1748" s="60" t="s">
        <v>2110</v>
      </c>
      <c r="F1748" s="7" t="s">
        <v>2097</v>
      </c>
      <c r="G1748" s="7" t="s">
        <v>2097</v>
      </c>
      <c r="H1748" s="9" t="n">
        <v>2488</v>
      </c>
      <c r="I1748" s="9" t="n">
        <v>2757.82</v>
      </c>
      <c r="J1748" s="9" t="n">
        <v>4596.36</v>
      </c>
      <c r="K1748" s="52" t="n">
        <v>4600</v>
      </c>
      <c r="L1748" s="58" t="n">
        <v>43.4</v>
      </c>
      <c r="M1748" s="59" t="n">
        <v>75.5</v>
      </c>
      <c r="N1748" s="9" t="n">
        <v>42.36277</v>
      </c>
      <c r="O1748" s="8" t="n">
        <v>1.6</v>
      </c>
      <c r="P1748" s="9" t="n">
        <v>-2108.36</v>
      </c>
      <c r="Q1748" s="7" t="s">
        <v>2103</v>
      </c>
      <c r="R1748" s="7" t="s">
        <v>2099</v>
      </c>
      <c r="S1748" s="58" t="n">
        <v>1.5</v>
      </c>
      <c r="T1748" s="9" t="n">
        <v>50</v>
      </c>
      <c r="U1748" s="56" t="n">
        <f aca="false">I1748*O1748</f>
        <v>4412.512</v>
      </c>
      <c r="V1748" s="56" t="n">
        <f aca="false">J1748*O1748</f>
        <v>7354.176</v>
      </c>
      <c r="W1748" s="56" t="n">
        <f aca="false">((I1748+J1748)/2)*O1748</f>
        <v>5883.344</v>
      </c>
      <c r="X1748" s="56" t="n">
        <f aca="false">H1748*O1748</f>
        <v>3980.8</v>
      </c>
    </row>
    <row r="1749" customFormat="false" ht="22.35" hidden="false" customHeight="false" outlineLevel="0" collapsed="false">
      <c r="A1749" s="79" t="s">
        <v>2065</v>
      </c>
      <c r="B1749" s="49" t="s">
        <v>2555</v>
      </c>
      <c r="C1749" s="49" t="s">
        <v>1983</v>
      </c>
      <c r="D1749" s="49" t="s">
        <v>2109</v>
      </c>
      <c r="E1749" s="60" t="s">
        <v>2110</v>
      </c>
      <c r="F1749" s="49" t="s">
        <v>2097</v>
      </c>
      <c r="G1749" s="49" t="s">
        <v>2097</v>
      </c>
      <c r="H1749" s="51" t="n">
        <v>12718</v>
      </c>
      <c r="I1749" s="51" t="n">
        <v>32143.38</v>
      </c>
      <c r="J1749" s="51" t="n">
        <v>53572.3</v>
      </c>
      <c r="K1749" s="52" t="n">
        <v>53600</v>
      </c>
      <c r="L1749" s="53" t="n">
        <v>74.6</v>
      </c>
      <c r="M1749" s="54" t="n">
        <v>83.8</v>
      </c>
      <c r="N1749" s="51" t="n">
        <v>287.250902</v>
      </c>
      <c r="O1749" s="55" t="n">
        <v>1.5901</v>
      </c>
      <c r="P1749" s="51" t="n">
        <v>-40854.3</v>
      </c>
      <c r="Q1749" s="49" t="s">
        <v>2103</v>
      </c>
      <c r="R1749" s="49" t="s">
        <v>2099</v>
      </c>
      <c r="S1749" s="53" t="n">
        <v>1.5</v>
      </c>
      <c r="T1749" s="51" t="n">
        <v>50</v>
      </c>
      <c r="U1749" s="56" t="n">
        <f aca="false">I1749*O1749</f>
        <v>51111.188538</v>
      </c>
      <c r="V1749" s="56" t="n">
        <f aca="false">J1749*O1749</f>
        <v>85185.31423</v>
      </c>
      <c r="W1749" s="56" t="n">
        <f aca="false">((I1749+J1749)/2)*O1749</f>
        <v>68148.251384</v>
      </c>
      <c r="X1749" s="56" t="n">
        <f aca="false">H1749*O1749</f>
        <v>20222.8918</v>
      </c>
    </row>
    <row r="1750" customFormat="false" ht="22.35" hidden="false" customHeight="false" outlineLevel="0" collapsed="false">
      <c r="A1750" s="79" t="s">
        <v>2065</v>
      </c>
      <c r="B1750" s="7" t="s">
        <v>2556</v>
      </c>
      <c r="C1750" s="7" t="s">
        <v>1983</v>
      </c>
      <c r="D1750" s="7" t="s">
        <v>2109</v>
      </c>
      <c r="E1750" s="60" t="s">
        <v>2110</v>
      </c>
      <c r="F1750" s="7" t="s">
        <v>2097</v>
      </c>
      <c r="G1750" s="7" t="s">
        <v>2097</v>
      </c>
      <c r="H1750" s="9" t="n">
        <v>30280</v>
      </c>
      <c r="I1750" s="9" t="n">
        <v>33253.01</v>
      </c>
      <c r="J1750" s="9" t="n">
        <v>55421.68</v>
      </c>
      <c r="K1750" s="52" t="n">
        <v>83776</v>
      </c>
      <c r="L1750" s="58" t="n">
        <v>46.8</v>
      </c>
      <c r="M1750" s="59" t="n">
        <v>84.7</v>
      </c>
      <c r="N1750" s="9" t="n">
        <v>473.689617</v>
      </c>
      <c r="O1750" s="8" t="n">
        <v>1.59</v>
      </c>
      <c r="P1750" s="9" t="n">
        <v>-25141.68</v>
      </c>
      <c r="Q1750" s="7" t="s">
        <v>2103</v>
      </c>
      <c r="R1750" s="7" t="s">
        <v>2099</v>
      </c>
      <c r="S1750" s="58" t="n">
        <v>1.5</v>
      </c>
      <c r="T1750" s="9" t="n">
        <v>41888</v>
      </c>
      <c r="U1750" s="56" t="n">
        <f aca="false">I1750*O1750</f>
        <v>52872.2859</v>
      </c>
      <c r="V1750" s="56" t="n">
        <f aca="false">J1750*O1750</f>
        <v>88120.4712</v>
      </c>
      <c r="W1750" s="56" t="n">
        <f aca="false">((I1750+J1750)/2)*O1750</f>
        <v>70496.37855</v>
      </c>
      <c r="X1750" s="56" t="n">
        <f aca="false">H1750*O1750</f>
        <v>48145.2</v>
      </c>
    </row>
    <row r="1751" customFormat="false" ht="22.35" hidden="false" customHeight="false" outlineLevel="0" collapsed="false">
      <c r="A1751" s="79" t="s">
        <v>2065</v>
      </c>
      <c r="B1751" s="49" t="s">
        <v>2557</v>
      </c>
      <c r="C1751" s="49" t="s">
        <v>1983</v>
      </c>
      <c r="D1751" s="49" t="s">
        <v>2095</v>
      </c>
      <c r="E1751" s="61" t="s">
        <v>2113</v>
      </c>
      <c r="F1751" s="49" t="s">
        <v>2097</v>
      </c>
      <c r="G1751" s="49" t="s">
        <v>2097</v>
      </c>
      <c r="H1751" s="51" t="n">
        <v>982</v>
      </c>
      <c r="I1751" s="51" t="n">
        <v>1647.26</v>
      </c>
      <c r="J1751" s="51" t="n">
        <v>3294.52</v>
      </c>
      <c r="K1751" s="52" t="n">
        <v>3500</v>
      </c>
      <c r="L1751" s="53" t="n">
        <v>46.9</v>
      </c>
      <c r="M1751" s="54" t="n">
        <v>90.2</v>
      </c>
      <c r="N1751" s="51" t="n">
        <v>35.122726</v>
      </c>
      <c r="O1751" s="55" t="n">
        <v>2.14</v>
      </c>
      <c r="P1751" s="51" t="n">
        <v>-2312.52</v>
      </c>
      <c r="Q1751" s="49" t="s">
        <v>2103</v>
      </c>
      <c r="R1751" s="49" t="s">
        <v>2099</v>
      </c>
      <c r="S1751" s="53" t="n">
        <v>1</v>
      </c>
      <c r="T1751" s="51" t="n">
        <v>500</v>
      </c>
      <c r="U1751" s="56" t="n">
        <f aca="false">I1751*O1751</f>
        <v>3525.1364</v>
      </c>
      <c r="V1751" s="56" t="n">
        <f aca="false">J1751*O1751</f>
        <v>7050.2728</v>
      </c>
      <c r="W1751" s="56" t="n">
        <f aca="false">((I1751+J1751)/2)*O1751</f>
        <v>5287.7046</v>
      </c>
      <c r="X1751" s="56" t="n">
        <f aca="false">H1751*O1751</f>
        <v>2101.48</v>
      </c>
    </row>
    <row r="1752" customFormat="false" ht="22.35" hidden="false" customHeight="false" outlineLevel="0" collapsed="false">
      <c r="A1752" s="79" t="s">
        <v>2065</v>
      </c>
      <c r="B1752" s="7" t="s">
        <v>2558</v>
      </c>
      <c r="C1752" s="7" t="s">
        <v>2559</v>
      </c>
      <c r="D1752" s="7" t="s">
        <v>2101</v>
      </c>
      <c r="E1752" s="57" t="s">
        <v>2102</v>
      </c>
      <c r="F1752" s="7" t="s">
        <v>2097</v>
      </c>
      <c r="G1752" s="7" t="s">
        <v>2097</v>
      </c>
      <c r="H1752" s="9" t="n">
        <v>150</v>
      </c>
      <c r="I1752" s="9" t="n">
        <v>70.83</v>
      </c>
      <c r="J1752" s="9" t="n">
        <v>212.49</v>
      </c>
      <c r="K1752" s="52" t="n">
        <v>500</v>
      </c>
      <c r="L1752" s="58" t="n">
        <v>58.3</v>
      </c>
      <c r="M1752" s="59" t="n">
        <v>46.2</v>
      </c>
      <c r="N1752" s="9" t="n">
        <v>2.429877</v>
      </c>
      <c r="O1752" s="8" t="n">
        <v>8.45</v>
      </c>
      <c r="P1752" s="9" t="n">
        <v>-62.49</v>
      </c>
      <c r="Q1752" s="7" t="s">
        <v>2103</v>
      </c>
      <c r="R1752" s="7" t="s">
        <v>2099</v>
      </c>
      <c r="S1752" s="58" t="n">
        <v>0.5</v>
      </c>
      <c r="T1752" s="9" t="n">
        <v>500</v>
      </c>
      <c r="U1752" s="56" t="n">
        <f aca="false">I1752*O1752</f>
        <v>598.5135</v>
      </c>
      <c r="V1752" s="56" t="n">
        <f aca="false">J1752*O1752</f>
        <v>1795.5405</v>
      </c>
      <c r="W1752" s="56" t="n">
        <f aca="false">((I1752+J1752)/2)*O1752</f>
        <v>1197.027</v>
      </c>
      <c r="X1752" s="56" t="n">
        <f aca="false">H1752*O1752</f>
        <v>1267.5</v>
      </c>
    </row>
    <row r="1753" customFormat="false" ht="32.8" hidden="false" customHeight="false" outlineLevel="0" collapsed="false">
      <c r="A1753" s="79" t="s">
        <v>2065</v>
      </c>
      <c r="B1753" s="62" t="s">
        <v>4010</v>
      </c>
      <c r="C1753" s="62" t="s">
        <v>3478</v>
      </c>
      <c r="D1753" s="62" t="s">
        <v>2101</v>
      </c>
      <c r="E1753" s="78" t="s">
        <v>3474</v>
      </c>
      <c r="F1753" s="64" t="s">
        <v>2170</v>
      </c>
      <c r="G1753" s="62" t="s">
        <v>2097</v>
      </c>
      <c r="H1753" s="65" t="n">
        <v>150</v>
      </c>
      <c r="I1753" s="65" t="n">
        <v>84.52</v>
      </c>
      <c r="J1753" s="65" t="n">
        <v>253.57</v>
      </c>
      <c r="K1753" s="66" t="n">
        <v>275</v>
      </c>
      <c r="L1753" s="67" t="n">
        <v>48.7</v>
      </c>
      <c r="M1753" s="68" t="n">
        <v>61.9</v>
      </c>
      <c r="N1753" s="65" t="n">
        <v>2.529087</v>
      </c>
      <c r="O1753" s="69" t="n">
        <v>10.9967</v>
      </c>
      <c r="P1753" s="65" t="n">
        <v>-103.57</v>
      </c>
      <c r="Q1753" s="62" t="s">
        <v>2103</v>
      </c>
      <c r="R1753" s="62" t="s">
        <v>4011</v>
      </c>
      <c r="S1753" s="67" t="n">
        <v>0.5</v>
      </c>
      <c r="T1753" s="65" t="n">
        <v>55</v>
      </c>
      <c r="U1753" s="56" t="n">
        <f aca="false">I1753*O1753</f>
        <v>929.441084</v>
      </c>
      <c r="V1753" s="56" t="n">
        <f aca="false">J1753*O1753</f>
        <v>2788.433219</v>
      </c>
      <c r="W1753" s="56" t="n">
        <f aca="false">((I1753+J1753)/2)*O1753</f>
        <v>1858.9371515</v>
      </c>
      <c r="X1753" s="56" t="n">
        <f aca="false">H1753*O1753</f>
        <v>1649.505</v>
      </c>
    </row>
    <row r="1754" customFormat="false" ht="22.35" hidden="false" customHeight="false" outlineLevel="0" collapsed="false">
      <c r="A1754" s="79" t="s">
        <v>2065</v>
      </c>
      <c r="B1754" s="62" t="s">
        <v>4014</v>
      </c>
      <c r="C1754" s="62" t="s">
        <v>1661</v>
      </c>
      <c r="D1754" s="62" t="s">
        <v>2101</v>
      </c>
      <c r="E1754" s="63" t="s">
        <v>2169</v>
      </c>
      <c r="F1754" s="64" t="s">
        <v>2170</v>
      </c>
      <c r="G1754" s="62" t="s">
        <v>2097</v>
      </c>
      <c r="H1754" s="65" t="n">
        <v>150</v>
      </c>
      <c r="I1754" s="65" t="n">
        <v>31.08</v>
      </c>
      <c r="J1754" s="65" t="n">
        <v>93.24</v>
      </c>
      <c r="K1754" s="66" t="n">
        <v>132</v>
      </c>
      <c r="L1754" s="67" t="n">
        <v>47.8</v>
      </c>
      <c r="M1754" s="68" t="n">
        <v>33.3</v>
      </c>
      <c r="N1754" s="65" t="n">
        <v>1.165411</v>
      </c>
      <c r="O1754" s="69" t="n">
        <v>11.1147</v>
      </c>
      <c r="P1754" s="65" t="n">
        <v>56.76</v>
      </c>
      <c r="Q1754" s="62" t="s">
        <v>2098</v>
      </c>
      <c r="R1754" s="62" t="s">
        <v>4015</v>
      </c>
      <c r="S1754" s="67" t="n">
        <v>0.5</v>
      </c>
      <c r="T1754" s="65" t="n">
        <v>44</v>
      </c>
      <c r="U1754" s="56" t="n">
        <f aca="false">I1754*O1754</f>
        <v>345.444876</v>
      </c>
      <c r="V1754" s="56" t="n">
        <f aca="false">J1754*O1754</f>
        <v>1036.334628</v>
      </c>
      <c r="W1754" s="56" t="n">
        <f aca="false">((I1754+J1754)/2)*O1754</f>
        <v>690.889752</v>
      </c>
      <c r="X1754" s="56" t="n">
        <f aca="false">H1754*O1754</f>
        <v>1667.205</v>
      </c>
    </row>
    <row r="1755" customFormat="false" ht="15" hidden="false" customHeight="false" outlineLevel="0" collapsed="false">
      <c r="A1755" s="79" t="s">
        <v>2065</v>
      </c>
      <c r="B1755" s="49" t="s">
        <v>4016</v>
      </c>
      <c r="C1755" s="49" t="s">
        <v>1703</v>
      </c>
      <c r="D1755" s="49" t="s">
        <v>2101</v>
      </c>
      <c r="E1755" s="50" t="s">
        <v>2096</v>
      </c>
      <c r="F1755" s="49" t="s">
        <v>2097</v>
      </c>
      <c r="G1755" s="49" t="s">
        <v>2097</v>
      </c>
      <c r="H1755" s="51" t="n">
        <v>150</v>
      </c>
      <c r="I1755" s="51" t="n">
        <v>23.22</v>
      </c>
      <c r="J1755" s="51" t="n">
        <v>69.65</v>
      </c>
      <c r="K1755" s="52" t="n">
        <v>110</v>
      </c>
      <c r="L1755" s="53" t="n">
        <v>78.2</v>
      </c>
      <c r="M1755" s="54" t="n">
        <v>50</v>
      </c>
      <c r="N1755" s="51" t="n">
        <v>0.593757</v>
      </c>
      <c r="O1755" s="55" t="n">
        <v>22.01</v>
      </c>
      <c r="P1755" s="51" t="n">
        <v>80.35</v>
      </c>
      <c r="Q1755" s="49" t="s">
        <v>2098</v>
      </c>
      <c r="R1755" s="49" t="s">
        <v>2099</v>
      </c>
      <c r="S1755" s="53" t="n">
        <v>0.5</v>
      </c>
      <c r="T1755" s="51" t="n">
        <v>55</v>
      </c>
      <c r="U1755" s="56" t="n">
        <f aca="false">I1755*O1755</f>
        <v>511.0722</v>
      </c>
      <c r="V1755" s="56" t="n">
        <f aca="false">J1755*O1755</f>
        <v>1532.9965</v>
      </c>
      <c r="W1755" s="56" t="n">
        <f aca="false">((I1755+J1755)/2)*O1755</f>
        <v>1022.03435</v>
      </c>
      <c r="X1755" s="56" t="n">
        <f aca="false">H1755*O1755</f>
        <v>3301.5</v>
      </c>
    </row>
    <row r="1756" customFormat="false" ht="15" hidden="false" customHeight="false" outlineLevel="0" collapsed="false">
      <c r="A1756" s="79" t="s">
        <v>2065</v>
      </c>
      <c r="B1756" s="7" t="s">
        <v>4017</v>
      </c>
      <c r="C1756" s="7" t="s">
        <v>4018</v>
      </c>
      <c r="D1756" s="7" t="s">
        <v>2101</v>
      </c>
      <c r="E1756" s="50" t="s">
        <v>2096</v>
      </c>
      <c r="F1756" s="7" t="s">
        <v>2097</v>
      </c>
      <c r="G1756" s="7" t="s">
        <v>2097</v>
      </c>
      <c r="H1756" s="9" t="n">
        <v>150</v>
      </c>
      <c r="I1756" s="9" t="n">
        <v>0.4</v>
      </c>
      <c r="J1756" s="9" t="n">
        <v>1.21</v>
      </c>
      <c r="K1756" s="52" t="n">
        <v>40</v>
      </c>
      <c r="L1756" s="58" t="n">
        <v>8.7</v>
      </c>
      <c r="M1756" s="59" t="n">
        <v>78.9</v>
      </c>
      <c r="N1756" s="9" t="n">
        <v>0.092767</v>
      </c>
      <c r="O1756" s="8" t="n">
        <v>35.05</v>
      </c>
      <c r="P1756" s="9" t="n">
        <v>148.79</v>
      </c>
      <c r="Q1756" s="7" t="s">
        <v>2098</v>
      </c>
      <c r="R1756" s="7" t="s">
        <v>2099</v>
      </c>
      <c r="S1756" s="58" t="n">
        <v>0.5</v>
      </c>
      <c r="T1756" s="9" t="n">
        <v>40</v>
      </c>
      <c r="U1756" s="56" t="n">
        <f aca="false">I1756*O1756</f>
        <v>14.02</v>
      </c>
      <c r="V1756" s="56" t="n">
        <f aca="false">J1756*O1756</f>
        <v>42.4105</v>
      </c>
      <c r="W1756" s="56" t="n">
        <f aca="false">((I1756+J1756)/2)*O1756</f>
        <v>28.21525</v>
      </c>
      <c r="X1756" s="56" t="n">
        <f aca="false">H1756*O1756</f>
        <v>5257.5</v>
      </c>
    </row>
    <row r="1757" customFormat="false" ht="22.35" hidden="false" customHeight="false" outlineLevel="0" collapsed="false">
      <c r="A1757" s="79" t="s">
        <v>2065</v>
      </c>
      <c r="B1757" s="49" t="s">
        <v>4019</v>
      </c>
      <c r="C1757" s="49" t="s">
        <v>4020</v>
      </c>
      <c r="D1757" s="49" t="s">
        <v>2101</v>
      </c>
      <c r="E1757" s="57" t="s">
        <v>2102</v>
      </c>
      <c r="F1757" s="49" t="s">
        <v>2097</v>
      </c>
      <c r="G1757" s="49" t="s">
        <v>2097</v>
      </c>
      <c r="H1757" s="51" t="n">
        <v>175</v>
      </c>
      <c r="I1757" s="51" t="n">
        <v>126.17</v>
      </c>
      <c r="J1757" s="51" t="n">
        <v>378.51</v>
      </c>
      <c r="K1757" s="52" t="n">
        <v>396</v>
      </c>
      <c r="L1757" s="53" t="n">
        <v>65.1</v>
      </c>
      <c r="M1757" s="54" t="n">
        <v>60</v>
      </c>
      <c r="N1757" s="51" t="n">
        <v>3.876115</v>
      </c>
      <c r="O1757" s="55" t="n">
        <v>18.87</v>
      </c>
      <c r="P1757" s="51" t="n">
        <v>-203.51</v>
      </c>
      <c r="Q1757" s="49" t="s">
        <v>2103</v>
      </c>
      <c r="R1757" s="49" t="s">
        <v>2099</v>
      </c>
      <c r="S1757" s="53" t="n">
        <v>0.5</v>
      </c>
      <c r="T1757" s="51" t="n">
        <v>44</v>
      </c>
      <c r="U1757" s="56" t="n">
        <f aca="false">I1757*O1757</f>
        <v>2380.8279</v>
      </c>
      <c r="V1757" s="56" t="n">
        <f aca="false">J1757*O1757</f>
        <v>7142.4837</v>
      </c>
      <c r="W1757" s="56" t="n">
        <f aca="false">((I1757+J1757)/2)*O1757</f>
        <v>4761.6558</v>
      </c>
      <c r="X1757" s="56" t="n">
        <f aca="false">H1757*O1757</f>
        <v>3302.25</v>
      </c>
    </row>
    <row r="1758" customFormat="false" ht="15" hidden="false" customHeight="false" outlineLevel="0" collapsed="false">
      <c r="A1758" s="79" t="s">
        <v>2065</v>
      </c>
      <c r="B1758" s="7" t="s">
        <v>4224</v>
      </c>
      <c r="C1758" s="7" t="s">
        <v>2562</v>
      </c>
      <c r="D1758" s="7" t="s">
        <v>2101</v>
      </c>
      <c r="E1758" s="50" t="s">
        <v>2096</v>
      </c>
      <c r="F1758" s="7" t="s">
        <v>2097</v>
      </c>
      <c r="G1758" s="7" t="s">
        <v>2097</v>
      </c>
      <c r="H1758" s="9" t="n">
        <v>150</v>
      </c>
      <c r="I1758" s="9" t="n">
        <v>32.86</v>
      </c>
      <c r="J1758" s="9" t="n">
        <v>98.57</v>
      </c>
      <c r="K1758" s="52" t="n">
        <v>100</v>
      </c>
      <c r="L1758" s="58" t="n">
        <v>21</v>
      </c>
      <c r="M1758" s="59" t="n">
        <v>14.3</v>
      </c>
      <c r="N1758" s="9" t="n">
        <v>3.129055</v>
      </c>
      <c r="O1758" s="8" t="n">
        <v>2.447</v>
      </c>
      <c r="P1758" s="9" t="n">
        <v>51.43</v>
      </c>
      <c r="Q1758" s="7" t="s">
        <v>2098</v>
      </c>
      <c r="R1758" s="7" t="s">
        <v>2099</v>
      </c>
      <c r="S1758" s="58" t="n">
        <v>0.5</v>
      </c>
      <c r="T1758" s="9" t="n">
        <v>50</v>
      </c>
      <c r="U1758" s="56" t="n">
        <f aca="false">I1758*O1758</f>
        <v>80.40842</v>
      </c>
      <c r="V1758" s="56" t="n">
        <f aca="false">J1758*O1758</f>
        <v>241.20079</v>
      </c>
      <c r="W1758" s="56" t="n">
        <f aca="false">((I1758+J1758)/2)*O1758</f>
        <v>160.804605</v>
      </c>
      <c r="X1758" s="56" t="n">
        <f aca="false">H1758*O1758</f>
        <v>367.05</v>
      </c>
    </row>
    <row r="1759" customFormat="false" ht="15" hidden="false" customHeight="false" outlineLevel="0" collapsed="false">
      <c r="A1759" s="79" t="s">
        <v>2065</v>
      </c>
      <c r="B1759" s="49" t="s">
        <v>4023</v>
      </c>
      <c r="C1759" s="49" t="s">
        <v>4024</v>
      </c>
      <c r="D1759" s="49" t="s">
        <v>2101</v>
      </c>
      <c r="E1759" s="50" t="s">
        <v>2096</v>
      </c>
      <c r="F1759" s="49" t="s">
        <v>2097</v>
      </c>
      <c r="G1759" s="49" t="s">
        <v>2097</v>
      </c>
      <c r="H1759" s="51" t="n">
        <v>150</v>
      </c>
      <c r="I1759" s="51" t="n">
        <v>17.05</v>
      </c>
      <c r="J1759" s="51" t="n">
        <v>51.16</v>
      </c>
      <c r="K1759" s="52" t="n">
        <v>80</v>
      </c>
      <c r="L1759" s="53" t="n">
        <v>26.7</v>
      </c>
      <c r="M1759" s="54" t="n">
        <v>80</v>
      </c>
      <c r="N1759" s="51" t="n">
        <v>1.27741</v>
      </c>
      <c r="O1759" s="55" t="n">
        <v>10.3091</v>
      </c>
      <c r="P1759" s="51" t="n">
        <v>98.84</v>
      </c>
      <c r="Q1759" s="49" t="s">
        <v>2098</v>
      </c>
      <c r="R1759" s="49" t="s">
        <v>2099</v>
      </c>
      <c r="S1759" s="53" t="n">
        <v>0.5</v>
      </c>
      <c r="T1759" s="51" t="n">
        <v>40</v>
      </c>
      <c r="U1759" s="56" t="n">
        <f aca="false">I1759*O1759</f>
        <v>175.770155</v>
      </c>
      <c r="V1759" s="56" t="n">
        <f aca="false">J1759*O1759</f>
        <v>527.413556</v>
      </c>
      <c r="W1759" s="56" t="n">
        <f aca="false">((I1759+J1759)/2)*O1759</f>
        <v>351.5918555</v>
      </c>
      <c r="X1759" s="56" t="n">
        <f aca="false">H1759*O1759</f>
        <v>1546.365</v>
      </c>
    </row>
    <row r="1760" customFormat="false" ht="22.35" hidden="false" customHeight="false" outlineLevel="0" collapsed="false">
      <c r="A1760" s="79" t="s">
        <v>2065</v>
      </c>
      <c r="B1760" s="7" t="s">
        <v>2563</v>
      </c>
      <c r="C1760" s="7" t="s">
        <v>2562</v>
      </c>
      <c r="D1760" s="7" t="s">
        <v>2095</v>
      </c>
      <c r="E1760" s="61" t="s">
        <v>2113</v>
      </c>
      <c r="F1760" s="7" t="s">
        <v>2097</v>
      </c>
      <c r="G1760" s="7" t="s">
        <v>2097</v>
      </c>
      <c r="H1760" s="9" t="n">
        <v>190</v>
      </c>
      <c r="I1760" s="9" t="n">
        <v>238.67</v>
      </c>
      <c r="J1760" s="9" t="n">
        <v>477.34</v>
      </c>
      <c r="K1760" s="52" t="n">
        <v>2200</v>
      </c>
      <c r="L1760" s="58" t="n">
        <v>34.4</v>
      </c>
      <c r="M1760" s="59" t="n">
        <v>85.5</v>
      </c>
      <c r="N1760" s="9" t="n">
        <v>6.937986</v>
      </c>
      <c r="O1760" s="8" t="n">
        <v>1.985</v>
      </c>
      <c r="P1760" s="9" t="n">
        <v>-287.34</v>
      </c>
      <c r="Q1760" s="7" t="s">
        <v>2103</v>
      </c>
      <c r="R1760" s="7" t="s">
        <v>2099</v>
      </c>
      <c r="S1760" s="58" t="n">
        <v>1</v>
      </c>
      <c r="T1760" s="9" t="n">
        <v>2200</v>
      </c>
      <c r="U1760" s="56" t="n">
        <f aca="false">I1760*O1760</f>
        <v>473.75995</v>
      </c>
      <c r="V1760" s="56" t="n">
        <f aca="false">J1760*O1760</f>
        <v>947.5199</v>
      </c>
      <c r="W1760" s="56" t="n">
        <f aca="false">((I1760+J1760)/2)*O1760</f>
        <v>710.639925</v>
      </c>
      <c r="X1760" s="56" t="n">
        <f aca="false">H1760*O1760</f>
        <v>377.15</v>
      </c>
    </row>
    <row r="1761" customFormat="false" ht="22.35" hidden="false" customHeight="false" outlineLevel="0" collapsed="false">
      <c r="A1761" s="79" t="s">
        <v>2065</v>
      </c>
      <c r="B1761" s="49" t="s">
        <v>4027</v>
      </c>
      <c r="C1761" s="49" t="s">
        <v>4028</v>
      </c>
      <c r="D1761" s="49" t="s">
        <v>2101</v>
      </c>
      <c r="E1761" s="57" t="s">
        <v>2102</v>
      </c>
      <c r="F1761" s="49" t="s">
        <v>2097</v>
      </c>
      <c r="G1761" s="49" t="s">
        <v>2097</v>
      </c>
      <c r="H1761" s="51" t="n">
        <v>154</v>
      </c>
      <c r="I1761" s="51" t="n">
        <v>52.56</v>
      </c>
      <c r="J1761" s="51" t="n">
        <v>157.68</v>
      </c>
      <c r="K1761" s="52" t="n">
        <v>165.48</v>
      </c>
      <c r="L1761" s="53" t="n">
        <v>30.8</v>
      </c>
      <c r="M1761" s="54" t="n">
        <v>57.7</v>
      </c>
      <c r="N1761" s="51" t="n">
        <v>3.412886</v>
      </c>
      <c r="O1761" s="55" t="n">
        <v>8.12</v>
      </c>
      <c r="P1761" s="51" t="n">
        <v>-3.68</v>
      </c>
      <c r="Q1761" s="49" t="s">
        <v>2103</v>
      </c>
      <c r="R1761" s="49" t="s">
        <v>2099</v>
      </c>
      <c r="S1761" s="53" t="n">
        <v>0.5</v>
      </c>
      <c r="T1761" s="51" t="n">
        <v>33.096</v>
      </c>
      <c r="U1761" s="56" t="n">
        <f aca="false">I1761*O1761</f>
        <v>426.7872</v>
      </c>
      <c r="V1761" s="56" t="n">
        <f aca="false">J1761*O1761</f>
        <v>1280.3616</v>
      </c>
      <c r="W1761" s="56" t="n">
        <f aca="false">((I1761+J1761)/2)*O1761</f>
        <v>853.5744</v>
      </c>
      <c r="X1761" s="56" t="n">
        <f aca="false">H1761*O1761</f>
        <v>1250.48</v>
      </c>
    </row>
    <row r="1762" customFormat="false" ht="22.35" hidden="false" customHeight="false" outlineLevel="0" collapsed="false">
      <c r="A1762" s="79" t="s">
        <v>2065</v>
      </c>
      <c r="B1762" s="7" t="s">
        <v>2564</v>
      </c>
      <c r="C1762" s="7" t="s">
        <v>1703</v>
      </c>
      <c r="D1762" s="7" t="s">
        <v>2101</v>
      </c>
      <c r="E1762" s="57" t="s">
        <v>2102</v>
      </c>
      <c r="F1762" s="7" t="s">
        <v>2097</v>
      </c>
      <c r="G1762" s="7" t="s">
        <v>2097</v>
      </c>
      <c r="H1762" s="9" t="n">
        <v>165</v>
      </c>
      <c r="I1762" s="9" t="n">
        <v>105.1</v>
      </c>
      <c r="J1762" s="9" t="n">
        <v>315.3</v>
      </c>
      <c r="K1762" s="52" t="n">
        <v>330</v>
      </c>
      <c r="L1762" s="58" t="n">
        <v>43.2</v>
      </c>
      <c r="M1762" s="59" t="n">
        <v>72.2</v>
      </c>
      <c r="N1762" s="9" t="n">
        <v>4.865649</v>
      </c>
      <c r="O1762" s="8" t="n">
        <v>11.01</v>
      </c>
      <c r="P1762" s="9" t="n">
        <v>-150.3</v>
      </c>
      <c r="Q1762" s="7" t="s">
        <v>2103</v>
      </c>
      <c r="R1762" s="7" t="s">
        <v>2099</v>
      </c>
      <c r="S1762" s="58" t="n">
        <v>0.5</v>
      </c>
      <c r="T1762" s="9" t="n">
        <v>55</v>
      </c>
      <c r="U1762" s="56" t="n">
        <f aca="false">I1762*O1762</f>
        <v>1157.151</v>
      </c>
      <c r="V1762" s="56" t="n">
        <f aca="false">J1762*O1762</f>
        <v>3471.453</v>
      </c>
      <c r="W1762" s="56" t="n">
        <f aca="false">((I1762+J1762)/2)*O1762</f>
        <v>2314.302</v>
      </c>
      <c r="X1762" s="56" t="n">
        <f aca="false">H1762*O1762</f>
        <v>1816.65</v>
      </c>
    </row>
    <row r="1763" customFormat="false" ht="15" hidden="false" customHeight="false" outlineLevel="0" collapsed="false">
      <c r="A1763" s="79" t="s">
        <v>2065</v>
      </c>
      <c r="B1763" s="49" t="s">
        <v>4029</v>
      </c>
      <c r="C1763" s="49" t="s">
        <v>1661</v>
      </c>
      <c r="D1763" s="49" t="s">
        <v>2101</v>
      </c>
      <c r="E1763" s="50" t="s">
        <v>2096</v>
      </c>
      <c r="F1763" s="49" t="s">
        <v>2097</v>
      </c>
      <c r="G1763" s="49" t="s">
        <v>2097</v>
      </c>
      <c r="H1763" s="51" t="n">
        <v>150</v>
      </c>
      <c r="I1763" s="51" t="n">
        <v>13.42</v>
      </c>
      <c r="J1763" s="51" t="n">
        <v>40.27</v>
      </c>
      <c r="K1763" s="52" t="n">
        <v>100</v>
      </c>
      <c r="L1763" s="53" t="n">
        <v>18.7</v>
      </c>
      <c r="M1763" s="54" t="n">
        <v>66.7</v>
      </c>
      <c r="N1763" s="51" t="n">
        <v>1.435631</v>
      </c>
      <c r="O1763" s="55" t="n">
        <v>16.1844</v>
      </c>
      <c r="P1763" s="51" t="n">
        <v>109.73</v>
      </c>
      <c r="Q1763" s="49" t="s">
        <v>2098</v>
      </c>
      <c r="R1763" s="49" t="s">
        <v>2099</v>
      </c>
      <c r="S1763" s="53" t="n">
        <v>0.5</v>
      </c>
      <c r="T1763" s="51" t="n">
        <v>100</v>
      </c>
      <c r="U1763" s="56" t="n">
        <f aca="false">I1763*O1763</f>
        <v>217.194648</v>
      </c>
      <c r="V1763" s="56" t="n">
        <f aca="false">J1763*O1763</f>
        <v>651.745788</v>
      </c>
      <c r="W1763" s="56" t="n">
        <f aca="false">((I1763+J1763)/2)*O1763</f>
        <v>434.470218</v>
      </c>
      <c r="X1763" s="56" t="n">
        <f aca="false">H1763*O1763</f>
        <v>2427.66</v>
      </c>
    </row>
    <row r="1764" customFormat="false" ht="22.35" hidden="false" customHeight="false" outlineLevel="0" collapsed="false">
      <c r="A1764" s="80" t="s">
        <v>2067</v>
      </c>
      <c r="B1764" s="7" t="s">
        <v>4225</v>
      </c>
      <c r="C1764" s="7" t="s">
        <v>1531</v>
      </c>
      <c r="D1764" s="7" t="s">
        <v>2101</v>
      </c>
      <c r="E1764" s="57" t="s">
        <v>2102</v>
      </c>
      <c r="F1764" s="7" t="s">
        <v>2097</v>
      </c>
      <c r="G1764" s="7" t="s">
        <v>2097</v>
      </c>
      <c r="H1764" s="9" t="n">
        <v>859.7473</v>
      </c>
      <c r="I1764" s="9" t="n">
        <v>287.82</v>
      </c>
      <c r="J1764" s="9" t="n">
        <v>863.46</v>
      </c>
      <c r="K1764" s="52" t="n">
        <v>2200</v>
      </c>
      <c r="L1764" s="58" t="n">
        <v>12.1</v>
      </c>
      <c r="M1764" s="59" t="n">
        <v>50</v>
      </c>
      <c r="N1764" s="9" t="n">
        <v>47.573928</v>
      </c>
      <c r="O1764" s="8" t="n">
        <v>0.5255</v>
      </c>
      <c r="P1764" s="9" t="n">
        <v>-3.71</v>
      </c>
      <c r="Q1764" s="7" t="s">
        <v>2103</v>
      </c>
      <c r="R1764" s="7" t="s">
        <v>2099</v>
      </c>
      <c r="S1764" s="58" t="n">
        <v>0.5</v>
      </c>
      <c r="T1764" s="9" t="n">
        <v>2200</v>
      </c>
      <c r="U1764" s="56" t="n">
        <f aca="false">I1764*O1764</f>
        <v>151.24941</v>
      </c>
      <c r="V1764" s="56" t="n">
        <f aca="false">J1764*O1764</f>
        <v>453.74823</v>
      </c>
      <c r="W1764" s="56" t="n">
        <f aca="false">((I1764+J1764)/2)*O1764</f>
        <v>302.49882</v>
      </c>
      <c r="X1764" s="56" t="n">
        <f aca="false">H1764*O1764</f>
        <v>451.79720615</v>
      </c>
    </row>
    <row r="1765" customFormat="false" ht="22.35" hidden="false" customHeight="false" outlineLevel="0" collapsed="false">
      <c r="A1765" s="80" t="s">
        <v>2067</v>
      </c>
      <c r="B1765" s="49" t="s">
        <v>4226</v>
      </c>
      <c r="C1765" s="49" t="s">
        <v>1531</v>
      </c>
      <c r="D1765" s="49" t="s">
        <v>2101</v>
      </c>
      <c r="E1765" s="57" t="s">
        <v>2102</v>
      </c>
      <c r="F1765" s="49" t="s">
        <v>2097</v>
      </c>
      <c r="G1765" s="49" t="s">
        <v>2097</v>
      </c>
      <c r="H1765" s="51" t="n">
        <v>500</v>
      </c>
      <c r="I1765" s="51" t="n">
        <v>172.03</v>
      </c>
      <c r="J1765" s="51" t="n">
        <v>516.09</v>
      </c>
      <c r="K1765" s="52" t="n">
        <v>1440</v>
      </c>
      <c r="L1765" s="53" t="n">
        <v>42.2</v>
      </c>
      <c r="M1765" s="54" t="n">
        <v>50</v>
      </c>
      <c r="N1765" s="51" t="n">
        <v>8.152976</v>
      </c>
      <c r="O1765" s="55" t="n">
        <v>3.64</v>
      </c>
      <c r="P1765" s="51" t="n">
        <v>-16.09</v>
      </c>
      <c r="Q1765" s="49" t="s">
        <v>2103</v>
      </c>
      <c r="R1765" s="49" t="s">
        <v>2099</v>
      </c>
      <c r="S1765" s="53" t="n">
        <v>0.5</v>
      </c>
      <c r="T1765" s="51" t="n">
        <v>1440</v>
      </c>
      <c r="U1765" s="56" t="n">
        <f aca="false">I1765*O1765</f>
        <v>626.1892</v>
      </c>
      <c r="V1765" s="56" t="n">
        <f aca="false">J1765*O1765</f>
        <v>1878.5676</v>
      </c>
      <c r="W1765" s="56" t="n">
        <f aca="false">((I1765+J1765)/2)*O1765</f>
        <v>1252.3784</v>
      </c>
      <c r="X1765" s="56" t="n">
        <f aca="false">H1765*O1765</f>
        <v>1820</v>
      </c>
    </row>
    <row r="1766" customFormat="false" ht="22.35" hidden="false" customHeight="false" outlineLevel="0" collapsed="false">
      <c r="A1766" s="80" t="s">
        <v>2067</v>
      </c>
      <c r="B1766" s="7" t="s">
        <v>4227</v>
      </c>
      <c r="C1766" s="7" t="s">
        <v>1531</v>
      </c>
      <c r="D1766" s="7" t="s">
        <v>2101</v>
      </c>
      <c r="E1766" s="57" t="s">
        <v>2102</v>
      </c>
      <c r="F1766" s="7" t="s">
        <v>2097</v>
      </c>
      <c r="G1766" s="7" t="s">
        <v>2097</v>
      </c>
      <c r="H1766" s="9" t="n">
        <v>727.4358</v>
      </c>
      <c r="I1766" s="9" t="n">
        <v>710.43</v>
      </c>
      <c r="J1766" s="9" t="n">
        <v>2131.3</v>
      </c>
      <c r="K1766" s="52" t="n">
        <v>4000</v>
      </c>
      <c r="L1766" s="58" t="n">
        <v>57.4</v>
      </c>
      <c r="M1766" s="59" t="n">
        <v>80</v>
      </c>
      <c r="N1766" s="9" t="n">
        <v>24.753804</v>
      </c>
      <c r="O1766" s="8" t="n">
        <v>3.403</v>
      </c>
      <c r="P1766" s="9" t="n">
        <v>-1403.86</v>
      </c>
      <c r="Q1766" s="7" t="s">
        <v>2103</v>
      </c>
      <c r="R1766" s="7" t="s">
        <v>2099</v>
      </c>
      <c r="S1766" s="58" t="n">
        <v>0.5</v>
      </c>
      <c r="T1766" s="9" t="n">
        <v>2000</v>
      </c>
      <c r="U1766" s="56" t="n">
        <f aca="false">I1766*O1766</f>
        <v>2417.59329</v>
      </c>
      <c r="V1766" s="56" t="n">
        <f aca="false">J1766*O1766</f>
        <v>7252.8139</v>
      </c>
      <c r="W1766" s="56" t="n">
        <f aca="false">((I1766+J1766)/2)*O1766</f>
        <v>4835.203595</v>
      </c>
      <c r="X1766" s="56" t="n">
        <f aca="false">H1766*O1766</f>
        <v>2475.4640274</v>
      </c>
    </row>
    <row r="1767" customFormat="false" ht="22.35" hidden="false" customHeight="false" outlineLevel="0" collapsed="false">
      <c r="A1767" s="80" t="s">
        <v>2067</v>
      </c>
      <c r="B1767" s="49" t="s">
        <v>4228</v>
      </c>
      <c r="C1767" s="49" t="s">
        <v>1655</v>
      </c>
      <c r="D1767" s="49" t="s">
        <v>2101</v>
      </c>
      <c r="E1767" s="57" t="s">
        <v>2102</v>
      </c>
      <c r="F1767" s="49" t="s">
        <v>2097</v>
      </c>
      <c r="G1767" s="49" t="s">
        <v>2097</v>
      </c>
      <c r="H1767" s="51" t="n">
        <v>1024.1918</v>
      </c>
      <c r="I1767" s="51" t="n">
        <v>1345.43</v>
      </c>
      <c r="J1767" s="51" t="n">
        <v>4036.29</v>
      </c>
      <c r="K1767" s="52" t="n">
        <v>4232</v>
      </c>
      <c r="L1767" s="53" t="n">
        <v>71.6</v>
      </c>
      <c r="M1767" s="54" t="n">
        <v>60</v>
      </c>
      <c r="N1767" s="51" t="n">
        <v>37.581909</v>
      </c>
      <c r="O1767" s="55" t="n">
        <v>4.5231</v>
      </c>
      <c r="P1767" s="51" t="n">
        <v>-3012.1</v>
      </c>
      <c r="Q1767" s="49" t="s">
        <v>2103</v>
      </c>
      <c r="R1767" s="49" t="s">
        <v>2099</v>
      </c>
      <c r="S1767" s="53" t="n">
        <v>0.5</v>
      </c>
      <c r="T1767" s="51" t="n">
        <v>2116</v>
      </c>
      <c r="U1767" s="56" t="n">
        <f aca="false">I1767*O1767</f>
        <v>6085.514433</v>
      </c>
      <c r="V1767" s="56" t="n">
        <f aca="false">J1767*O1767</f>
        <v>18256.543299</v>
      </c>
      <c r="W1767" s="56" t="n">
        <f aca="false">((I1767+J1767)/2)*O1767</f>
        <v>12171.028866</v>
      </c>
      <c r="X1767" s="56" t="n">
        <f aca="false">H1767*O1767</f>
        <v>4632.52193058</v>
      </c>
    </row>
    <row r="1768" customFormat="false" ht="22.35" hidden="false" customHeight="false" outlineLevel="0" collapsed="false">
      <c r="A1768" s="80" t="s">
        <v>2067</v>
      </c>
      <c r="B1768" s="7" t="s">
        <v>4229</v>
      </c>
      <c r="C1768" s="7" t="s">
        <v>4230</v>
      </c>
      <c r="D1768" s="7" t="s">
        <v>2101</v>
      </c>
      <c r="E1768" s="57" t="s">
        <v>2102</v>
      </c>
      <c r="F1768" s="7" t="s">
        <v>2097</v>
      </c>
      <c r="G1768" s="7" t="s">
        <v>2097</v>
      </c>
      <c r="H1768" s="9" t="n">
        <v>1595.8333</v>
      </c>
      <c r="I1768" s="9" t="n">
        <v>3796.37</v>
      </c>
      <c r="J1768" s="9" t="n">
        <v>11389.12</v>
      </c>
      <c r="K1768" s="52" t="n">
        <v>11573.331</v>
      </c>
      <c r="L1768" s="58" t="n">
        <v>120.1</v>
      </c>
      <c r="M1768" s="59" t="n">
        <v>45.5</v>
      </c>
      <c r="N1768" s="9" t="n">
        <v>63.220224</v>
      </c>
      <c r="O1768" s="8" t="n">
        <v>4.39</v>
      </c>
      <c r="P1768" s="9" t="n">
        <v>-9793.29</v>
      </c>
      <c r="Q1768" s="7" t="s">
        <v>2103</v>
      </c>
      <c r="R1768" s="7" t="s">
        <v>2099</v>
      </c>
      <c r="S1768" s="58" t="n">
        <v>0.5</v>
      </c>
      <c r="T1768" s="9" t="n">
        <v>1653.333</v>
      </c>
      <c r="U1768" s="56" t="n">
        <f aca="false">I1768*O1768</f>
        <v>16666.0643</v>
      </c>
      <c r="V1768" s="56" t="n">
        <f aca="false">J1768*O1768</f>
        <v>49998.2368</v>
      </c>
      <c r="W1768" s="56" t="n">
        <f aca="false">((I1768+J1768)/2)*O1768</f>
        <v>33332.15055</v>
      </c>
      <c r="X1768" s="56" t="n">
        <f aca="false">H1768*O1768</f>
        <v>7005.708187</v>
      </c>
    </row>
    <row r="1769" customFormat="false" ht="15" hidden="false" customHeight="false" outlineLevel="0" collapsed="false">
      <c r="A1769" s="80" t="s">
        <v>2067</v>
      </c>
      <c r="B1769" s="49" t="s">
        <v>4231</v>
      </c>
      <c r="C1769" s="49" t="s">
        <v>4232</v>
      </c>
      <c r="D1769" s="49" t="s">
        <v>2101</v>
      </c>
      <c r="E1769" s="50" t="s">
        <v>2096</v>
      </c>
      <c r="F1769" s="49" t="s">
        <v>2097</v>
      </c>
      <c r="G1769" s="49" t="s">
        <v>2097</v>
      </c>
      <c r="H1769" s="51" t="n">
        <v>500</v>
      </c>
      <c r="I1769" s="51" t="n">
        <v>120.85</v>
      </c>
      <c r="J1769" s="51" t="n">
        <v>362.56</v>
      </c>
      <c r="K1769" s="52" t="n">
        <v>362.56</v>
      </c>
      <c r="L1769" s="53" t="n">
        <v>20.3</v>
      </c>
      <c r="M1769" s="54" t="n">
        <v>66.7</v>
      </c>
      <c r="N1769" s="51" t="n">
        <v>11.906849</v>
      </c>
      <c r="O1769" s="55" t="n">
        <v>0.395</v>
      </c>
      <c r="P1769" s="51" t="n">
        <v>137.44</v>
      </c>
      <c r="Q1769" s="49" t="s">
        <v>2098</v>
      </c>
      <c r="R1769" s="49" t="s">
        <v>2099</v>
      </c>
      <c r="S1769" s="53" t="n">
        <v>0.5</v>
      </c>
      <c r="T1769" s="51" t="n">
        <v>1</v>
      </c>
      <c r="U1769" s="56" t="n">
        <f aca="false">I1769*O1769</f>
        <v>47.73575</v>
      </c>
      <c r="V1769" s="56" t="n">
        <f aca="false">J1769*O1769</f>
        <v>143.2112</v>
      </c>
      <c r="W1769" s="56" t="n">
        <f aca="false">((I1769+J1769)/2)*O1769</f>
        <v>95.473475</v>
      </c>
      <c r="X1769" s="56" t="n">
        <f aca="false">H1769*O1769</f>
        <v>197.5</v>
      </c>
    </row>
    <row r="1770" customFormat="false" ht="22.35" hidden="false" customHeight="false" outlineLevel="0" collapsed="false">
      <c r="A1770" s="80" t="s">
        <v>2067</v>
      </c>
      <c r="B1770" s="7" t="s">
        <v>4233</v>
      </c>
      <c r="C1770" s="7" t="s">
        <v>4234</v>
      </c>
      <c r="D1770" s="7" t="s">
        <v>2095</v>
      </c>
      <c r="E1770" s="61" t="s">
        <v>2113</v>
      </c>
      <c r="F1770" s="7" t="s">
        <v>2097</v>
      </c>
      <c r="G1770" s="7" t="s">
        <v>2097</v>
      </c>
      <c r="H1770" s="9" t="n">
        <v>9607.5104</v>
      </c>
      <c r="I1770" s="9" t="n">
        <v>31723.83</v>
      </c>
      <c r="J1770" s="9" t="n">
        <v>63447.66</v>
      </c>
      <c r="K1770" s="52" t="n">
        <v>63447.66</v>
      </c>
      <c r="L1770" s="58" t="n">
        <v>94</v>
      </c>
      <c r="M1770" s="59" t="n">
        <v>80.8</v>
      </c>
      <c r="N1770" s="9" t="n">
        <v>337.487592</v>
      </c>
      <c r="O1770" s="8" t="n">
        <v>3.606</v>
      </c>
      <c r="P1770" s="9" t="n">
        <v>-53840.15</v>
      </c>
      <c r="Q1770" s="7" t="s">
        <v>2103</v>
      </c>
      <c r="R1770" s="7" t="s">
        <v>2099</v>
      </c>
      <c r="S1770" s="58" t="n">
        <v>1</v>
      </c>
      <c r="T1770" s="9" t="n">
        <v>1</v>
      </c>
      <c r="U1770" s="56" t="n">
        <f aca="false">I1770*O1770</f>
        <v>114396.13098</v>
      </c>
      <c r="V1770" s="56" t="n">
        <f aca="false">J1770*O1770</f>
        <v>228792.26196</v>
      </c>
      <c r="W1770" s="56" t="n">
        <f aca="false">((I1770+J1770)/2)*O1770</f>
        <v>171594.19647</v>
      </c>
      <c r="X1770" s="56" t="n">
        <f aca="false">H1770*O1770</f>
        <v>34644.6825024</v>
      </c>
    </row>
    <row r="1771" customFormat="false" ht="22.35" hidden="false" customHeight="false" outlineLevel="0" collapsed="false">
      <c r="A1771" s="80" t="s">
        <v>2067</v>
      </c>
      <c r="B1771" s="49" t="s">
        <v>4235</v>
      </c>
      <c r="C1771" s="49" t="s">
        <v>1617</v>
      </c>
      <c r="D1771" s="49" t="s">
        <v>2101</v>
      </c>
      <c r="E1771" s="57" t="s">
        <v>2102</v>
      </c>
      <c r="F1771" s="49" t="s">
        <v>2097</v>
      </c>
      <c r="G1771" s="49" t="s">
        <v>2097</v>
      </c>
      <c r="H1771" s="51" t="n">
        <v>650</v>
      </c>
      <c r="I1771" s="51" t="n">
        <v>1167.1</v>
      </c>
      <c r="J1771" s="51" t="n">
        <v>3501.29</v>
      </c>
      <c r="K1771" s="52" t="n">
        <v>3510</v>
      </c>
      <c r="L1771" s="53" t="n">
        <v>62.9</v>
      </c>
      <c r="M1771" s="54" t="n">
        <v>25</v>
      </c>
      <c r="N1771" s="51" t="n">
        <v>37.109589</v>
      </c>
      <c r="O1771" s="55" t="n">
        <v>3.944</v>
      </c>
      <c r="P1771" s="51" t="n">
        <v>-2851.29</v>
      </c>
      <c r="Q1771" s="49" t="s">
        <v>2103</v>
      </c>
      <c r="R1771" s="49" t="s">
        <v>2099</v>
      </c>
      <c r="S1771" s="53" t="n">
        <v>0.5</v>
      </c>
      <c r="T1771" s="51" t="n">
        <v>351</v>
      </c>
      <c r="U1771" s="56" t="n">
        <f aca="false">I1771*O1771</f>
        <v>4603.0424</v>
      </c>
      <c r="V1771" s="56" t="n">
        <f aca="false">J1771*O1771</f>
        <v>13809.08776</v>
      </c>
      <c r="W1771" s="56" t="n">
        <f aca="false">((I1771+J1771)/2)*O1771</f>
        <v>9206.06508</v>
      </c>
      <c r="X1771" s="56" t="n">
        <f aca="false">H1771*O1771</f>
        <v>2563.6</v>
      </c>
    </row>
    <row r="1772" customFormat="false" ht="22.35" hidden="false" customHeight="false" outlineLevel="0" collapsed="false">
      <c r="A1772" s="80" t="s">
        <v>2067</v>
      </c>
      <c r="B1772" s="7" t="s">
        <v>4236</v>
      </c>
      <c r="C1772" s="7" t="s">
        <v>4237</v>
      </c>
      <c r="D1772" s="7" t="s">
        <v>2101</v>
      </c>
      <c r="E1772" s="57" t="s">
        <v>2102</v>
      </c>
      <c r="F1772" s="7" t="s">
        <v>2097</v>
      </c>
      <c r="G1772" s="7" t="s">
        <v>2097</v>
      </c>
      <c r="H1772" s="9" t="n">
        <v>989.0599</v>
      </c>
      <c r="I1772" s="9" t="n">
        <v>1509.07</v>
      </c>
      <c r="J1772" s="9" t="n">
        <v>4527.22</v>
      </c>
      <c r="K1772" s="52" t="n">
        <v>5000</v>
      </c>
      <c r="L1772" s="58" t="n">
        <v>84.7</v>
      </c>
      <c r="M1772" s="59" t="n">
        <v>57.1</v>
      </c>
      <c r="N1772" s="9" t="n">
        <v>35.633408</v>
      </c>
      <c r="O1772" s="8" t="n">
        <v>14.094</v>
      </c>
      <c r="P1772" s="9" t="n">
        <v>-3538.16</v>
      </c>
      <c r="Q1772" s="7" t="s">
        <v>2103</v>
      </c>
      <c r="R1772" s="7" t="s">
        <v>2099</v>
      </c>
      <c r="S1772" s="58" t="n">
        <v>0.5</v>
      </c>
      <c r="T1772" s="9" t="n">
        <v>500</v>
      </c>
      <c r="U1772" s="56" t="n">
        <f aca="false">I1772*O1772</f>
        <v>21268.83258</v>
      </c>
      <c r="V1772" s="56" t="n">
        <f aca="false">J1772*O1772</f>
        <v>63806.63868</v>
      </c>
      <c r="W1772" s="56" t="n">
        <f aca="false">((I1772+J1772)/2)*O1772</f>
        <v>42537.73563</v>
      </c>
      <c r="X1772" s="56" t="n">
        <f aca="false">H1772*O1772</f>
        <v>13939.8102306</v>
      </c>
    </row>
    <row r="1773" customFormat="false" ht="22.35" hidden="false" customHeight="false" outlineLevel="0" collapsed="false">
      <c r="A1773" s="80" t="s">
        <v>2067</v>
      </c>
      <c r="B1773" s="49" t="s">
        <v>4238</v>
      </c>
      <c r="C1773" s="49" t="s">
        <v>4239</v>
      </c>
      <c r="D1773" s="49" t="s">
        <v>2101</v>
      </c>
      <c r="E1773" s="57" t="s">
        <v>2102</v>
      </c>
      <c r="F1773" s="49" t="s">
        <v>2097</v>
      </c>
      <c r="G1773" s="49" t="s">
        <v>2097</v>
      </c>
      <c r="H1773" s="51" t="n">
        <v>2821.9583</v>
      </c>
      <c r="I1773" s="51" t="n">
        <v>4245.6</v>
      </c>
      <c r="J1773" s="51" t="n">
        <v>12736.8</v>
      </c>
      <c r="K1773" s="52" t="n">
        <v>16000</v>
      </c>
      <c r="L1773" s="53" t="n">
        <v>66.8</v>
      </c>
      <c r="M1773" s="54" t="n">
        <v>100</v>
      </c>
      <c r="N1773" s="51" t="n">
        <v>127.113709</v>
      </c>
      <c r="O1773" s="55" t="n">
        <v>2.0748</v>
      </c>
      <c r="P1773" s="51" t="n">
        <v>-9914.84</v>
      </c>
      <c r="Q1773" s="49" t="s">
        <v>2103</v>
      </c>
      <c r="R1773" s="49" t="s">
        <v>2099</v>
      </c>
      <c r="S1773" s="53" t="n">
        <v>0.5</v>
      </c>
      <c r="T1773" s="51" t="n">
        <v>4000</v>
      </c>
      <c r="U1773" s="56" t="n">
        <f aca="false">I1773*O1773</f>
        <v>8808.77088</v>
      </c>
      <c r="V1773" s="56" t="n">
        <f aca="false">J1773*O1773</f>
        <v>26426.31264</v>
      </c>
      <c r="W1773" s="56" t="n">
        <f aca="false">((I1773+J1773)/2)*O1773</f>
        <v>17617.54176</v>
      </c>
      <c r="X1773" s="56" t="n">
        <f aca="false">H1773*O1773</f>
        <v>5854.99908084</v>
      </c>
    </row>
    <row r="1774" customFormat="false" ht="22.35" hidden="false" customHeight="false" outlineLevel="0" collapsed="false">
      <c r="A1774" s="80" t="s">
        <v>2067</v>
      </c>
      <c r="B1774" s="7" t="s">
        <v>4240</v>
      </c>
      <c r="C1774" s="7" t="s">
        <v>4241</v>
      </c>
      <c r="D1774" s="7" t="s">
        <v>2101</v>
      </c>
      <c r="E1774" s="57" t="s">
        <v>2102</v>
      </c>
      <c r="F1774" s="7" t="s">
        <v>2097</v>
      </c>
      <c r="G1774" s="7" t="s">
        <v>2097</v>
      </c>
      <c r="H1774" s="9" t="n">
        <v>2187.2614</v>
      </c>
      <c r="I1774" s="9" t="n">
        <v>4535.02</v>
      </c>
      <c r="J1774" s="9" t="n">
        <v>13605.06</v>
      </c>
      <c r="K1774" s="52" t="n">
        <v>16000</v>
      </c>
      <c r="L1774" s="58" t="n">
        <v>120.9</v>
      </c>
      <c r="M1774" s="59" t="n">
        <v>77.8</v>
      </c>
      <c r="N1774" s="9" t="n">
        <v>75.021039</v>
      </c>
      <c r="O1774" s="8" t="n">
        <v>0.5535</v>
      </c>
      <c r="P1774" s="9" t="n">
        <v>-11417.8</v>
      </c>
      <c r="Q1774" s="7" t="s">
        <v>2103</v>
      </c>
      <c r="R1774" s="7" t="s">
        <v>2099</v>
      </c>
      <c r="S1774" s="58" t="n">
        <v>0.5</v>
      </c>
      <c r="T1774" s="9" t="n">
        <v>4000</v>
      </c>
      <c r="U1774" s="56" t="n">
        <f aca="false">I1774*O1774</f>
        <v>2510.13357</v>
      </c>
      <c r="V1774" s="56" t="n">
        <f aca="false">J1774*O1774</f>
        <v>7530.40071</v>
      </c>
      <c r="W1774" s="56" t="n">
        <f aca="false">((I1774+J1774)/2)*O1774</f>
        <v>5020.26714</v>
      </c>
      <c r="X1774" s="56" t="n">
        <f aca="false">H1774*O1774</f>
        <v>1210.6491849</v>
      </c>
    </row>
    <row r="1775" customFormat="false" ht="22.35" hidden="false" customHeight="false" outlineLevel="0" collapsed="false">
      <c r="A1775" s="80" t="s">
        <v>2067</v>
      </c>
      <c r="B1775" s="49" t="s">
        <v>4242</v>
      </c>
      <c r="C1775" s="49" t="s">
        <v>4243</v>
      </c>
      <c r="D1775" s="49" t="s">
        <v>2101</v>
      </c>
      <c r="E1775" s="57" t="s">
        <v>2102</v>
      </c>
      <c r="F1775" s="49" t="s">
        <v>2097</v>
      </c>
      <c r="G1775" s="49" t="s">
        <v>2097</v>
      </c>
      <c r="H1775" s="51" t="n">
        <v>500</v>
      </c>
      <c r="I1775" s="51" t="n">
        <v>305.25</v>
      </c>
      <c r="J1775" s="51" t="n">
        <v>915.76</v>
      </c>
      <c r="K1775" s="52" t="n">
        <v>935</v>
      </c>
      <c r="L1775" s="53" t="n">
        <v>39</v>
      </c>
      <c r="M1775" s="54" t="n">
        <v>50</v>
      </c>
      <c r="N1775" s="51" t="n">
        <v>15.653993</v>
      </c>
      <c r="O1775" s="55" t="n">
        <v>5.51</v>
      </c>
      <c r="P1775" s="51" t="n">
        <v>-415.76</v>
      </c>
      <c r="Q1775" s="49" t="s">
        <v>2103</v>
      </c>
      <c r="R1775" s="49" t="s">
        <v>2099</v>
      </c>
      <c r="S1775" s="53" t="n">
        <v>0.5</v>
      </c>
      <c r="T1775" s="51" t="n">
        <v>55</v>
      </c>
      <c r="U1775" s="56" t="n">
        <f aca="false">I1775*O1775</f>
        <v>1681.9275</v>
      </c>
      <c r="V1775" s="56" t="n">
        <f aca="false">J1775*O1775</f>
        <v>5045.8376</v>
      </c>
      <c r="W1775" s="56" t="n">
        <f aca="false">((I1775+J1775)/2)*O1775</f>
        <v>3363.88255</v>
      </c>
      <c r="X1775" s="56" t="n">
        <f aca="false">H1775*O1775</f>
        <v>2755</v>
      </c>
    </row>
    <row r="1776" customFormat="false" ht="22.35" hidden="false" customHeight="false" outlineLevel="0" collapsed="false">
      <c r="A1776" s="80" t="s">
        <v>2067</v>
      </c>
      <c r="B1776" s="7" t="s">
        <v>4244</v>
      </c>
      <c r="C1776" s="7" t="s">
        <v>4245</v>
      </c>
      <c r="D1776" s="7" t="s">
        <v>2095</v>
      </c>
      <c r="E1776" s="61" t="s">
        <v>2113</v>
      </c>
      <c r="F1776" s="7" t="s">
        <v>2097</v>
      </c>
      <c r="G1776" s="7" t="s">
        <v>2097</v>
      </c>
      <c r="H1776" s="9" t="n">
        <v>10825.469</v>
      </c>
      <c r="I1776" s="9" t="n">
        <v>39592.11</v>
      </c>
      <c r="J1776" s="9" t="n">
        <v>79184.22</v>
      </c>
      <c r="K1776" s="52" t="n">
        <v>79184.22</v>
      </c>
      <c r="L1776" s="58" t="n">
        <v>102.2</v>
      </c>
      <c r="M1776" s="59" t="n">
        <v>58.3</v>
      </c>
      <c r="N1776" s="9" t="n">
        <v>387.398382</v>
      </c>
      <c r="O1776" s="8" t="n">
        <v>2.439</v>
      </c>
      <c r="P1776" s="9" t="n">
        <v>-68358.75</v>
      </c>
      <c r="Q1776" s="7" t="s">
        <v>2103</v>
      </c>
      <c r="R1776" s="7" t="s">
        <v>2099</v>
      </c>
      <c r="S1776" s="58" t="n">
        <v>1</v>
      </c>
      <c r="T1776" s="9" t="n">
        <v>1</v>
      </c>
      <c r="U1776" s="56" t="n">
        <f aca="false">I1776*O1776</f>
        <v>96565.15629</v>
      </c>
      <c r="V1776" s="56" t="n">
        <f aca="false">J1776*O1776</f>
        <v>193130.31258</v>
      </c>
      <c r="W1776" s="56" t="n">
        <f aca="false">((I1776+J1776)/2)*O1776</f>
        <v>144847.734435</v>
      </c>
      <c r="X1776" s="56" t="n">
        <f aca="false">H1776*O1776</f>
        <v>26403.318891</v>
      </c>
    </row>
    <row r="1777" customFormat="false" ht="22.35" hidden="false" customHeight="false" outlineLevel="0" collapsed="false">
      <c r="A1777" s="80" t="s">
        <v>2067</v>
      </c>
      <c r="B1777" s="49" t="s">
        <v>4246</v>
      </c>
      <c r="C1777" s="49" t="s">
        <v>3773</v>
      </c>
      <c r="D1777" s="49" t="s">
        <v>2101</v>
      </c>
      <c r="E1777" s="57" t="s">
        <v>2102</v>
      </c>
      <c r="F1777" s="49" t="s">
        <v>2097</v>
      </c>
      <c r="G1777" s="49" t="s">
        <v>2097</v>
      </c>
      <c r="H1777" s="51" t="n">
        <v>2425</v>
      </c>
      <c r="I1777" s="51" t="n">
        <v>5102.77</v>
      </c>
      <c r="J1777" s="51" t="n">
        <v>15308.3</v>
      </c>
      <c r="K1777" s="52" t="n">
        <v>16000</v>
      </c>
      <c r="L1777" s="53" t="n">
        <v>76.6</v>
      </c>
      <c r="M1777" s="54" t="n">
        <v>40</v>
      </c>
      <c r="N1777" s="51" t="n">
        <v>133.231507</v>
      </c>
      <c r="O1777" s="55" t="n">
        <v>0.54</v>
      </c>
      <c r="P1777" s="51" t="n">
        <v>-12883.3</v>
      </c>
      <c r="Q1777" s="49" t="s">
        <v>2103</v>
      </c>
      <c r="R1777" s="49" t="s">
        <v>2099</v>
      </c>
      <c r="S1777" s="53" t="n">
        <v>0.5</v>
      </c>
      <c r="T1777" s="51" t="n">
        <v>2000</v>
      </c>
      <c r="U1777" s="56" t="n">
        <f aca="false">I1777*O1777</f>
        <v>2755.4958</v>
      </c>
      <c r="V1777" s="56" t="n">
        <f aca="false">J1777*O1777</f>
        <v>8266.482</v>
      </c>
      <c r="W1777" s="56" t="n">
        <f aca="false">((I1777+J1777)/2)*O1777</f>
        <v>5510.9889</v>
      </c>
      <c r="X1777" s="56" t="n">
        <f aca="false">H1777*O1777</f>
        <v>1309.5</v>
      </c>
    </row>
    <row r="1778" customFormat="false" ht="22.35" hidden="false" customHeight="false" outlineLevel="0" collapsed="false">
      <c r="A1778" s="80" t="s">
        <v>2067</v>
      </c>
      <c r="B1778" s="7" t="s">
        <v>4247</v>
      </c>
      <c r="C1778" s="7" t="s">
        <v>4248</v>
      </c>
      <c r="D1778" s="7" t="s">
        <v>2101</v>
      </c>
      <c r="E1778" s="57" t="s">
        <v>2102</v>
      </c>
      <c r="F1778" s="7" t="s">
        <v>2097</v>
      </c>
      <c r="G1778" s="7" t="s">
        <v>2097</v>
      </c>
      <c r="H1778" s="9" t="n">
        <v>500</v>
      </c>
      <c r="I1778" s="9" t="n">
        <v>458.5</v>
      </c>
      <c r="J1778" s="9" t="n">
        <v>1375.51</v>
      </c>
      <c r="K1778" s="52" t="n">
        <v>2500</v>
      </c>
      <c r="L1778" s="58" t="n">
        <v>44</v>
      </c>
      <c r="M1778" s="59" t="n">
        <v>100</v>
      </c>
      <c r="N1778" s="9" t="n">
        <v>20.841096</v>
      </c>
      <c r="O1778" s="8" t="n">
        <v>2</v>
      </c>
      <c r="P1778" s="9" t="n">
        <v>-875.51</v>
      </c>
      <c r="Q1778" s="7" t="s">
        <v>2103</v>
      </c>
      <c r="R1778" s="7" t="s">
        <v>2099</v>
      </c>
      <c r="S1778" s="58" t="n">
        <v>0.5</v>
      </c>
      <c r="T1778" s="9" t="n">
        <v>2500</v>
      </c>
      <c r="U1778" s="56" t="n">
        <f aca="false">I1778*O1778</f>
        <v>917</v>
      </c>
      <c r="V1778" s="56" t="n">
        <f aca="false">J1778*O1778</f>
        <v>2751.02</v>
      </c>
      <c r="W1778" s="56" t="n">
        <f aca="false">((I1778+J1778)/2)*O1778</f>
        <v>1834.01</v>
      </c>
      <c r="X1778" s="56" t="n">
        <f aca="false">H1778*O1778</f>
        <v>1000</v>
      </c>
    </row>
    <row r="1779" customFormat="false" ht="22.35" hidden="false" customHeight="false" outlineLevel="0" collapsed="false">
      <c r="A1779" s="80" t="s">
        <v>2067</v>
      </c>
      <c r="B1779" s="49" t="s">
        <v>4249</v>
      </c>
      <c r="C1779" s="49" t="s">
        <v>4250</v>
      </c>
      <c r="D1779" s="49" t="s">
        <v>2095</v>
      </c>
      <c r="E1779" s="61" t="s">
        <v>2113</v>
      </c>
      <c r="F1779" s="49" t="s">
        <v>2097</v>
      </c>
      <c r="G1779" s="49" t="s">
        <v>2097</v>
      </c>
      <c r="H1779" s="51" t="n">
        <v>16449.2779</v>
      </c>
      <c r="I1779" s="51" t="n">
        <v>26308.8</v>
      </c>
      <c r="J1779" s="51" t="n">
        <v>52617.6</v>
      </c>
      <c r="K1779" s="52" t="n">
        <v>60000</v>
      </c>
      <c r="L1779" s="53" t="n">
        <v>46.1</v>
      </c>
      <c r="M1779" s="54" t="n">
        <v>79.2</v>
      </c>
      <c r="N1779" s="51" t="n">
        <v>570.689881</v>
      </c>
      <c r="O1779" s="55" t="n">
        <v>1.785</v>
      </c>
      <c r="P1779" s="51" t="n">
        <v>-36168.32</v>
      </c>
      <c r="Q1779" s="49" t="s">
        <v>2103</v>
      </c>
      <c r="R1779" s="49" t="s">
        <v>2099</v>
      </c>
      <c r="S1779" s="53" t="n">
        <v>1</v>
      </c>
      <c r="T1779" s="51" t="n">
        <v>10000</v>
      </c>
      <c r="U1779" s="56" t="n">
        <f aca="false">I1779*O1779</f>
        <v>46961.208</v>
      </c>
      <c r="V1779" s="56" t="n">
        <f aca="false">J1779*O1779</f>
        <v>93922.416</v>
      </c>
      <c r="W1779" s="56" t="n">
        <f aca="false">((I1779+J1779)/2)*O1779</f>
        <v>70441.812</v>
      </c>
      <c r="X1779" s="56" t="n">
        <f aca="false">H1779*O1779</f>
        <v>29361.9610515</v>
      </c>
    </row>
    <row r="1780" customFormat="false" ht="22.35" hidden="false" customHeight="false" outlineLevel="0" collapsed="false">
      <c r="A1780" s="80" t="s">
        <v>2067</v>
      </c>
      <c r="B1780" s="7" t="s">
        <v>4251</v>
      </c>
      <c r="C1780" s="7" t="s">
        <v>1714</v>
      </c>
      <c r="D1780" s="7" t="s">
        <v>2095</v>
      </c>
      <c r="E1780" s="61" t="s">
        <v>2113</v>
      </c>
      <c r="F1780" s="7" t="s">
        <v>2097</v>
      </c>
      <c r="G1780" s="7" t="s">
        <v>2097</v>
      </c>
      <c r="H1780" s="9" t="n">
        <v>4814.5833</v>
      </c>
      <c r="I1780" s="9" t="n">
        <v>11582.26</v>
      </c>
      <c r="J1780" s="9" t="n">
        <v>23164.52</v>
      </c>
      <c r="K1780" s="52" t="n">
        <v>23400</v>
      </c>
      <c r="L1780" s="58" t="n">
        <v>57.9</v>
      </c>
      <c r="M1780" s="59" t="n">
        <v>88.9</v>
      </c>
      <c r="N1780" s="9" t="n">
        <v>200.039039</v>
      </c>
      <c r="O1780" s="8" t="n">
        <v>0.4328</v>
      </c>
      <c r="P1780" s="9" t="n">
        <v>-18349.94</v>
      </c>
      <c r="Q1780" s="7" t="s">
        <v>2103</v>
      </c>
      <c r="R1780" s="7" t="s">
        <v>2099</v>
      </c>
      <c r="S1780" s="58" t="n">
        <v>1</v>
      </c>
      <c r="T1780" s="9" t="n">
        <v>11700</v>
      </c>
      <c r="U1780" s="56" t="n">
        <f aca="false">I1780*O1780</f>
        <v>5012.802128</v>
      </c>
      <c r="V1780" s="56" t="n">
        <f aca="false">J1780*O1780</f>
        <v>10025.604256</v>
      </c>
      <c r="W1780" s="56" t="n">
        <f aca="false">((I1780+J1780)/2)*O1780</f>
        <v>7519.203192</v>
      </c>
      <c r="X1780" s="56" t="n">
        <f aca="false">H1780*O1780</f>
        <v>2083.75165224</v>
      </c>
    </row>
    <row r="1781" customFormat="false" ht="22.35" hidden="false" customHeight="false" outlineLevel="0" collapsed="false">
      <c r="A1781" s="80" t="s">
        <v>2067</v>
      </c>
      <c r="B1781" s="49" t="s">
        <v>4252</v>
      </c>
      <c r="C1781" s="49" t="s">
        <v>1655</v>
      </c>
      <c r="D1781" s="49" t="s">
        <v>2095</v>
      </c>
      <c r="E1781" s="61" t="s">
        <v>2113</v>
      </c>
      <c r="F1781" s="49" t="s">
        <v>2097</v>
      </c>
      <c r="G1781" s="49" t="s">
        <v>2097</v>
      </c>
      <c r="H1781" s="51" t="n">
        <v>3737.125</v>
      </c>
      <c r="I1781" s="51" t="n">
        <v>9888.57</v>
      </c>
      <c r="J1781" s="51" t="n">
        <v>19777.14</v>
      </c>
      <c r="K1781" s="52" t="n">
        <v>19777.14</v>
      </c>
      <c r="L1781" s="53" t="n">
        <v>64.6</v>
      </c>
      <c r="M1781" s="54" t="n">
        <v>100</v>
      </c>
      <c r="N1781" s="51" t="n">
        <v>153.073811</v>
      </c>
      <c r="O1781" s="55" t="n">
        <v>0.908</v>
      </c>
      <c r="P1781" s="51" t="n">
        <v>-16040.02</v>
      </c>
      <c r="Q1781" s="49" t="s">
        <v>2103</v>
      </c>
      <c r="R1781" s="49" t="s">
        <v>2099</v>
      </c>
      <c r="S1781" s="53" t="n">
        <v>1</v>
      </c>
      <c r="T1781" s="51" t="n">
        <v>1</v>
      </c>
      <c r="U1781" s="56" t="n">
        <f aca="false">I1781*O1781</f>
        <v>8978.82156</v>
      </c>
      <c r="V1781" s="56" t="n">
        <f aca="false">J1781*O1781</f>
        <v>17957.64312</v>
      </c>
      <c r="W1781" s="56" t="n">
        <f aca="false">((I1781+J1781)/2)*O1781</f>
        <v>13468.23234</v>
      </c>
      <c r="X1781" s="56" t="n">
        <f aca="false">H1781*O1781</f>
        <v>3393.3095</v>
      </c>
    </row>
    <row r="1782" customFormat="false" ht="22.35" hidden="false" customHeight="false" outlineLevel="0" collapsed="false">
      <c r="A1782" s="80" t="s">
        <v>2067</v>
      </c>
      <c r="B1782" s="7" t="s">
        <v>4253</v>
      </c>
      <c r="C1782" s="7" t="s">
        <v>4254</v>
      </c>
      <c r="D1782" s="7" t="s">
        <v>2109</v>
      </c>
      <c r="E1782" s="60" t="s">
        <v>2110</v>
      </c>
      <c r="F1782" s="7" t="s">
        <v>2097</v>
      </c>
      <c r="G1782" s="7" t="s">
        <v>2097</v>
      </c>
      <c r="H1782" s="9" t="n">
        <v>31033.3333</v>
      </c>
      <c r="I1782" s="9" t="n">
        <v>159950.55</v>
      </c>
      <c r="J1782" s="9" t="n">
        <v>266584.25</v>
      </c>
      <c r="K1782" s="52" t="n">
        <v>266584.25</v>
      </c>
      <c r="L1782" s="58" t="n">
        <v>80.9</v>
      </c>
      <c r="M1782" s="59" t="n">
        <v>51.9</v>
      </c>
      <c r="N1782" s="9" t="n">
        <v>1318.092667</v>
      </c>
      <c r="O1782" s="8" t="n">
        <v>0.4281</v>
      </c>
      <c r="P1782" s="9" t="n">
        <v>-235550.92</v>
      </c>
      <c r="Q1782" s="7" t="s">
        <v>2103</v>
      </c>
      <c r="R1782" s="7" t="s">
        <v>2099</v>
      </c>
      <c r="S1782" s="58" t="n">
        <v>1.5</v>
      </c>
      <c r="T1782" s="9" t="n">
        <v>1</v>
      </c>
      <c r="U1782" s="56" t="n">
        <f aca="false">I1782*O1782</f>
        <v>68474.830455</v>
      </c>
      <c r="V1782" s="56" t="n">
        <f aca="false">J1782*O1782</f>
        <v>114124.717425</v>
      </c>
      <c r="W1782" s="56" t="n">
        <f aca="false">((I1782+J1782)/2)*O1782</f>
        <v>91299.77394</v>
      </c>
      <c r="X1782" s="56" t="n">
        <f aca="false">H1782*O1782</f>
        <v>13285.36998573</v>
      </c>
    </row>
    <row r="1783" customFormat="false" ht="22.35" hidden="false" customHeight="false" outlineLevel="0" collapsed="false">
      <c r="A1783" s="80" t="s">
        <v>2067</v>
      </c>
      <c r="B1783" s="49" t="s">
        <v>4255</v>
      </c>
      <c r="C1783" s="49" t="s">
        <v>2345</v>
      </c>
      <c r="D1783" s="49" t="s">
        <v>2095</v>
      </c>
      <c r="E1783" s="61" t="s">
        <v>2113</v>
      </c>
      <c r="F1783" s="49" t="s">
        <v>2097</v>
      </c>
      <c r="G1783" s="49" t="s">
        <v>2097</v>
      </c>
      <c r="H1783" s="51" t="n">
        <v>9760.8333</v>
      </c>
      <c r="I1783" s="51" t="n">
        <v>11656.31</v>
      </c>
      <c r="J1783" s="51" t="n">
        <v>23312.62</v>
      </c>
      <c r="K1783" s="52" t="n">
        <v>40000</v>
      </c>
      <c r="L1783" s="53" t="n">
        <v>21.6</v>
      </c>
      <c r="M1783" s="54" t="n">
        <v>81.8</v>
      </c>
      <c r="N1783" s="51" t="n">
        <v>539.643836</v>
      </c>
      <c r="O1783" s="55" t="n">
        <v>0.34</v>
      </c>
      <c r="P1783" s="51" t="n">
        <v>-13551.79</v>
      </c>
      <c r="Q1783" s="49" t="s">
        <v>2103</v>
      </c>
      <c r="R1783" s="49" t="s">
        <v>2099</v>
      </c>
      <c r="S1783" s="53" t="n">
        <v>1</v>
      </c>
      <c r="T1783" s="51" t="n">
        <v>20000</v>
      </c>
      <c r="U1783" s="56" t="n">
        <f aca="false">I1783*O1783</f>
        <v>3963.1454</v>
      </c>
      <c r="V1783" s="56" t="n">
        <f aca="false">J1783*O1783</f>
        <v>7926.2908</v>
      </c>
      <c r="W1783" s="56" t="n">
        <f aca="false">((I1783+J1783)/2)*O1783</f>
        <v>5944.7181</v>
      </c>
      <c r="X1783" s="56" t="n">
        <f aca="false">H1783*O1783</f>
        <v>3318.683322</v>
      </c>
    </row>
    <row r="1784" customFormat="false" ht="22.35" hidden="false" customHeight="false" outlineLevel="0" collapsed="false">
      <c r="A1784" s="80" t="s">
        <v>2067</v>
      </c>
      <c r="B1784" s="7" t="s">
        <v>4256</v>
      </c>
      <c r="C1784" s="7" t="s">
        <v>4257</v>
      </c>
      <c r="D1784" s="7" t="s">
        <v>2095</v>
      </c>
      <c r="E1784" s="61" t="s">
        <v>2113</v>
      </c>
      <c r="F1784" s="7" t="s">
        <v>2097</v>
      </c>
      <c r="G1784" s="7" t="s">
        <v>2097</v>
      </c>
      <c r="H1784" s="9" t="n">
        <v>4354.9172</v>
      </c>
      <c r="I1784" s="9" t="n">
        <v>9754.45</v>
      </c>
      <c r="J1784" s="9" t="n">
        <v>19508.9</v>
      </c>
      <c r="K1784" s="52" t="n">
        <v>19550</v>
      </c>
      <c r="L1784" s="58" t="n">
        <v>62.6</v>
      </c>
      <c r="M1784" s="59" t="n">
        <v>84.2</v>
      </c>
      <c r="N1784" s="9" t="n">
        <v>155.821895</v>
      </c>
      <c r="O1784" s="8" t="n">
        <v>0.495</v>
      </c>
      <c r="P1784" s="9" t="n">
        <v>-15153.98</v>
      </c>
      <c r="Q1784" s="7" t="s">
        <v>2103</v>
      </c>
      <c r="R1784" s="7" t="s">
        <v>2099</v>
      </c>
      <c r="S1784" s="58" t="n">
        <v>1</v>
      </c>
      <c r="T1784" s="9" t="n">
        <v>50</v>
      </c>
      <c r="U1784" s="56" t="n">
        <f aca="false">I1784*O1784</f>
        <v>4828.45275</v>
      </c>
      <c r="V1784" s="56" t="n">
        <f aca="false">J1784*O1784</f>
        <v>9656.9055</v>
      </c>
      <c r="W1784" s="56" t="n">
        <f aca="false">((I1784+J1784)/2)*O1784</f>
        <v>7242.679125</v>
      </c>
      <c r="X1784" s="56" t="n">
        <f aca="false">H1784*O1784</f>
        <v>2155.684014</v>
      </c>
    </row>
    <row r="1785" customFormat="false" ht="22.35" hidden="false" customHeight="false" outlineLevel="0" collapsed="false">
      <c r="A1785" s="80" t="s">
        <v>2067</v>
      </c>
      <c r="B1785" s="49" t="s">
        <v>4258</v>
      </c>
      <c r="C1785" s="49" t="s">
        <v>4259</v>
      </c>
      <c r="D1785" s="49" t="s">
        <v>2109</v>
      </c>
      <c r="E1785" s="60" t="s">
        <v>2110</v>
      </c>
      <c r="F1785" s="49" t="s">
        <v>2097</v>
      </c>
      <c r="G1785" s="49" t="s">
        <v>2097</v>
      </c>
      <c r="H1785" s="51" t="n">
        <v>25000</v>
      </c>
      <c r="I1785" s="51" t="n">
        <v>307557.69</v>
      </c>
      <c r="J1785" s="51" t="n">
        <v>512596.15</v>
      </c>
      <c r="K1785" s="52" t="n">
        <v>512596.15</v>
      </c>
      <c r="L1785" s="53" t="n">
        <v>75.4</v>
      </c>
      <c r="M1785" s="54" t="n">
        <v>90.1</v>
      </c>
      <c r="N1785" s="51" t="n">
        <v>2719.342949</v>
      </c>
      <c r="O1785" s="55" t="n">
        <v>0.325</v>
      </c>
      <c r="P1785" s="51" t="n">
        <v>-487596.15</v>
      </c>
      <c r="Q1785" s="49" t="s">
        <v>2103</v>
      </c>
      <c r="R1785" s="49" t="s">
        <v>2099</v>
      </c>
      <c r="S1785" s="53" t="n">
        <v>1.5</v>
      </c>
      <c r="T1785" s="51" t="n">
        <v>1</v>
      </c>
      <c r="U1785" s="56" t="n">
        <f aca="false">I1785*O1785</f>
        <v>99956.24925</v>
      </c>
      <c r="V1785" s="56" t="n">
        <f aca="false">J1785*O1785</f>
        <v>166593.74875</v>
      </c>
      <c r="W1785" s="56" t="n">
        <f aca="false">((I1785+J1785)/2)*O1785</f>
        <v>133274.999</v>
      </c>
      <c r="X1785" s="56" t="n">
        <f aca="false">H1785*O1785</f>
        <v>8125</v>
      </c>
    </row>
    <row r="1786" customFormat="false" ht="22.35" hidden="false" customHeight="false" outlineLevel="0" collapsed="false">
      <c r="A1786" s="80" t="s">
        <v>2067</v>
      </c>
      <c r="B1786" s="7" t="s">
        <v>4260</v>
      </c>
      <c r="C1786" s="7" t="s">
        <v>4261</v>
      </c>
      <c r="D1786" s="7" t="s">
        <v>2109</v>
      </c>
      <c r="E1786" s="60" t="s">
        <v>2110</v>
      </c>
      <c r="F1786" s="7" t="s">
        <v>2097</v>
      </c>
      <c r="G1786" s="7" t="s">
        <v>2097</v>
      </c>
      <c r="H1786" s="9" t="n">
        <v>35000</v>
      </c>
      <c r="I1786" s="9" t="n">
        <v>550101.61</v>
      </c>
      <c r="J1786" s="9" t="n">
        <v>916836.02</v>
      </c>
      <c r="K1786" s="52" t="n">
        <v>916836.02</v>
      </c>
      <c r="L1786" s="58" t="n">
        <v>5.5</v>
      </c>
      <c r="M1786" s="59" t="n">
        <v>83.8</v>
      </c>
      <c r="N1786" s="9" t="n">
        <v>66678.983279</v>
      </c>
      <c r="O1786" s="8" t="n">
        <v>0.1129</v>
      </c>
      <c r="P1786" s="9" t="n">
        <v>-881836.02</v>
      </c>
      <c r="Q1786" s="7" t="s">
        <v>2103</v>
      </c>
      <c r="R1786" s="7" t="s">
        <v>2099</v>
      </c>
      <c r="S1786" s="58" t="n">
        <v>1.5</v>
      </c>
      <c r="T1786" s="9" t="n">
        <v>1</v>
      </c>
      <c r="U1786" s="56" t="n">
        <f aca="false">I1786*O1786</f>
        <v>62106.471769</v>
      </c>
      <c r="V1786" s="56" t="n">
        <f aca="false">J1786*O1786</f>
        <v>103510.786658</v>
      </c>
      <c r="W1786" s="56" t="n">
        <f aca="false">((I1786+J1786)/2)*O1786</f>
        <v>82808.6292135</v>
      </c>
      <c r="X1786" s="56" t="n">
        <f aca="false">H1786*O1786</f>
        <v>3951.5</v>
      </c>
    </row>
    <row r="1787" customFormat="false" ht="22.35" hidden="false" customHeight="false" outlineLevel="0" collapsed="false">
      <c r="A1787" s="80" t="s">
        <v>2067</v>
      </c>
      <c r="B1787" s="49" t="s">
        <v>4262</v>
      </c>
      <c r="C1787" s="49" t="s">
        <v>4263</v>
      </c>
      <c r="D1787" s="49" t="s">
        <v>2101</v>
      </c>
      <c r="E1787" s="57" t="s">
        <v>2102</v>
      </c>
      <c r="F1787" s="49" t="s">
        <v>2097</v>
      </c>
      <c r="G1787" s="49" t="s">
        <v>2097</v>
      </c>
      <c r="H1787" s="51" t="n">
        <v>1820.8333</v>
      </c>
      <c r="I1787" s="51" t="n">
        <v>1300.27</v>
      </c>
      <c r="J1787" s="51" t="n">
        <v>3900.82</v>
      </c>
      <c r="K1787" s="52" t="n">
        <v>3950</v>
      </c>
      <c r="L1787" s="53" t="n">
        <v>28</v>
      </c>
      <c r="M1787" s="54" t="n">
        <v>80</v>
      </c>
      <c r="N1787" s="51" t="n">
        <v>92.876712</v>
      </c>
      <c r="O1787" s="55" t="n">
        <v>0.4001</v>
      </c>
      <c r="P1787" s="51" t="n">
        <v>-2079.99</v>
      </c>
      <c r="Q1787" s="49" t="s">
        <v>2103</v>
      </c>
      <c r="R1787" s="49" t="s">
        <v>2099</v>
      </c>
      <c r="S1787" s="53" t="n">
        <v>0.5</v>
      </c>
      <c r="T1787" s="51" t="n">
        <v>50</v>
      </c>
      <c r="U1787" s="56" t="n">
        <f aca="false">I1787*O1787</f>
        <v>520.238027</v>
      </c>
      <c r="V1787" s="56" t="n">
        <f aca="false">J1787*O1787</f>
        <v>1560.718082</v>
      </c>
      <c r="W1787" s="56" t="n">
        <f aca="false">((I1787+J1787)/2)*O1787</f>
        <v>1040.4780545</v>
      </c>
      <c r="X1787" s="56" t="n">
        <f aca="false">H1787*O1787</f>
        <v>728.51540333</v>
      </c>
    </row>
    <row r="1788" customFormat="false" ht="22.35" hidden="false" customHeight="false" outlineLevel="0" collapsed="false">
      <c r="A1788" s="80" t="s">
        <v>2067</v>
      </c>
      <c r="B1788" s="7" t="s">
        <v>4264</v>
      </c>
      <c r="C1788" s="7" t="s">
        <v>4265</v>
      </c>
      <c r="D1788" s="7" t="s">
        <v>2109</v>
      </c>
      <c r="E1788" s="60" t="s">
        <v>2110</v>
      </c>
      <c r="F1788" s="7" t="s">
        <v>2097</v>
      </c>
      <c r="G1788" s="7" t="s">
        <v>2097</v>
      </c>
      <c r="H1788" s="9" t="n">
        <v>50000</v>
      </c>
      <c r="I1788" s="9" t="n">
        <v>369331.67</v>
      </c>
      <c r="J1788" s="9" t="n">
        <v>615552.78</v>
      </c>
      <c r="K1788" s="52" t="n">
        <v>615552.78</v>
      </c>
      <c r="L1788" s="58" t="n">
        <v>6.3</v>
      </c>
      <c r="M1788" s="59" t="n">
        <v>86.9</v>
      </c>
      <c r="N1788" s="9" t="n">
        <v>39082.715919</v>
      </c>
      <c r="O1788" s="8" t="n">
        <v>0.1627</v>
      </c>
      <c r="P1788" s="9" t="n">
        <v>-565552.78</v>
      </c>
      <c r="Q1788" s="7" t="s">
        <v>2103</v>
      </c>
      <c r="R1788" s="7" t="s">
        <v>2099</v>
      </c>
      <c r="S1788" s="58" t="n">
        <v>1.5</v>
      </c>
      <c r="T1788" s="9" t="n">
        <v>1</v>
      </c>
      <c r="U1788" s="56" t="n">
        <f aca="false">I1788*O1788</f>
        <v>60090.262709</v>
      </c>
      <c r="V1788" s="56" t="n">
        <f aca="false">J1788*O1788</f>
        <v>100150.437306</v>
      </c>
      <c r="W1788" s="56" t="n">
        <f aca="false">((I1788+J1788)/2)*O1788</f>
        <v>80120.3500075</v>
      </c>
      <c r="X1788" s="56" t="n">
        <f aca="false">H1788*O1788</f>
        <v>8135</v>
      </c>
    </row>
    <row r="1789" customFormat="false" ht="22.35" hidden="false" customHeight="false" outlineLevel="0" collapsed="false">
      <c r="A1789" s="80" t="s">
        <v>2067</v>
      </c>
      <c r="B1789" s="49" t="s">
        <v>4266</v>
      </c>
      <c r="C1789" s="49" t="s">
        <v>4267</v>
      </c>
      <c r="D1789" s="49" t="s">
        <v>2101</v>
      </c>
      <c r="E1789" s="57" t="s">
        <v>2102</v>
      </c>
      <c r="F1789" s="49" t="s">
        <v>2097</v>
      </c>
      <c r="G1789" s="49" t="s">
        <v>2097</v>
      </c>
      <c r="H1789" s="51" t="n">
        <v>1440.8333</v>
      </c>
      <c r="I1789" s="51" t="n">
        <v>2370.41</v>
      </c>
      <c r="J1789" s="51" t="n">
        <v>7111.24</v>
      </c>
      <c r="K1789" s="52" t="n">
        <v>10800</v>
      </c>
      <c r="L1789" s="53" t="n">
        <v>71.6</v>
      </c>
      <c r="M1789" s="54" t="n">
        <v>42.9</v>
      </c>
      <c r="N1789" s="51" t="n">
        <v>66.212706</v>
      </c>
      <c r="O1789" s="55" t="n">
        <v>2.53</v>
      </c>
      <c r="P1789" s="51" t="n">
        <v>-5670.41</v>
      </c>
      <c r="Q1789" s="49" t="s">
        <v>2103</v>
      </c>
      <c r="R1789" s="49" t="s">
        <v>2099</v>
      </c>
      <c r="S1789" s="53" t="n">
        <v>0.5</v>
      </c>
      <c r="T1789" s="51" t="n">
        <v>10800</v>
      </c>
      <c r="U1789" s="56" t="n">
        <f aca="false">I1789*O1789</f>
        <v>5997.1373</v>
      </c>
      <c r="V1789" s="56" t="n">
        <f aca="false">J1789*O1789</f>
        <v>17991.4372</v>
      </c>
      <c r="W1789" s="56" t="n">
        <f aca="false">((I1789+J1789)/2)*O1789</f>
        <v>11994.28725</v>
      </c>
      <c r="X1789" s="56" t="n">
        <f aca="false">H1789*O1789</f>
        <v>3645.308249</v>
      </c>
    </row>
    <row r="1790" customFormat="false" ht="22.35" hidden="false" customHeight="false" outlineLevel="0" collapsed="false">
      <c r="A1790" s="80" t="s">
        <v>2067</v>
      </c>
      <c r="B1790" s="7" t="s">
        <v>4268</v>
      </c>
      <c r="C1790" s="7" t="s">
        <v>4269</v>
      </c>
      <c r="D1790" s="7" t="s">
        <v>2109</v>
      </c>
      <c r="E1790" s="60" t="s">
        <v>2110</v>
      </c>
      <c r="F1790" s="7" t="s">
        <v>2097</v>
      </c>
      <c r="G1790" s="7" t="s">
        <v>2097</v>
      </c>
      <c r="H1790" s="9" t="n">
        <v>27629.1667</v>
      </c>
      <c r="I1790" s="9" t="n">
        <v>131392.96</v>
      </c>
      <c r="J1790" s="9" t="n">
        <v>218988.26</v>
      </c>
      <c r="K1790" s="52" t="n">
        <v>259200</v>
      </c>
      <c r="L1790" s="58" t="n">
        <v>70.5</v>
      </c>
      <c r="M1790" s="59" t="n">
        <v>48</v>
      </c>
      <c r="N1790" s="9" t="n">
        <v>1242.486579</v>
      </c>
      <c r="O1790" s="8" t="n">
        <v>0.35</v>
      </c>
      <c r="P1790" s="9" t="n">
        <v>-191359.09</v>
      </c>
      <c r="Q1790" s="7" t="s">
        <v>2103</v>
      </c>
      <c r="R1790" s="7" t="s">
        <v>2099</v>
      </c>
      <c r="S1790" s="58" t="n">
        <v>1.5</v>
      </c>
      <c r="T1790" s="9" t="n">
        <v>43200</v>
      </c>
      <c r="U1790" s="56" t="n">
        <f aca="false">I1790*O1790</f>
        <v>45987.536</v>
      </c>
      <c r="V1790" s="56" t="n">
        <f aca="false">J1790*O1790</f>
        <v>76645.891</v>
      </c>
      <c r="W1790" s="56" t="n">
        <f aca="false">((I1790+J1790)/2)*O1790</f>
        <v>61316.7135</v>
      </c>
      <c r="X1790" s="56" t="n">
        <f aca="false">H1790*O1790</f>
        <v>9670.208345</v>
      </c>
    </row>
    <row r="1791" customFormat="false" ht="22.35" hidden="false" customHeight="false" outlineLevel="0" collapsed="false">
      <c r="A1791" s="80" t="s">
        <v>2067</v>
      </c>
      <c r="B1791" s="49" t="s">
        <v>4270</v>
      </c>
      <c r="C1791" s="49" t="s">
        <v>2366</v>
      </c>
      <c r="D1791" s="49" t="s">
        <v>2109</v>
      </c>
      <c r="E1791" s="60" t="s">
        <v>2110</v>
      </c>
      <c r="F1791" s="49" t="s">
        <v>2097</v>
      </c>
      <c r="G1791" s="49" t="s">
        <v>2097</v>
      </c>
      <c r="H1791" s="51" t="n">
        <v>51883.7071</v>
      </c>
      <c r="I1791" s="51" t="n">
        <v>263250.97</v>
      </c>
      <c r="J1791" s="51" t="n">
        <v>438751.62</v>
      </c>
      <c r="K1791" s="52" t="n">
        <v>462000</v>
      </c>
      <c r="L1791" s="53" t="n">
        <v>93.1</v>
      </c>
      <c r="M1791" s="54" t="n">
        <v>63.4</v>
      </c>
      <c r="N1791" s="51" t="n">
        <v>1885.076775</v>
      </c>
      <c r="O1791" s="55" t="n">
        <v>0.1195</v>
      </c>
      <c r="P1791" s="51" t="n">
        <v>-386867.91</v>
      </c>
      <c r="Q1791" s="49" t="s">
        <v>2103</v>
      </c>
      <c r="R1791" s="49" t="s">
        <v>2099</v>
      </c>
      <c r="S1791" s="53" t="n">
        <v>1.5</v>
      </c>
      <c r="T1791" s="51" t="n">
        <v>42000</v>
      </c>
      <c r="U1791" s="56" t="n">
        <f aca="false">I1791*O1791</f>
        <v>31458.490915</v>
      </c>
      <c r="V1791" s="56" t="n">
        <f aca="false">J1791*O1791</f>
        <v>52430.81859</v>
      </c>
      <c r="W1791" s="56" t="n">
        <f aca="false">((I1791+J1791)/2)*O1791</f>
        <v>41944.6547525</v>
      </c>
      <c r="X1791" s="56" t="n">
        <f aca="false">H1791*O1791</f>
        <v>6200.10299845</v>
      </c>
    </row>
    <row r="1792" customFormat="false" ht="22.35" hidden="false" customHeight="false" outlineLevel="0" collapsed="false">
      <c r="A1792" s="80" t="s">
        <v>2067</v>
      </c>
      <c r="B1792" s="7" t="s">
        <v>4271</v>
      </c>
      <c r="C1792" s="7" t="s">
        <v>2047</v>
      </c>
      <c r="D1792" s="7" t="s">
        <v>2109</v>
      </c>
      <c r="E1792" s="60" t="s">
        <v>2110</v>
      </c>
      <c r="F1792" s="7" t="s">
        <v>2097</v>
      </c>
      <c r="G1792" s="7" t="s">
        <v>2097</v>
      </c>
      <c r="H1792" s="9" t="n">
        <v>42000</v>
      </c>
      <c r="I1792" s="9" t="n">
        <v>144028.22</v>
      </c>
      <c r="J1792" s="9" t="n">
        <v>240047.03</v>
      </c>
      <c r="K1792" s="52" t="n">
        <v>240047.03</v>
      </c>
      <c r="L1792" s="58" t="n">
        <v>5.9</v>
      </c>
      <c r="M1792" s="59" t="n">
        <v>78.5</v>
      </c>
      <c r="N1792" s="9" t="n">
        <v>16274.374807</v>
      </c>
      <c r="O1792" s="8" t="n">
        <v>0.093</v>
      </c>
      <c r="P1792" s="9" t="n">
        <v>-198047.03</v>
      </c>
      <c r="Q1792" s="7" t="s">
        <v>2103</v>
      </c>
      <c r="R1792" s="7" t="s">
        <v>2099</v>
      </c>
      <c r="S1792" s="58" t="n">
        <v>1.5</v>
      </c>
      <c r="T1792" s="9" t="n">
        <v>1</v>
      </c>
      <c r="U1792" s="56" t="n">
        <f aca="false">I1792*O1792</f>
        <v>13394.62446</v>
      </c>
      <c r="V1792" s="56" t="n">
        <f aca="false">J1792*O1792</f>
        <v>22324.37379</v>
      </c>
      <c r="W1792" s="56" t="n">
        <f aca="false">((I1792+J1792)/2)*O1792</f>
        <v>17859.499125</v>
      </c>
      <c r="X1792" s="56" t="n">
        <f aca="false">H1792*O1792</f>
        <v>3906</v>
      </c>
    </row>
    <row r="1793" customFormat="false" ht="22.35" hidden="false" customHeight="false" outlineLevel="0" collapsed="false">
      <c r="A1793" s="80" t="s">
        <v>2067</v>
      </c>
      <c r="B1793" s="49" t="s">
        <v>4272</v>
      </c>
      <c r="C1793" s="49" t="s">
        <v>4273</v>
      </c>
      <c r="D1793" s="49" t="s">
        <v>2101</v>
      </c>
      <c r="E1793" s="57" t="s">
        <v>2102</v>
      </c>
      <c r="F1793" s="49" t="s">
        <v>2097</v>
      </c>
      <c r="G1793" s="49" t="s">
        <v>2097</v>
      </c>
      <c r="H1793" s="51" t="n">
        <v>1071.399</v>
      </c>
      <c r="I1793" s="51" t="n">
        <v>461.09</v>
      </c>
      <c r="J1793" s="51" t="n">
        <v>1383.26</v>
      </c>
      <c r="K1793" s="52" t="n">
        <v>4000</v>
      </c>
      <c r="L1793" s="53" t="n">
        <v>15.7</v>
      </c>
      <c r="M1793" s="54" t="n">
        <v>66.7</v>
      </c>
      <c r="N1793" s="51" t="n">
        <v>58.73697</v>
      </c>
      <c r="O1793" s="55" t="n">
        <v>1.98</v>
      </c>
      <c r="P1793" s="51" t="n">
        <v>-311.86</v>
      </c>
      <c r="Q1793" s="49" t="s">
        <v>2103</v>
      </c>
      <c r="R1793" s="49" t="s">
        <v>2099</v>
      </c>
      <c r="S1793" s="53" t="n">
        <v>0.5</v>
      </c>
      <c r="T1793" s="51" t="n">
        <v>4000</v>
      </c>
      <c r="U1793" s="56" t="n">
        <f aca="false">I1793*O1793</f>
        <v>912.9582</v>
      </c>
      <c r="V1793" s="56" t="n">
        <f aca="false">J1793*O1793</f>
        <v>2738.8548</v>
      </c>
      <c r="W1793" s="56" t="n">
        <f aca="false">((I1793+J1793)/2)*O1793</f>
        <v>1825.9065</v>
      </c>
      <c r="X1793" s="56" t="n">
        <f aca="false">H1793*O1793</f>
        <v>2121.37002</v>
      </c>
    </row>
    <row r="1795" customFormat="false" ht="24" hidden="false" customHeight="true" outlineLevel="0" collapsed="false">
      <c r="A1795" s="81" t="s">
        <v>4274</v>
      </c>
      <c r="B1795" s="81"/>
      <c r="C1795" s="81"/>
      <c r="D1795" s="81"/>
      <c r="E1795" s="81"/>
      <c r="F1795" s="81"/>
      <c r="G1795" s="81"/>
      <c r="H1795" s="82" t="n">
        <f aca="false">SUMIFS($H$5:$H$1793,$D$5:$D$1793,"&lt;&gt;OUT_OF_SCOPE",$G$5:$G$1793,"NO")</f>
        <v>4050649.4766</v>
      </c>
      <c r="I1795" s="82" t="n">
        <f aca="false">SUMIFS($I$5:$I$1793,$D$5:$D$1793,"&lt;&gt;OUT_OF_SCOPE",$G$5:$G$1793,"NO")</f>
        <v>9513429.74</v>
      </c>
      <c r="J1795" s="82" t="n">
        <f aca="false">SUMIFS($J$5:$J$1793,$D$5:$D$1793,"&lt;&gt;OUT_OF_SCOPE",$G$5:$G$1793,"NO")</f>
        <v>16950230.56</v>
      </c>
      <c r="L1795" s="83" t="n">
        <f aca="false">AVERAGEIFS($L$5:$L$1793,$D$5:$D$1793,"&lt;&gt;OUT_OF_SCOPE",$G$5:$G$1793,"NO")</f>
        <v>37.5023360287511</v>
      </c>
      <c r="M1795" s="84" t="n">
        <f aca="false">AVERAGEIFS($M$5:$M$1793,$D$5:$D$1793,"&lt;&gt;OUT_OF_SCOPE",$G$5:$G$1793,"NO")</f>
        <v>69.9799460431655</v>
      </c>
      <c r="U1795" s="85" t="n">
        <f aca="false">SUMIFS($U$5:$U$1793,$D$5:$D$1793,"&lt;&gt;OUT_OF_SCOPE",$G$5:$G$1793,"NO")</f>
        <v>15706181.713637</v>
      </c>
      <c r="V1795" s="85" t="n">
        <f aca="false">SUMIFS($V$5:$V$1793,$D$5:$D$1793,"&lt;&gt;OUT_OF_SCOPE",$G$5:$G$1793,"NO")</f>
        <v>29413581.541236</v>
      </c>
      <c r="W1795" s="85" t="n">
        <f aca="false">SUMIFS($W$5:$W$1793,$D$5:$D$1793,"&lt;&gt;OUT_OF_SCOPE",$G$5:$G$1793,"NO")</f>
        <v>22559881.6274365</v>
      </c>
      <c r="X1795" s="85" t="n">
        <f aca="false">SUMIFS($X$5:$X$1793,$D$5:$D$1793,"&lt;&gt;OUT_OF_SCOPE",$G$5:$G$1793,"NO")</f>
        <v>8157781.06168212</v>
      </c>
    </row>
  </sheetData>
  <mergeCells count="3">
    <mergeCell ref="A1:X1"/>
    <mergeCell ref="A2:X2"/>
    <mergeCell ref="A1795:G17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F5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14"/>
    <col collapsed="false" customWidth="true" hidden="false" outlineLevel="0" max="4" min="4" style="0" width="32"/>
    <col collapsed="false" customWidth="true" hidden="false" outlineLevel="0" max="5" min="5" style="0" width="14"/>
    <col collapsed="false" customWidth="true" hidden="false" outlineLevel="0" max="6" min="6" style="0" width="18"/>
  </cols>
  <sheetData>
    <row r="1" customFormat="false" ht="27.75" hidden="false" customHeight="true" outlineLevel="0" collapsed="false">
      <c r="A1" s="86" t="s">
        <v>4275</v>
      </c>
      <c r="B1" s="86"/>
      <c r="C1" s="86"/>
      <c r="D1" s="86"/>
      <c r="E1" s="86"/>
      <c r="F1" s="86"/>
    </row>
    <row r="2" customFormat="false" ht="24" hidden="false" customHeight="true" outlineLevel="0" collapsed="false">
      <c r="A2" s="87" t="s">
        <v>1</v>
      </c>
      <c r="B2" s="87" t="s">
        <v>2</v>
      </c>
      <c r="C2" s="87" t="s">
        <v>4276</v>
      </c>
      <c r="D2" s="87" t="s">
        <v>4277</v>
      </c>
      <c r="E2" s="87" t="s">
        <v>2073</v>
      </c>
      <c r="F2" s="87" t="s">
        <v>2078</v>
      </c>
    </row>
    <row r="3" customFormat="false" ht="15" hidden="false" customHeight="false" outlineLevel="0" collapsed="false">
      <c r="A3" s="4" t="s">
        <v>2568</v>
      </c>
      <c r="B3" s="4" t="s">
        <v>2569</v>
      </c>
      <c r="C3" s="4" t="s">
        <v>4278</v>
      </c>
      <c r="D3" s="4" t="s">
        <v>4279</v>
      </c>
      <c r="E3" s="4" t="s">
        <v>2063</v>
      </c>
      <c r="F3" s="4" t="n">
        <v>376</v>
      </c>
    </row>
    <row r="4" customFormat="false" ht="15" hidden="false" customHeight="false" outlineLevel="0" collapsed="false">
      <c r="A4" s="7" t="s">
        <v>2573</v>
      </c>
      <c r="B4" s="7" t="s">
        <v>2569</v>
      </c>
      <c r="C4" s="7" t="s">
        <v>4278</v>
      </c>
      <c r="D4" s="7" t="s">
        <v>4279</v>
      </c>
      <c r="E4" s="7" t="s">
        <v>2063</v>
      </c>
      <c r="F4" s="7" t="n">
        <v>48</v>
      </c>
    </row>
    <row r="5" customFormat="false" ht="15" hidden="false" customHeight="false" outlineLevel="0" collapsed="false">
      <c r="A5" s="4" t="s">
        <v>2574</v>
      </c>
      <c r="B5" s="4" t="s">
        <v>2575</v>
      </c>
      <c r="C5" s="4" t="s">
        <v>4278</v>
      </c>
      <c r="D5" s="4" t="s">
        <v>4279</v>
      </c>
      <c r="E5" s="4" t="s">
        <v>2063</v>
      </c>
      <c r="F5" s="4" t="n">
        <v>32</v>
      </c>
    </row>
    <row r="6" customFormat="false" ht="15" hidden="false" customHeight="false" outlineLevel="0" collapsed="false">
      <c r="A6" s="7" t="s">
        <v>2576</v>
      </c>
      <c r="B6" s="7" t="s">
        <v>2575</v>
      </c>
      <c r="C6" s="7" t="s">
        <v>4278</v>
      </c>
      <c r="D6" s="7" t="s">
        <v>4279</v>
      </c>
      <c r="E6" s="7" t="s">
        <v>2063</v>
      </c>
      <c r="F6" s="7" t="n">
        <v>132</v>
      </c>
    </row>
    <row r="7" customFormat="false" ht="15" hidden="false" customHeight="false" outlineLevel="0" collapsed="false">
      <c r="A7" s="4" t="s">
        <v>2577</v>
      </c>
      <c r="B7" s="4" t="s">
        <v>2578</v>
      </c>
      <c r="C7" s="4" t="s">
        <v>4278</v>
      </c>
      <c r="D7" s="4" t="s">
        <v>4279</v>
      </c>
      <c r="E7" s="4" t="s">
        <v>2063</v>
      </c>
      <c r="F7" s="4" t="n">
        <v>24</v>
      </c>
    </row>
    <row r="8" customFormat="false" ht="15" hidden="false" customHeight="false" outlineLevel="0" collapsed="false">
      <c r="A8" s="7" t="s">
        <v>2579</v>
      </c>
      <c r="B8" s="7" t="s">
        <v>2578</v>
      </c>
      <c r="C8" s="7" t="s">
        <v>4278</v>
      </c>
      <c r="D8" s="7" t="s">
        <v>4279</v>
      </c>
      <c r="E8" s="7" t="s">
        <v>2063</v>
      </c>
      <c r="F8" s="7" t="n">
        <v>16</v>
      </c>
    </row>
    <row r="9" customFormat="false" ht="15" hidden="false" customHeight="false" outlineLevel="0" collapsed="false">
      <c r="A9" s="4" t="s">
        <v>2580</v>
      </c>
      <c r="B9" s="4" t="s">
        <v>2581</v>
      </c>
      <c r="C9" s="4" t="s">
        <v>4278</v>
      </c>
      <c r="D9" s="4" t="s">
        <v>4279</v>
      </c>
      <c r="E9" s="4" t="s">
        <v>2063</v>
      </c>
      <c r="F9" s="4" t="n">
        <v>24</v>
      </c>
    </row>
    <row r="10" customFormat="false" ht="15" hidden="false" customHeight="false" outlineLevel="0" collapsed="false">
      <c r="A10" s="7" t="s">
        <v>2582</v>
      </c>
      <c r="B10" s="7" t="s">
        <v>2581</v>
      </c>
      <c r="C10" s="7" t="s">
        <v>4278</v>
      </c>
      <c r="D10" s="7" t="s">
        <v>4279</v>
      </c>
      <c r="E10" s="7" t="s">
        <v>2063</v>
      </c>
      <c r="F10" s="7" t="n">
        <v>8</v>
      </c>
    </row>
    <row r="11" customFormat="false" ht="15" hidden="false" customHeight="false" outlineLevel="0" collapsed="false">
      <c r="A11" s="4" t="s">
        <v>2583</v>
      </c>
      <c r="B11" s="4" t="s">
        <v>2584</v>
      </c>
      <c r="C11" s="4" t="s">
        <v>4278</v>
      </c>
      <c r="D11" s="4" t="s">
        <v>4279</v>
      </c>
      <c r="E11" s="4" t="s">
        <v>2063</v>
      </c>
      <c r="F11" s="4" t="n">
        <v>8</v>
      </c>
    </row>
    <row r="12" customFormat="false" ht="15" hidden="false" customHeight="false" outlineLevel="0" collapsed="false">
      <c r="A12" s="7" t="s">
        <v>2585</v>
      </c>
      <c r="B12" s="7" t="s">
        <v>2584</v>
      </c>
      <c r="C12" s="7" t="s">
        <v>4278</v>
      </c>
      <c r="D12" s="7" t="s">
        <v>4279</v>
      </c>
      <c r="E12" s="7" t="s">
        <v>2063</v>
      </c>
      <c r="F12" s="7" t="n">
        <v>2</v>
      </c>
    </row>
    <row r="13" customFormat="false" ht="15" hidden="false" customHeight="false" outlineLevel="0" collapsed="false">
      <c r="A13" s="4" t="s">
        <v>2586</v>
      </c>
      <c r="B13" s="4" t="s">
        <v>2587</v>
      </c>
      <c r="C13" s="4" t="s">
        <v>4280</v>
      </c>
      <c r="D13" s="4" t="s">
        <v>4281</v>
      </c>
      <c r="E13" s="4" t="s">
        <v>2063</v>
      </c>
      <c r="F13" s="4" t="n">
        <v>16</v>
      </c>
    </row>
    <row r="14" customFormat="false" ht="15" hidden="false" customHeight="false" outlineLevel="0" collapsed="false">
      <c r="A14" s="7" t="s">
        <v>2588</v>
      </c>
      <c r="B14" s="7" t="s">
        <v>2587</v>
      </c>
      <c r="C14" s="7" t="s">
        <v>4280</v>
      </c>
      <c r="D14" s="7" t="s">
        <v>4281</v>
      </c>
      <c r="E14" s="7" t="s">
        <v>2063</v>
      </c>
      <c r="F14" s="7" t="n">
        <v>6</v>
      </c>
    </row>
    <row r="15" customFormat="false" ht="15" hidden="false" customHeight="false" outlineLevel="0" collapsed="false">
      <c r="A15" s="4" t="s">
        <v>2589</v>
      </c>
      <c r="B15" s="4" t="s">
        <v>2590</v>
      </c>
      <c r="C15" s="4" t="s">
        <v>4282</v>
      </c>
      <c r="D15" s="4" t="s">
        <v>4283</v>
      </c>
      <c r="E15" s="4" t="s">
        <v>2063</v>
      </c>
      <c r="F15" s="4" t="n">
        <v>8</v>
      </c>
    </row>
    <row r="16" customFormat="false" ht="15" hidden="false" customHeight="false" outlineLevel="0" collapsed="false">
      <c r="A16" s="7" t="s">
        <v>2591</v>
      </c>
      <c r="B16" s="7" t="s">
        <v>2590</v>
      </c>
      <c r="C16" s="7" t="s">
        <v>4282</v>
      </c>
      <c r="D16" s="7" t="s">
        <v>4283</v>
      </c>
      <c r="E16" s="7" t="s">
        <v>2063</v>
      </c>
      <c r="F16" s="7" t="n">
        <v>8</v>
      </c>
    </row>
    <row r="17" customFormat="false" ht="15" hidden="false" customHeight="false" outlineLevel="0" collapsed="false">
      <c r="A17" s="4" t="s">
        <v>2592</v>
      </c>
      <c r="B17" s="4" t="s">
        <v>2590</v>
      </c>
      <c r="C17" s="4" t="s">
        <v>4280</v>
      </c>
      <c r="D17" s="4" t="s">
        <v>4281</v>
      </c>
      <c r="E17" s="4" t="s">
        <v>2063</v>
      </c>
      <c r="F17" s="4" t="n">
        <v>4</v>
      </c>
    </row>
    <row r="18" customFormat="false" ht="15" hidden="false" customHeight="false" outlineLevel="0" collapsed="false">
      <c r="A18" s="7" t="s">
        <v>2593</v>
      </c>
      <c r="B18" s="7" t="s">
        <v>2594</v>
      </c>
      <c r="C18" s="7" t="s">
        <v>4280</v>
      </c>
      <c r="D18" s="7" t="s">
        <v>4281</v>
      </c>
      <c r="E18" s="7" t="s">
        <v>2063</v>
      </c>
      <c r="F18" s="7" t="n">
        <v>96</v>
      </c>
    </row>
    <row r="19" customFormat="false" ht="15" hidden="false" customHeight="false" outlineLevel="0" collapsed="false">
      <c r="A19" s="4" t="s">
        <v>2595</v>
      </c>
      <c r="B19" s="4" t="s">
        <v>2594</v>
      </c>
      <c r="C19" s="4" t="s">
        <v>4280</v>
      </c>
      <c r="D19" s="4" t="s">
        <v>4281</v>
      </c>
      <c r="E19" s="4" t="s">
        <v>2063</v>
      </c>
      <c r="F19" s="4" t="n">
        <v>84</v>
      </c>
    </row>
    <row r="20" customFormat="false" ht="15" hidden="false" customHeight="false" outlineLevel="0" collapsed="false">
      <c r="A20" s="7" t="s">
        <v>2596</v>
      </c>
      <c r="B20" s="7" t="s">
        <v>2597</v>
      </c>
      <c r="C20" s="7" t="s">
        <v>4280</v>
      </c>
      <c r="D20" s="7" t="s">
        <v>4281</v>
      </c>
      <c r="E20" s="7" t="s">
        <v>2063</v>
      </c>
      <c r="F20" s="7" t="n">
        <v>16</v>
      </c>
    </row>
    <row r="21" customFormat="false" ht="15" hidden="false" customHeight="false" outlineLevel="0" collapsed="false">
      <c r="A21" s="4" t="s">
        <v>2598</v>
      </c>
      <c r="B21" s="4" t="s">
        <v>2599</v>
      </c>
      <c r="C21" s="4" t="s">
        <v>4280</v>
      </c>
      <c r="D21" s="4" t="s">
        <v>4281</v>
      </c>
      <c r="E21" s="4" t="s">
        <v>2063</v>
      </c>
      <c r="F21" s="4" t="n">
        <v>72</v>
      </c>
    </row>
    <row r="22" customFormat="false" ht="15" hidden="false" customHeight="false" outlineLevel="0" collapsed="false">
      <c r="A22" s="7" t="s">
        <v>2600</v>
      </c>
      <c r="B22" s="7" t="s">
        <v>2599</v>
      </c>
      <c r="C22" s="7" t="s">
        <v>4280</v>
      </c>
      <c r="D22" s="7" t="s">
        <v>4281</v>
      </c>
      <c r="E22" s="7" t="s">
        <v>2063</v>
      </c>
      <c r="F22" s="7" t="n">
        <v>96</v>
      </c>
    </row>
    <row r="23" customFormat="false" ht="15" hidden="false" customHeight="false" outlineLevel="0" collapsed="false">
      <c r="A23" s="4" t="s">
        <v>2601</v>
      </c>
      <c r="B23" s="4" t="s">
        <v>2602</v>
      </c>
      <c r="C23" s="4" t="s">
        <v>4278</v>
      </c>
      <c r="D23" s="4" t="s">
        <v>4279</v>
      </c>
      <c r="E23" s="4" t="s">
        <v>2063</v>
      </c>
      <c r="F23" s="4" t="n">
        <v>376</v>
      </c>
    </row>
    <row r="24" customFormat="false" ht="15" hidden="false" customHeight="false" outlineLevel="0" collapsed="false">
      <c r="A24" s="7" t="s">
        <v>2603</v>
      </c>
      <c r="B24" s="7" t="s">
        <v>2602</v>
      </c>
      <c r="C24" s="7" t="s">
        <v>4278</v>
      </c>
      <c r="D24" s="7" t="s">
        <v>4279</v>
      </c>
      <c r="E24" s="7" t="s">
        <v>2063</v>
      </c>
      <c r="F24" s="7" t="n">
        <v>316</v>
      </c>
    </row>
    <row r="25" customFormat="false" ht="15" hidden="false" customHeight="false" outlineLevel="0" collapsed="false">
      <c r="A25" s="4" t="s">
        <v>2604</v>
      </c>
      <c r="B25" s="4" t="s">
        <v>2605</v>
      </c>
      <c r="C25" s="4" t="s">
        <v>4278</v>
      </c>
      <c r="D25" s="4" t="s">
        <v>4279</v>
      </c>
      <c r="E25" s="4" t="s">
        <v>2063</v>
      </c>
      <c r="F25" s="4" t="n">
        <v>120</v>
      </c>
    </row>
    <row r="26" customFormat="false" ht="15" hidden="false" customHeight="false" outlineLevel="0" collapsed="false">
      <c r="A26" s="7" t="s">
        <v>2606</v>
      </c>
      <c r="B26" s="7" t="s">
        <v>2605</v>
      </c>
      <c r="C26" s="7" t="s">
        <v>4278</v>
      </c>
      <c r="D26" s="7" t="s">
        <v>4279</v>
      </c>
      <c r="E26" s="7" t="s">
        <v>2063</v>
      </c>
      <c r="F26" s="7" t="n">
        <v>36</v>
      </c>
    </row>
    <row r="27" customFormat="false" ht="15" hidden="false" customHeight="false" outlineLevel="0" collapsed="false">
      <c r="A27" s="4" t="s">
        <v>2607</v>
      </c>
      <c r="B27" s="4" t="s">
        <v>2608</v>
      </c>
      <c r="C27" s="4" t="s">
        <v>4278</v>
      </c>
      <c r="D27" s="4" t="s">
        <v>4279</v>
      </c>
      <c r="E27" s="4" t="s">
        <v>2063</v>
      </c>
      <c r="F27" s="4" t="n">
        <v>24</v>
      </c>
    </row>
    <row r="28" customFormat="false" ht="15" hidden="false" customHeight="false" outlineLevel="0" collapsed="false">
      <c r="A28" s="7" t="s">
        <v>2609</v>
      </c>
      <c r="B28" s="7" t="s">
        <v>2608</v>
      </c>
      <c r="C28" s="7" t="s">
        <v>4278</v>
      </c>
      <c r="D28" s="7" t="s">
        <v>4279</v>
      </c>
      <c r="E28" s="7" t="s">
        <v>2063</v>
      </c>
      <c r="F28" s="7" t="n">
        <v>36</v>
      </c>
    </row>
    <row r="29" customFormat="false" ht="15" hidden="false" customHeight="false" outlineLevel="0" collapsed="false">
      <c r="A29" s="4" t="s">
        <v>2610</v>
      </c>
      <c r="B29" s="4" t="s">
        <v>2611</v>
      </c>
      <c r="C29" s="4" t="s">
        <v>4278</v>
      </c>
      <c r="D29" s="4" t="s">
        <v>4279</v>
      </c>
      <c r="E29" s="4" t="s">
        <v>2063</v>
      </c>
      <c r="F29" s="4" t="n">
        <v>112</v>
      </c>
    </row>
    <row r="30" customFormat="false" ht="15" hidden="false" customHeight="false" outlineLevel="0" collapsed="false">
      <c r="A30" s="7" t="s">
        <v>2612</v>
      </c>
      <c r="B30" s="7" t="s">
        <v>2611</v>
      </c>
      <c r="C30" s="7" t="s">
        <v>4278</v>
      </c>
      <c r="D30" s="7" t="s">
        <v>4279</v>
      </c>
      <c r="E30" s="7" t="s">
        <v>2063</v>
      </c>
      <c r="F30" s="7" t="n">
        <v>48</v>
      </c>
    </row>
    <row r="31" customFormat="false" ht="15" hidden="false" customHeight="false" outlineLevel="0" collapsed="false">
      <c r="A31" s="4" t="s">
        <v>2613</v>
      </c>
      <c r="B31" s="4" t="s">
        <v>2614</v>
      </c>
      <c r="C31" s="4" t="s">
        <v>4278</v>
      </c>
      <c r="D31" s="4" t="s">
        <v>4279</v>
      </c>
      <c r="E31" s="4" t="s">
        <v>2063</v>
      </c>
      <c r="F31" s="4" t="n">
        <v>84</v>
      </c>
    </row>
    <row r="32" customFormat="false" ht="15" hidden="false" customHeight="false" outlineLevel="0" collapsed="false">
      <c r="A32" s="7" t="s">
        <v>2615</v>
      </c>
      <c r="B32" s="7" t="s">
        <v>2614</v>
      </c>
      <c r="C32" s="7" t="s">
        <v>4278</v>
      </c>
      <c r="D32" s="7" t="s">
        <v>4279</v>
      </c>
      <c r="E32" s="7" t="s">
        <v>2063</v>
      </c>
      <c r="F32" s="7" t="n">
        <v>32</v>
      </c>
    </row>
    <row r="33" customFormat="false" ht="15" hidden="false" customHeight="false" outlineLevel="0" collapsed="false">
      <c r="A33" s="4" t="s">
        <v>2616</v>
      </c>
      <c r="B33" s="4" t="s">
        <v>2617</v>
      </c>
      <c r="C33" s="4" t="s">
        <v>4278</v>
      </c>
      <c r="D33" s="4" t="s">
        <v>4279</v>
      </c>
      <c r="E33" s="4" t="s">
        <v>2063</v>
      </c>
      <c r="F33" s="4" t="n">
        <v>54</v>
      </c>
    </row>
    <row r="34" customFormat="false" ht="15" hidden="false" customHeight="false" outlineLevel="0" collapsed="false">
      <c r="A34" s="7" t="s">
        <v>2618</v>
      </c>
      <c r="B34" s="7" t="s">
        <v>2617</v>
      </c>
      <c r="C34" s="7" t="s">
        <v>4278</v>
      </c>
      <c r="D34" s="7" t="s">
        <v>4279</v>
      </c>
      <c r="E34" s="7" t="s">
        <v>2063</v>
      </c>
      <c r="F34" s="7" t="n">
        <v>48</v>
      </c>
    </row>
    <row r="35" customFormat="false" ht="15" hidden="false" customHeight="false" outlineLevel="0" collapsed="false">
      <c r="A35" s="4" t="s">
        <v>2619</v>
      </c>
      <c r="B35" s="4" t="s">
        <v>2620</v>
      </c>
      <c r="C35" s="4" t="s">
        <v>4278</v>
      </c>
      <c r="D35" s="4" t="s">
        <v>4279</v>
      </c>
      <c r="E35" s="4" t="s">
        <v>2063</v>
      </c>
      <c r="F35" s="4" t="n">
        <v>216</v>
      </c>
    </row>
    <row r="36" customFormat="false" ht="15" hidden="false" customHeight="false" outlineLevel="0" collapsed="false">
      <c r="A36" s="7" t="s">
        <v>2621</v>
      </c>
      <c r="B36" s="7" t="s">
        <v>2620</v>
      </c>
      <c r="C36" s="7" t="s">
        <v>4278</v>
      </c>
      <c r="D36" s="7" t="s">
        <v>4279</v>
      </c>
      <c r="E36" s="7" t="s">
        <v>2063</v>
      </c>
      <c r="F36" s="7" t="n">
        <v>120</v>
      </c>
    </row>
    <row r="37" customFormat="false" ht="15" hidden="false" customHeight="false" outlineLevel="0" collapsed="false">
      <c r="A37" s="4" t="s">
        <v>2622</v>
      </c>
      <c r="B37" s="4" t="s">
        <v>2620</v>
      </c>
      <c r="C37" s="4" t="s">
        <v>4278</v>
      </c>
      <c r="D37" s="4" t="s">
        <v>4279</v>
      </c>
      <c r="E37" s="4" t="s">
        <v>2063</v>
      </c>
      <c r="F37" s="4" t="n">
        <v>64</v>
      </c>
    </row>
    <row r="38" customFormat="false" ht="15" hidden="false" customHeight="false" outlineLevel="0" collapsed="false">
      <c r="A38" s="7" t="s">
        <v>2623</v>
      </c>
      <c r="B38" s="7" t="s">
        <v>2620</v>
      </c>
      <c r="C38" s="7" t="s">
        <v>4278</v>
      </c>
      <c r="D38" s="7" t="s">
        <v>4279</v>
      </c>
      <c r="E38" s="7" t="s">
        <v>2063</v>
      </c>
      <c r="F38" s="7" t="n">
        <v>48</v>
      </c>
    </row>
    <row r="39" customFormat="false" ht="15" hidden="false" customHeight="false" outlineLevel="0" collapsed="false">
      <c r="A39" s="4" t="s">
        <v>2624</v>
      </c>
      <c r="B39" s="4" t="s">
        <v>2625</v>
      </c>
      <c r="C39" s="4" t="s">
        <v>4284</v>
      </c>
      <c r="D39" s="4" t="s">
        <v>4285</v>
      </c>
      <c r="E39" s="4" t="s">
        <v>2063</v>
      </c>
      <c r="F39" s="4" t="n">
        <v>288</v>
      </c>
    </row>
    <row r="40" customFormat="false" ht="15" hidden="false" customHeight="false" outlineLevel="0" collapsed="false">
      <c r="A40" s="7" t="s">
        <v>2626</v>
      </c>
      <c r="B40" s="7" t="s">
        <v>2627</v>
      </c>
      <c r="C40" s="7" t="s">
        <v>4284</v>
      </c>
      <c r="D40" s="7" t="s">
        <v>4285</v>
      </c>
      <c r="E40" s="7" t="s">
        <v>2063</v>
      </c>
      <c r="F40" s="7" t="n">
        <v>216</v>
      </c>
    </row>
    <row r="41" customFormat="false" ht="15" hidden="false" customHeight="false" outlineLevel="0" collapsed="false">
      <c r="A41" s="4" t="s">
        <v>2628</v>
      </c>
      <c r="B41" s="4" t="s">
        <v>2629</v>
      </c>
      <c r="C41" s="4" t="s">
        <v>4284</v>
      </c>
      <c r="D41" s="4" t="s">
        <v>4285</v>
      </c>
      <c r="E41" s="4" t="s">
        <v>2063</v>
      </c>
      <c r="F41" s="4" t="n">
        <v>216</v>
      </c>
    </row>
    <row r="42" customFormat="false" ht="15" hidden="false" customHeight="false" outlineLevel="0" collapsed="false">
      <c r="A42" s="7" t="s">
        <v>2630</v>
      </c>
      <c r="B42" s="7" t="s">
        <v>2631</v>
      </c>
      <c r="C42" s="7" t="s">
        <v>4278</v>
      </c>
      <c r="D42" s="7" t="s">
        <v>4279</v>
      </c>
      <c r="E42" s="7" t="s">
        <v>2063</v>
      </c>
      <c r="F42" s="7" t="n">
        <v>72</v>
      </c>
    </row>
    <row r="43" customFormat="false" ht="15" hidden="false" customHeight="false" outlineLevel="0" collapsed="false">
      <c r="A43" s="4" t="s">
        <v>2632</v>
      </c>
      <c r="B43" s="4" t="s">
        <v>2631</v>
      </c>
      <c r="C43" s="4" t="s">
        <v>4278</v>
      </c>
      <c r="D43" s="4" t="s">
        <v>4279</v>
      </c>
      <c r="E43" s="4" t="s">
        <v>2063</v>
      </c>
      <c r="F43" s="4" t="n">
        <v>64</v>
      </c>
    </row>
    <row r="44" customFormat="false" ht="15" hidden="false" customHeight="false" outlineLevel="0" collapsed="false">
      <c r="A44" s="7" t="s">
        <v>2633</v>
      </c>
      <c r="B44" s="7" t="s">
        <v>2634</v>
      </c>
      <c r="C44" s="7" t="s">
        <v>4278</v>
      </c>
      <c r="D44" s="7" t="s">
        <v>4279</v>
      </c>
      <c r="E44" s="7" t="s">
        <v>2063</v>
      </c>
      <c r="F44" s="7" t="n">
        <v>48</v>
      </c>
    </row>
    <row r="45" customFormat="false" ht="15" hidden="false" customHeight="false" outlineLevel="0" collapsed="false">
      <c r="A45" s="4" t="s">
        <v>2635</v>
      </c>
      <c r="B45" s="4" t="s">
        <v>2634</v>
      </c>
      <c r="C45" s="4" t="s">
        <v>4278</v>
      </c>
      <c r="D45" s="4" t="s">
        <v>4279</v>
      </c>
      <c r="E45" s="4" t="s">
        <v>2063</v>
      </c>
      <c r="F45" s="4" t="n">
        <v>48</v>
      </c>
    </row>
    <row r="46" customFormat="false" ht="15" hidden="false" customHeight="false" outlineLevel="0" collapsed="false">
      <c r="A46" s="7" t="s">
        <v>2636</v>
      </c>
      <c r="B46" s="7" t="s">
        <v>2637</v>
      </c>
      <c r="C46" s="7" t="s">
        <v>4278</v>
      </c>
      <c r="D46" s="7" t="s">
        <v>4279</v>
      </c>
      <c r="E46" s="7" t="s">
        <v>2063</v>
      </c>
      <c r="F46" s="7" t="n">
        <v>96</v>
      </c>
    </row>
    <row r="47" customFormat="false" ht="15" hidden="false" customHeight="false" outlineLevel="0" collapsed="false">
      <c r="A47" s="4" t="s">
        <v>2638</v>
      </c>
      <c r="B47" s="4" t="s">
        <v>2637</v>
      </c>
      <c r="C47" s="4" t="s">
        <v>4278</v>
      </c>
      <c r="D47" s="4" t="s">
        <v>4279</v>
      </c>
      <c r="E47" s="4" t="s">
        <v>2063</v>
      </c>
      <c r="F47" s="4" t="n">
        <v>96</v>
      </c>
    </row>
    <row r="48" customFormat="false" ht="15" hidden="false" customHeight="false" outlineLevel="0" collapsed="false">
      <c r="A48" s="7" t="s">
        <v>2639</v>
      </c>
      <c r="B48" s="7" t="s">
        <v>2640</v>
      </c>
      <c r="C48" s="7" t="s">
        <v>4278</v>
      </c>
      <c r="D48" s="7" t="s">
        <v>4279</v>
      </c>
      <c r="E48" s="7" t="s">
        <v>2063</v>
      </c>
      <c r="F48" s="7" t="n">
        <v>48</v>
      </c>
    </row>
    <row r="49" customFormat="false" ht="15" hidden="false" customHeight="false" outlineLevel="0" collapsed="false">
      <c r="A49" s="4" t="s">
        <v>2641</v>
      </c>
      <c r="B49" s="4" t="s">
        <v>2640</v>
      </c>
      <c r="C49" s="4" t="s">
        <v>4278</v>
      </c>
      <c r="D49" s="4" t="s">
        <v>4279</v>
      </c>
      <c r="E49" s="4" t="s">
        <v>2063</v>
      </c>
      <c r="F49" s="4" t="n">
        <v>36</v>
      </c>
    </row>
    <row r="50" customFormat="false" ht="15" hidden="false" customHeight="false" outlineLevel="0" collapsed="false">
      <c r="A50" s="7" t="s">
        <v>2642</v>
      </c>
      <c r="B50" s="7" t="s">
        <v>2643</v>
      </c>
      <c r="C50" s="7" t="s">
        <v>4284</v>
      </c>
      <c r="D50" s="7" t="s">
        <v>4285</v>
      </c>
      <c r="E50" s="7" t="s">
        <v>2063</v>
      </c>
      <c r="F50" s="7" t="n">
        <v>12</v>
      </c>
    </row>
    <row r="51" customFormat="false" ht="15" hidden="false" customHeight="false" outlineLevel="0" collapsed="false">
      <c r="A51" s="4" t="s">
        <v>2644</v>
      </c>
      <c r="B51" s="4" t="s">
        <v>2645</v>
      </c>
      <c r="C51" s="4" t="s">
        <v>4278</v>
      </c>
      <c r="D51" s="4" t="s">
        <v>4279</v>
      </c>
      <c r="E51" s="4" t="s">
        <v>2063</v>
      </c>
      <c r="F51" s="4" t="n">
        <v>3</v>
      </c>
    </row>
    <row r="52" customFormat="false" ht="15" hidden="false" customHeight="false" outlineLevel="0" collapsed="false">
      <c r="A52" s="7" t="s">
        <v>2646</v>
      </c>
      <c r="B52" s="7" t="s">
        <v>2647</v>
      </c>
      <c r="C52" s="7" t="s">
        <v>4278</v>
      </c>
      <c r="D52" s="7" t="s">
        <v>4279</v>
      </c>
      <c r="E52" s="7" t="s">
        <v>2063</v>
      </c>
      <c r="F52" s="7" t="n">
        <v>112</v>
      </c>
    </row>
    <row r="53" customFormat="false" ht="15" hidden="false" customHeight="false" outlineLevel="0" collapsed="false">
      <c r="A53" s="4" t="s">
        <v>2648</v>
      </c>
      <c r="B53" s="4" t="s">
        <v>2647</v>
      </c>
      <c r="C53" s="4" t="s">
        <v>4278</v>
      </c>
      <c r="D53" s="4" t="s">
        <v>4279</v>
      </c>
      <c r="E53" s="4" t="s">
        <v>2063</v>
      </c>
      <c r="F53" s="4" t="n">
        <v>144</v>
      </c>
    </row>
    <row r="54" customFormat="false" ht="15" hidden="false" customHeight="false" outlineLevel="0" collapsed="false">
      <c r="A54" s="7" t="s">
        <v>2649</v>
      </c>
      <c r="B54" s="7" t="s">
        <v>2650</v>
      </c>
      <c r="C54" s="7" t="s">
        <v>4278</v>
      </c>
      <c r="D54" s="7" t="s">
        <v>4279</v>
      </c>
      <c r="E54" s="7" t="s">
        <v>2063</v>
      </c>
      <c r="F54" s="7" t="n">
        <v>48</v>
      </c>
    </row>
    <row r="55" customFormat="false" ht="15" hidden="false" customHeight="false" outlineLevel="0" collapsed="false">
      <c r="A55" s="4" t="s">
        <v>2651</v>
      </c>
      <c r="B55" s="4" t="s">
        <v>2650</v>
      </c>
      <c r="C55" s="4" t="s">
        <v>4278</v>
      </c>
      <c r="D55" s="4" t="s">
        <v>4279</v>
      </c>
      <c r="E55" s="4" t="s">
        <v>2063</v>
      </c>
      <c r="F55" s="4" t="n">
        <v>24</v>
      </c>
    </row>
    <row r="56" customFormat="false" ht="15" hidden="false" customHeight="false" outlineLevel="0" collapsed="false">
      <c r="A56" s="7" t="s">
        <v>2652</v>
      </c>
      <c r="B56" s="7" t="s">
        <v>2653</v>
      </c>
      <c r="C56" s="7" t="s">
        <v>4278</v>
      </c>
      <c r="D56" s="7" t="s">
        <v>4279</v>
      </c>
      <c r="E56" s="7" t="s">
        <v>2063</v>
      </c>
      <c r="F56" s="7" t="n">
        <v>16</v>
      </c>
    </row>
    <row r="57" customFormat="false" ht="15" hidden="false" customHeight="false" outlineLevel="0" collapsed="false">
      <c r="A57" s="4" t="s">
        <v>2654</v>
      </c>
      <c r="B57" s="4" t="s">
        <v>2655</v>
      </c>
      <c r="C57" s="4" t="s">
        <v>4278</v>
      </c>
      <c r="D57" s="4" t="s">
        <v>4279</v>
      </c>
      <c r="E57" s="4" t="s">
        <v>2063</v>
      </c>
      <c r="F57" s="4" t="n">
        <v>20</v>
      </c>
    </row>
    <row r="58" customFormat="false" ht="15" hidden="false" customHeight="false" outlineLevel="0" collapsed="false">
      <c r="A58" s="7" t="s">
        <v>2656</v>
      </c>
      <c r="B58" s="7" t="s">
        <v>2655</v>
      </c>
      <c r="C58" s="7" t="s">
        <v>4278</v>
      </c>
      <c r="D58" s="7" t="s">
        <v>4279</v>
      </c>
      <c r="E58" s="7" t="s">
        <v>2063</v>
      </c>
      <c r="F58" s="7" t="n">
        <v>32</v>
      </c>
    </row>
    <row r="59" customFormat="false" ht="15" hidden="false" customHeight="false" outlineLevel="0" collapsed="false">
      <c r="A59" s="4" t="s">
        <v>2657</v>
      </c>
      <c r="B59" s="4" t="s">
        <v>2658</v>
      </c>
      <c r="C59" s="4" t="s">
        <v>4278</v>
      </c>
      <c r="D59" s="4" t="s">
        <v>4279</v>
      </c>
      <c r="E59" s="4" t="s">
        <v>2063</v>
      </c>
      <c r="F59" s="4" t="n">
        <v>20</v>
      </c>
    </row>
    <row r="60" customFormat="false" ht="15" hidden="false" customHeight="false" outlineLevel="0" collapsed="false">
      <c r="A60" s="7" t="s">
        <v>2659</v>
      </c>
      <c r="B60" s="7" t="s">
        <v>2658</v>
      </c>
      <c r="C60" s="7" t="s">
        <v>4278</v>
      </c>
      <c r="D60" s="7" t="s">
        <v>4279</v>
      </c>
      <c r="E60" s="7" t="s">
        <v>2063</v>
      </c>
      <c r="F60" s="7" t="n">
        <v>12</v>
      </c>
    </row>
    <row r="61" customFormat="false" ht="15" hidden="false" customHeight="false" outlineLevel="0" collapsed="false">
      <c r="A61" s="4" t="s">
        <v>2660</v>
      </c>
      <c r="B61" s="4" t="s">
        <v>2661</v>
      </c>
      <c r="C61" s="4" t="s">
        <v>4278</v>
      </c>
      <c r="D61" s="4" t="s">
        <v>4279</v>
      </c>
      <c r="E61" s="4" t="s">
        <v>2063</v>
      </c>
      <c r="F61" s="4" t="n">
        <v>16</v>
      </c>
    </row>
    <row r="62" customFormat="false" ht="15" hidden="false" customHeight="false" outlineLevel="0" collapsed="false">
      <c r="A62" s="7" t="s">
        <v>2662</v>
      </c>
      <c r="B62" s="7" t="s">
        <v>2661</v>
      </c>
      <c r="C62" s="7" t="s">
        <v>4278</v>
      </c>
      <c r="D62" s="7" t="s">
        <v>4279</v>
      </c>
      <c r="E62" s="7" t="s">
        <v>2063</v>
      </c>
      <c r="F62" s="7" t="n">
        <v>8</v>
      </c>
    </row>
    <row r="63" customFormat="false" ht="15" hidden="false" customHeight="false" outlineLevel="0" collapsed="false">
      <c r="A63" s="4" t="s">
        <v>2663</v>
      </c>
      <c r="B63" s="4" t="s">
        <v>2664</v>
      </c>
      <c r="C63" s="4" t="s">
        <v>4286</v>
      </c>
      <c r="D63" s="4" t="s">
        <v>4287</v>
      </c>
      <c r="E63" s="4" t="s">
        <v>2063</v>
      </c>
      <c r="F63" s="4" t="n">
        <v>20</v>
      </c>
    </row>
    <row r="64" customFormat="false" ht="15" hidden="false" customHeight="false" outlineLevel="0" collapsed="false">
      <c r="A64" s="7" t="s">
        <v>2665</v>
      </c>
      <c r="B64" s="7" t="s">
        <v>2666</v>
      </c>
      <c r="C64" s="7" t="s">
        <v>4284</v>
      </c>
      <c r="D64" s="7" t="s">
        <v>4285</v>
      </c>
      <c r="E64" s="7" t="s">
        <v>2063</v>
      </c>
      <c r="F64" s="7" t="n">
        <v>6</v>
      </c>
    </row>
    <row r="65" customFormat="false" ht="15" hidden="false" customHeight="false" outlineLevel="0" collapsed="false">
      <c r="A65" s="4" t="s">
        <v>2667</v>
      </c>
      <c r="B65" s="4" t="s">
        <v>2668</v>
      </c>
      <c r="C65" s="4" t="s">
        <v>4278</v>
      </c>
      <c r="D65" s="4" t="s">
        <v>4279</v>
      </c>
      <c r="E65" s="4" t="s">
        <v>2063</v>
      </c>
      <c r="F65" s="4" t="n">
        <v>24</v>
      </c>
    </row>
    <row r="66" customFormat="false" ht="15" hidden="false" customHeight="false" outlineLevel="0" collapsed="false">
      <c r="A66" s="7" t="s">
        <v>2669</v>
      </c>
      <c r="B66" s="7" t="s">
        <v>2668</v>
      </c>
      <c r="C66" s="7" t="s">
        <v>4278</v>
      </c>
      <c r="D66" s="7" t="s">
        <v>4279</v>
      </c>
      <c r="E66" s="7" t="s">
        <v>2063</v>
      </c>
      <c r="F66" s="7" t="n">
        <v>120</v>
      </c>
    </row>
    <row r="67" customFormat="false" ht="15" hidden="false" customHeight="false" outlineLevel="0" collapsed="false">
      <c r="A67" s="4" t="s">
        <v>2670</v>
      </c>
      <c r="B67" s="4" t="s">
        <v>2671</v>
      </c>
      <c r="C67" s="4" t="s">
        <v>4286</v>
      </c>
      <c r="D67" s="4" t="s">
        <v>4287</v>
      </c>
      <c r="E67" s="4" t="s">
        <v>2063</v>
      </c>
      <c r="F67" s="4" t="n">
        <v>20</v>
      </c>
    </row>
    <row r="68" customFormat="false" ht="15" hidden="false" customHeight="false" outlineLevel="0" collapsed="false">
      <c r="A68" s="7" t="s">
        <v>2672</v>
      </c>
      <c r="B68" s="7" t="s">
        <v>2671</v>
      </c>
      <c r="C68" s="7" t="s">
        <v>4286</v>
      </c>
      <c r="D68" s="7" t="s">
        <v>4287</v>
      </c>
      <c r="E68" s="7" t="s">
        <v>2063</v>
      </c>
      <c r="F68" s="7" t="n">
        <v>8</v>
      </c>
    </row>
    <row r="69" customFormat="false" ht="15" hidden="false" customHeight="false" outlineLevel="0" collapsed="false">
      <c r="A69" s="4" t="s">
        <v>2673</v>
      </c>
      <c r="B69" s="4" t="s">
        <v>2674</v>
      </c>
      <c r="C69" s="4" t="s">
        <v>4286</v>
      </c>
      <c r="D69" s="4" t="s">
        <v>4287</v>
      </c>
      <c r="E69" s="4" t="s">
        <v>2063</v>
      </c>
      <c r="F69" s="4" t="n">
        <v>24</v>
      </c>
    </row>
    <row r="70" customFormat="false" ht="15" hidden="false" customHeight="false" outlineLevel="0" collapsed="false">
      <c r="A70" s="7" t="s">
        <v>2675</v>
      </c>
      <c r="B70" s="7" t="s">
        <v>2674</v>
      </c>
      <c r="C70" s="7" t="s">
        <v>4286</v>
      </c>
      <c r="D70" s="7" t="s">
        <v>4287</v>
      </c>
      <c r="E70" s="7" t="s">
        <v>2063</v>
      </c>
      <c r="F70" s="7" t="n">
        <v>36</v>
      </c>
    </row>
    <row r="71" customFormat="false" ht="15" hidden="false" customHeight="false" outlineLevel="0" collapsed="false">
      <c r="A71" s="4" t="s">
        <v>2676</v>
      </c>
      <c r="B71" s="4" t="s">
        <v>2677</v>
      </c>
      <c r="C71" s="4" t="s">
        <v>4286</v>
      </c>
      <c r="D71" s="4" t="s">
        <v>4287</v>
      </c>
      <c r="E71" s="4" t="s">
        <v>2063</v>
      </c>
      <c r="F71" s="4" t="n">
        <v>192</v>
      </c>
    </row>
    <row r="72" customFormat="false" ht="15" hidden="false" customHeight="false" outlineLevel="0" collapsed="false">
      <c r="A72" s="7" t="s">
        <v>2678</v>
      </c>
      <c r="B72" s="7" t="s">
        <v>2677</v>
      </c>
      <c r="C72" s="7" t="s">
        <v>4286</v>
      </c>
      <c r="D72" s="7" t="s">
        <v>4287</v>
      </c>
      <c r="E72" s="7" t="s">
        <v>2063</v>
      </c>
      <c r="F72" s="7" t="n">
        <v>72</v>
      </c>
    </row>
    <row r="73" customFormat="false" ht="15" hidden="false" customHeight="false" outlineLevel="0" collapsed="false">
      <c r="A73" s="4" t="s">
        <v>2679</v>
      </c>
      <c r="B73" s="4" t="s">
        <v>2680</v>
      </c>
      <c r="C73" s="4" t="s">
        <v>4286</v>
      </c>
      <c r="D73" s="4" t="s">
        <v>4287</v>
      </c>
      <c r="E73" s="4" t="s">
        <v>2063</v>
      </c>
      <c r="F73" s="4" t="n">
        <v>96</v>
      </c>
    </row>
    <row r="74" customFormat="false" ht="15" hidden="false" customHeight="false" outlineLevel="0" collapsed="false">
      <c r="A74" s="7" t="s">
        <v>2681</v>
      </c>
      <c r="B74" s="7" t="s">
        <v>2680</v>
      </c>
      <c r="C74" s="7" t="s">
        <v>4286</v>
      </c>
      <c r="D74" s="7" t="s">
        <v>4287</v>
      </c>
      <c r="E74" s="7" t="s">
        <v>2063</v>
      </c>
      <c r="F74" s="7" t="n">
        <v>36</v>
      </c>
    </row>
    <row r="75" customFormat="false" ht="15" hidden="false" customHeight="false" outlineLevel="0" collapsed="false">
      <c r="A75" s="4" t="s">
        <v>2682</v>
      </c>
      <c r="B75" s="4" t="s">
        <v>2683</v>
      </c>
      <c r="C75" s="4" t="s">
        <v>4286</v>
      </c>
      <c r="D75" s="4" t="s">
        <v>4287</v>
      </c>
      <c r="E75" s="4" t="s">
        <v>2063</v>
      </c>
      <c r="F75" s="4" t="n">
        <v>8</v>
      </c>
    </row>
    <row r="76" customFormat="false" ht="15" hidden="false" customHeight="false" outlineLevel="0" collapsed="false">
      <c r="A76" s="7" t="s">
        <v>2684</v>
      </c>
      <c r="B76" s="7" t="s">
        <v>2685</v>
      </c>
      <c r="C76" s="7" t="s">
        <v>4284</v>
      </c>
      <c r="D76" s="7" t="s">
        <v>4285</v>
      </c>
      <c r="E76" s="7" t="s">
        <v>2063</v>
      </c>
      <c r="F76" s="7" t="n">
        <v>32</v>
      </c>
    </row>
    <row r="77" customFormat="false" ht="15" hidden="false" customHeight="false" outlineLevel="0" collapsed="false">
      <c r="A77" s="4" t="s">
        <v>2686</v>
      </c>
      <c r="B77" s="4" t="s">
        <v>2687</v>
      </c>
      <c r="C77" s="4" t="s">
        <v>4284</v>
      </c>
      <c r="D77" s="4" t="s">
        <v>4285</v>
      </c>
      <c r="E77" s="4" t="s">
        <v>2063</v>
      </c>
      <c r="F77" s="4" t="n">
        <v>24</v>
      </c>
    </row>
    <row r="78" customFormat="false" ht="15" hidden="false" customHeight="false" outlineLevel="0" collapsed="false">
      <c r="A78" s="7" t="s">
        <v>2688</v>
      </c>
      <c r="B78" s="7" t="s">
        <v>2689</v>
      </c>
      <c r="C78" s="7" t="s">
        <v>4286</v>
      </c>
      <c r="D78" s="7" t="s">
        <v>4287</v>
      </c>
      <c r="E78" s="7" t="s">
        <v>2063</v>
      </c>
      <c r="F78" s="7" t="n">
        <v>8</v>
      </c>
    </row>
    <row r="79" customFormat="false" ht="15" hidden="false" customHeight="false" outlineLevel="0" collapsed="false">
      <c r="A79" s="4" t="s">
        <v>2690</v>
      </c>
      <c r="B79" s="4" t="s">
        <v>2689</v>
      </c>
      <c r="C79" s="4" t="s">
        <v>4286</v>
      </c>
      <c r="D79" s="4" t="s">
        <v>4287</v>
      </c>
      <c r="E79" s="4" t="s">
        <v>2063</v>
      </c>
      <c r="F79" s="4" t="n">
        <v>8</v>
      </c>
    </row>
    <row r="80" customFormat="false" ht="15" hidden="false" customHeight="false" outlineLevel="0" collapsed="false">
      <c r="A80" s="7" t="s">
        <v>2691</v>
      </c>
      <c r="B80" s="7" t="s">
        <v>2692</v>
      </c>
      <c r="C80" s="7" t="s">
        <v>4284</v>
      </c>
      <c r="D80" s="7" t="s">
        <v>4285</v>
      </c>
      <c r="E80" s="7" t="s">
        <v>2063</v>
      </c>
      <c r="F80" s="7" t="n">
        <v>24</v>
      </c>
    </row>
    <row r="81" customFormat="false" ht="15" hidden="false" customHeight="false" outlineLevel="0" collapsed="false">
      <c r="A81" s="4" t="s">
        <v>2693</v>
      </c>
      <c r="B81" s="4" t="s">
        <v>2694</v>
      </c>
      <c r="C81" s="4" t="s">
        <v>4284</v>
      </c>
      <c r="D81" s="4" t="s">
        <v>4285</v>
      </c>
      <c r="E81" s="4" t="s">
        <v>2063</v>
      </c>
      <c r="F81" s="4" t="n">
        <v>32</v>
      </c>
    </row>
    <row r="82" customFormat="false" ht="15" hidden="false" customHeight="false" outlineLevel="0" collapsed="false">
      <c r="A82" s="7" t="s">
        <v>2695</v>
      </c>
      <c r="B82" s="7" t="s">
        <v>2696</v>
      </c>
      <c r="C82" s="7" t="s">
        <v>4284</v>
      </c>
      <c r="D82" s="7" t="s">
        <v>4285</v>
      </c>
      <c r="E82" s="7" t="s">
        <v>2063</v>
      </c>
      <c r="F82" s="7" t="n">
        <v>48</v>
      </c>
    </row>
    <row r="83" customFormat="false" ht="15" hidden="false" customHeight="false" outlineLevel="0" collapsed="false">
      <c r="A83" s="4" t="s">
        <v>2697</v>
      </c>
      <c r="B83" s="4" t="s">
        <v>2698</v>
      </c>
      <c r="C83" s="4" t="s">
        <v>4286</v>
      </c>
      <c r="D83" s="4" t="s">
        <v>4287</v>
      </c>
      <c r="E83" s="4" t="s">
        <v>2063</v>
      </c>
      <c r="F83" s="4" t="n">
        <v>144</v>
      </c>
    </row>
    <row r="84" customFormat="false" ht="15" hidden="false" customHeight="false" outlineLevel="0" collapsed="false">
      <c r="A84" s="7" t="s">
        <v>2699</v>
      </c>
      <c r="B84" s="7" t="s">
        <v>2698</v>
      </c>
      <c r="C84" s="7" t="s">
        <v>4286</v>
      </c>
      <c r="D84" s="7" t="s">
        <v>4287</v>
      </c>
      <c r="E84" s="7" t="s">
        <v>2063</v>
      </c>
      <c r="F84" s="7" t="n">
        <v>72</v>
      </c>
    </row>
    <row r="85" customFormat="false" ht="15" hidden="false" customHeight="false" outlineLevel="0" collapsed="false">
      <c r="A85" s="4" t="s">
        <v>2700</v>
      </c>
      <c r="B85" s="4" t="s">
        <v>2701</v>
      </c>
      <c r="C85" s="4" t="s">
        <v>4284</v>
      </c>
      <c r="D85" s="4" t="s">
        <v>4285</v>
      </c>
      <c r="E85" s="4" t="s">
        <v>2063</v>
      </c>
      <c r="F85" s="4" t="n">
        <v>36</v>
      </c>
    </row>
    <row r="86" customFormat="false" ht="15" hidden="false" customHeight="false" outlineLevel="0" collapsed="false">
      <c r="A86" s="7" t="s">
        <v>2702</v>
      </c>
      <c r="B86" s="7" t="s">
        <v>2701</v>
      </c>
      <c r="C86" s="7" t="s">
        <v>4284</v>
      </c>
      <c r="D86" s="7" t="s">
        <v>4285</v>
      </c>
      <c r="E86" s="7" t="s">
        <v>2063</v>
      </c>
      <c r="F86" s="7" t="n">
        <v>2</v>
      </c>
    </row>
    <row r="87" customFormat="false" ht="15" hidden="false" customHeight="false" outlineLevel="0" collapsed="false">
      <c r="A87" s="4" t="s">
        <v>2703</v>
      </c>
      <c r="B87" s="4" t="s">
        <v>2704</v>
      </c>
      <c r="C87" s="4" t="s">
        <v>4286</v>
      </c>
      <c r="D87" s="4" t="s">
        <v>4287</v>
      </c>
      <c r="E87" s="4" t="s">
        <v>2063</v>
      </c>
      <c r="F87" s="4" t="n">
        <v>36</v>
      </c>
    </row>
    <row r="88" customFormat="false" ht="15" hidden="false" customHeight="false" outlineLevel="0" collapsed="false">
      <c r="A88" s="7" t="s">
        <v>2705</v>
      </c>
      <c r="B88" s="7" t="s">
        <v>2704</v>
      </c>
      <c r="C88" s="7" t="s">
        <v>4286</v>
      </c>
      <c r="D88" s="7" t="s">
        <v>4287</v>
      </c>
      <c r="E88" s="7" t="s">
        <v>2063</v>
      </c>
      <c r="F88" s="7" t="n">
        <v>16</v>
      </c>
    </row>
    <row r="89" customFormat="false" ht="15" hidden="false" customHeight="false" outlineLevel="0" collapsed="false">
      <c r="A89" s="4" t="s">
        <v>2706</v>
      </c>
      <c r="B89" s="4" t="s">
        <v>2707</v>
      </c>
      <c r="C89" s="4" t="s">
        <v>4286</v>
      </c>
      <c r="D89" s="4" t="s">
        <v>4287</v>
      </c>
      <c r="E89" s="4" t="s">
        <v>2063</v>
      </c>
      <c r="F89" s="4" t="n">
        <v>16</v>
      </c>
    </row>
    <row r="90" customFormat="false" ht="15" hidden="false" customHeight="false" outlineLevel="0" collapsed="false">
      <c r="A90" s="7" t="s">
        <v>2708</v>
      </c>
      <c r="B90" s="7" t="s">
        <v>2707</v>
      </c>
      <c r="C90" s="7" t="s">
        <v>4286</v>
      </c>
      <c r="D90" s="7" t="s">
        <v>4287</v>
      </c>
      <c r="E90" s="7" t="s">
        <v>2063</v>
      </c>
      <c r="F90" s="7" t="n">
        <v>4</v>
      </c>
    </row>
    <row r="91" customFormat="false" ht="15" hidden="false" customHeight="false" outlineLevel="0" collapsed="false">
      <c r="A91" s="4" t="s">
        <v>2709</v>
      </c>
      <c r="B91" s="4" t="s">
        <v>2710</v>
      </c>
      <c r="C91" s="4" t="s">
        <v>4286</v>
      </c>
      <c r="D91" s="4" t="s">
        <v>4287</v>
      </c>
      <c r="E91" s="4" t="s">
        <v>2063</v>
      </c>
      <c r="F91" s="4" t="n">
        <v>36</v>
      </c>
    </row>
    <row r="92" customFormat="false" ht="15" hidden="false" customHeight="false" outlineLevel="0" collapsed="false">
      <c r="A92" s="7" t="s">
        <v>2711</v>
      </c>
      <c r="B92" s="7" t="s">
        <v>2710</v>
      </c>
      <c r="C92" s="7" t="s">
        <v>4286</v>
      </c>
      <c r="D92" s="7" t="s">
        <v>4287</v>
      </c>
      <c r="E92" s="7" t="s">
        <v>2063</v>
      </c>
      <c r="F92" s="7" t="n">
        <v>10</v>
      </c>
    </row>
    <row r="93" customFormat="false" ht="15" hidden="false" customHeight="false" outlineLevel="0" collapsed="false">
      <c r="A93" s="4" t="s">
        <v>2712</v>
      </c>
      <c r="B93" s="4" t="s">
        <v>2713</v>
      </c>
      <c r="C93" s="4" t="s">
        <v>4278</v>
      </c>
      <c r="D93" s="4" t="s">
        <v>4279</v>
      </c>
      <c r="E93" s="4" t="s">
        <v>2063</v>
      </c>
      <c r="F93" s="4" t="n">
        <v>96</v>
      </c>
    </row>
    <row r="94" customFormat="false" ht="15" hidden="false" customHeight="false" outlineLevel="0" collapsed="false">
      <c r="A94" s="7" t="s">
        <v>2714</v>
      </c>
      <c r="B94" s="7" t="s">
        <v>2715</v>
      </c>
      <c r="C94" s="7" t="s">
        <v>4278</v>
      </c>
      <c r="D94" s="7" t="s">
        <v>4279</v>
      </c>
      <c r="E94" s="7" t="s">
        <v>2063</v>
      </c>
      <c r="F94" s="7" t="n">
        <v>484</v>
      </c>
    </row>
    <row r="95" customFormat="false" ht="15" hidden="false" customHeight="false" outlineLevel="0" collapsed="false">
      <c r="A95" s="4" t="s">
        <v>2716</v>
      </c>
      <c r="B95" s="4" t="s">
        <v>2717</v>
      </c>
      <c r="C95" s="4" t="s">
        <v>4278</v>
      </c>
      <c r="D95" s="4" t="s">
        <v>4279</v>
      </c>
      <c r="E95" s="4" t="s">
        <v>2063</v>
      </c>
      <c r="F95" s="4" t="n">
        <v>48</v>
      </c>
    </row>
    <row r="96" customFormat="false" ht="15" hidden="false" customHeight="false" outlineLevel="0" collapsed="false">
      <c r="A96" s="7" t="s">
        <v>2718</v>
      </c>
      <c r="B96" s="7" t="s">
        <v>2719</v>
      </c>
      <c r="C96" s="7" t="s">
        <v>4278</v>
      </c>
      <c r="D96" s="7" t="s">
        <v>4279</v>
      </c>
      <c r="E96" s="7" t="s">
        <v>2063</v>
      </c>
      <c r="F96" s="7" t="n">
        <v>36</v>
      </c>
    </row>
    <row r="97" customFormat="false" ht="15" hidden="false" customHeight="false" outlineLevel="0" collapsed="false">
      <c r="A97" s="4" t="s">
        <v>2720</v>
      </c>
      <c r="B97" s="4" t="s">
        <v>2721</v>
      </c>
      <c r="C97" s="4" t="s">
        <v>4284</v>
      </c>
      <c r="D97" s="4" t="s">
        <v>4285</v>
      </c>
      <c r="E97" s="4" t="s">
        <v>2063</v>
      </c>
      <c r="F97" s="4" t="n">
        <v>3</v>
      </c>
    </row>
    <row r="98" customFormat="false" ht="15" hidden="false" customHeight="false" outlineLevel="0" collapsed="false">
      <c r="A98" s="7" t="s">
        <v>2722</v>
      </c>
      <c r="B98" s="7" t="s">
        <v>2723</v>
      </c>
      <c r="C98" s="7" t="s">
        <v>4278</v>
      </c>
      <c r="D98" s="7" t="s">
        <v>4279</v>
      </c>
      <c r="E98" s="7" t="s">
        <v>2063</v>
      </c>
      <c r="F98" s="7" t="n">
        <v>48</v>
      </c>
    </row>
    <row r="99" customFormat="false" ht="15" hidden="false" customHeight="false" outlineLevel="0" collapsed="false">
      <c r="A99" s="4" t="s">
        <v>2724</v>
      </c>
      <c r="B99" s="4" t="s">
        <v>2725</v>
      </c>
      <c r="C99" s="4" t="s">
        <v>4278</v>
      </c>
      <c r="D99" s="4" t="s">
        <v>4279</v>
      </c>
      <c r="E99" s="4" t="s">
        <v>2063</v>
      </c>
      <c r="F99" s="4" t="n">
        <v>36</v>
      </c>
    </row>
    <row r="100" customFormat="false" ht="15" hidden="false" customHeight="false" outlineLevel="0" collapsed="false">
      <c r="A100" s="7" t="s">
        <v>2726</v>
      </c>
      <c r="B100" s="7" t="s">
        <v>2727</v>
      </c>
      <c r="C100" s="7" t="s">
        <v>4278</v>
      </c>
      <c r="D100" s="7" t="s">
        <v>4279</v>
      </c>
      <c r="E100" s="7" t="s">
        <v>2063</v>
      </c>
      <c r="F100" s="7" t="n">
        <v>72</v>
      </c>
    </row>
    <row r="101" customFormat="false" ht="15" hidden="false" customHeight="false" outlineLevel="0" collapsed="false">
      <c r="A101" s="4" t="s">
        <v>2728</v>
      </c>
      <c r="B101" s="4" t="s">
        <v>2729</v>
      </c>
      <c r="C101" s="4" t="s">
        <v>4278</v>
      </c>
      <c r="D101" s="4" t="s">
        <v>4279</v>
      </c>
      <c r="E101" s="4" t="s">
        <v>2063</v>
      </c>
      <c r="F101" s="4" t="n">
        <v>36</v>
      </c>
    </row>
    <row r="102" customFormat="false" ht="15" hidden="false" customHeight="false" outlineLevel="0" collapsed="false">
      <c r="A102" s="7" t="s">
        <v>2730</v>
      </c>
      <c r="B102" s="7" t="s">
        <v>2731</v>
      </c>
      <c r="C102" s="7" t="s">
        <v>4278</v>
      </c>
      <c r="D102" s="7" t="s">
        <v>4279</v>
      </c>
      <c r="E102" s="7" t="s">
        <v>2063</v>
      </c>
      <c r="F102" s="7" t="n">
        <v>36</v>
      </c>
    </row>
    <row r="103" customFormat="false" ht="15" hidden="false" customHeight="false" outlineLevel="0" collapsed="false">
      <c r="A103" s="4" t="s">
        <v>2732</v>
      </c>
      <c r="B103" s="4" t="s">
        <v>2733</v>
      </c>
      <c r="C103" s="4" t="s">
        <v>4284</v>
      </c>
      <c r="D103" s="4" t="s">
        <v>4285</v>
      </c>
      <c r="E103" s="4" t="s">
        <v>2063</v>
      </c>
      <c r="F103" s="4" t="n">
        <v>6</v>
      </c>
    </row>
    <row r="104" customFormat="false" ht="15" hidden="false" customHeight="false" outlineLevel="0" collapsed="false">
      <c r="A104" s="7" t="s">
        <v>2734</v>
      </c>
      <c r="B104" s="7" t="s">
        <v>2735</v>
      </c>
      <c r="C104" s="7" t="s">
        <v>4278</v>
      </c>
      <c r="D104" s="7" t="s">
        <v>4279</v>
      </c>
      <c r="E104" s="7" t="s">
        <v>2063</v>
      </c>
      <c r="F104" s="7" t="n">
        <v>72</v>
      </c>
    </row>
    <row r="105" customFormat="false" ht="15" hidden="false" customHeight="false" outlineLevel="0" collapsed="false">
      <c r="A105" s="4" t="s">
        <v>2736</v>
      </c>
      <c r="B105" s="4" t="s">
        <v>2737</v>
      </c>
      <c r="C105" s="4" t="s">
        <v>4278</v>
      </c>
      <c r="D105" s="4" t="s">
        <v>4279</v>
      </c>
      <c r="E105" s="4" t="s">
        <v>2063</v>
      </c>
      <c r="F105" s="4" t="n">
        <v>72</v>
      </c>
    </row>
    <row r="106" customFormat="false" ht="15" hidden="false" customHeight="false" outlineLevel="0" collapsed="false">
      <c r="A106" s="7" t="s">
        <v>2738</v>
      </c>
      <c r="B106" s="7" t="s">
        <v>2739</v>
      </c>
      <c r="C106" s="7" t="s">
        <v>4278</v>
      </c>
      <c r="D106" s="7" t="s">
        <v>4279</v>
      </c>
      <c r="E106" s="7" t="s">
        <v>2063</v>
      </c>
      <c r="F106" s="7" t="n">
        <v>36</v>
      </c>
    </row>
    <row r="107" customFormat="false" ht="15" hidden="false" customHeight="false" outlineLevel="0" collapsed="false">
      <c r="A107" s="4" t="s">
        <v>2740</v>
      </c>
      <c r="B107" s="4" t="s">
        <v>2741</v>
      </c>
      <c r="C107" s="4" t="s">
        <v>4278</v>
      </c>
      <c r="D107" s="4" t="s">
        <v>4279</v>
      </c>
      <c r="E107" s="4" t="s">
        <v>2063</v>
      </c>
      <c r="F107" s="4" t="n">
        <v>96</v>
      </c>
    </row>
    <row r="108" customFormat="false" ht="15" hidden="false" customHeight="false" outlineLevel="0" collapsed="false">
      <c r="A108" s="7" t="s">
        <v>2742</v>
      </c>
      <c r="B108" s="7" t="s">
        <v>2743</v>
      </c>
      <c r="C108" s="7" t="s">
        <v>4284</v>
      </c>
      <c r="D108" s="7" t="s">
        <v>4285</v>
      </c>
      <c r="E108" s="7" t="s">
        <v>2063</v>
      </c>
      <c r="F108" s="7" t="n">
        <v>96</v>
      </c>
    </row>
    <row r="109" customFormat="false" ht="15" hidden="false" customHeight="false" outlineLevel="0" collapsed="false">
      <c r="A109" s="4" t="s">
        <v>2744</v>
      </c>
      <c r="B109" s="4" t="s">
        <v>2745</v>
      </c>
      <c r="C109" s="4" t="s">
        <v>4278</v>
      </c>
      <c r="D109" s="4" t="s">
        <v>4279</v>
      </c>
      <c r="E109" s="4" t="s">
        <v>2063</v>
      </c>
      <c r="F109" s="4" t="n">
        <v>876</v>
      </c>
    </row>
    <row r="110" customFormat="false" ht="15" hidden="false" customHeight="false" outlineLevel="0" collapsed="false">
      <c r="A110" s="7" t="s">
        <v>2746</v>
      </c>
      <c r="B110" s="7" t="s">
        <v>2745</v>
      </c>
      <c r="C110" s="7" t="s">
        <v>4284</v>
      </c>
      <c r="D110" s="7" t="s">
        <v>4285</v>
      </c>
      <c r="E110" s="7" t="s">
        <v>2063</v>
      </c>
      <c r="F110" s="7" t="n">
        <v>36</v>
      </c>
    </row>
    <row r="111" customFormat="false" ht="15" hidden="false" customHeight="false" outlineLevel="0" collapsed="false">
      <c r="A111" s="4" t="s">
        <v>2747</v>
      </c>
      <c r="B111" s="4" t="s">
        <v>2745</v>
      </c>
      <c r="C111" s="4" t="s">
        <v>4278</v>
      </c>
      <c r="D111" s="4" t="s">
        <v>4279</v>
      </c>
      <c r="E111" s="4" t="s">
        <v>2063</v>
      </c>
      <c r="F111" s="4" t="n">
        <v>2140</v>
      </c>
    </row>
    <row r="112" customFormat="false" ht="15" hidden="false" customHeight="false" outlineLevel="0" collapsed="false">
      <c r="A112" s="7" t="s">
        <v>2748</v>
      </c>
      <c r="B112" s="7" t="s">
        <v>2745</v>
      </c>
      <c r="C112" s="7" t="s">
        <v>4284</v>
      </c>
      <c r="D112" s="7" t="s">
        <v>4285</v>
      </c>
      <c r="E112" s="7" t="s">
        <v>2063</v>
      </c>
      <c r="F112" s="7" t="n">
        <v>576</v>
      </c>
    </row>
    <row r="113" customFormat="false" ht="15" hidden="false" customHeight="false" outlineLevel="0" collapsed="false">
      <c r="A113" s="4" t="s">
        <v>2749</v>
      </c>
      <c r="B113" s="4" t="s">
        <v>2745</v>
      </c>
      <c r="C113" s="4" t="s">
        <v>4284</v>
      </c>
      <c r="D113" s="4" t="s">
        <v>4285</v>
      </c>
      <c r="E113" s="4" t="s">
        <v>2063</v>
      </c>
      <c r="F113" s="4" t="n">
        <v>144</v>
      </c>
    </row>
    <row r="114" customFormat="false" ht="15" hidden="false" customHeight="false" outlineLevel="0" collapsed="false">
      <c r="A114" s="7" t="s">
        <v>2750</v>
      </c>
      <c r="B114" s="7" t="s">
        <v>2745</v>
      </c>
      <c r="C114" s="7" t="s">
        <v>4284</v>
      </c>
      <c r="D114" s="7" t="s">
        <v>4285</v>
      </c>
      <c r="E114" s="7" t="s">
        <v>2063</v>
      </c>
      <c r="F114" s="7" t="n">
        <v>64</v>
      </c>
    </row>
    <row r="115" customFormat="false" ht="15" hidden="false" customHeight="false" outlineLevel="0" collapsed="false">
      <c r="A115" s="4" t="s">
        <v>2751</v>
      </c>
      <c r="B115" s="4" t="s">
        <v>2752</v>
      </c>
      <c r="C115" s="4" t="s">
        <v>4278</v>
      </c>
      <c r="D115" s="4" t="s">
        <v>4279</v>
      </c>
      <c r="E115" s="4" t="s">
        <v>2063</v>
      </c>
      <c r="F115" s="4" t="n">
        <v>9</v>
      </c>
    </row>
    <row r="116" customFormat="false" ht="15" hidden="false" customHeight="false" outlineLevel="0" collapsed="false">
      <c r="A116" s="7" t="s">
        <v>2753</v>
      </c>
      <c r="B116" s="7" t="s">
        <v>2752</v>
      </c>
      <c r="C116" s="7" t="s">
        <v>4278</v>
      </c>
      <c r="D116" s="7" t="s">
        <v>4279</v>
      </c>
      <c r="E116" s="7" t="s">
        <v>2063</v>
      </c>
      <c r="F116" s="7" t="n">
        <v>12</v>
      </c>
    </row>
    <row r="117" customFormat="false" ht="15" hidden="false" customHeight="false" outlineLevel="0" collapsed="false">
      <c r="A117" s="4" t="s">
        <v>2754</v>
      </c>
      <c r="B117" s="4" t="s">
        <v>2755</v>
      </c>
      <c r="C117" s="4" t="s">
        <v>4278</v>
      </c>
      <c r="D117" s="4" t="s">
        <v>4279</v>
      </c>
      <c r="E117" s="4" t="s">
        <v>2063</v>
      </c>
      <c r="F117" s="4" t="n">
        <v>64</v>
      </c>
    </row>
    <row r="118" customFormat="false" ht="15" hidden="false" customHeight="false" outlineLevel="0" collapsed="false">
      <c r="A118" s="7" t="s">
        <v>2756</v>
      </c>
      <c r="B118" s="7" t="s">
        <v>2755</v>
      </c>
      <c r="C118" s="7" t="s">
        <v>4278</v>
      </c>
      <c r="D118" s="7" t="s">
        <v>4279</v>
      </c>
      <c r="E118" s="7" t="s">
        <v>2063</v>
      </c>
      <c r="F118" s="7" t="n">
        <v>36</v>
      </c>
    </row>
    <row r="119" customFormat="false" ht="15" hidden="false" customHeight="false" outlineLevel="0" collapsed="false">
      <c r="A119" s="4" t="s">
        <v>2757</v>
      </c>
      <c r="B119" s="4" t="s">
        <v>2758</v>
      </c>
      <c r="C119" s="4" t="s">
        <v>4278</v>
      </c>
      <c r="D119" s="4" t="s">
        <v>4279</v>
      </c>
      <c r="E119" s="4" t="s">
        <v>2063</v>
      </c>
      <c r="F119" s="4" t="n">
        <v>12</v>
      </c>
    </row>
    <row r="120" customFormat="false" ht="15" hidden="false" customHeight="false" outlineLevel="0" collapsed="false">
      <c r="A120" s="7" t="s">
        <v>2759</v>
      </c>
      <c r="B120" s="7" t="s">
        <v>2758</v>
      </c>
      <c r="C120" s="7" t="s">
        <v>4278</v>
      </c>
      <c r="D120" s="7" t="s">
        <v>4279</v>
      </c>
      <c r="E120" s="7" t="s">
        <v>2063</v>
      </c>
      <c r="F120" s="7" t="n">
        <v>32</v>
      </c>
    </row>
    <row r="121" customFormat="false" ht="15" hidden="false" customHeight="false" outlineLevel="0" collapsed="false">
      <c r="A121" s="4" t="s">
        <v>2760</v>
      </c>
      <c r="B121" s="4" t="s">
        <v>2761</v>
      </c>
      <c r="C121" s="4" t="s">
        <v>4284</v>
      </c>
      <c r="D121" s="4" t="s">
        <v>4285</v>
      </c>
      <c r="E121" s="4" t="s">
        <v>2063</v>
      </c>
      <c r="F121" s="4" t="n">
        <v>64</v>
      </c>
    </row>
    <row r="122" customFormat="false" ht="15" hidden="false" customHeight="false" outlineLevel="0" collapsed="false">
      <c r="A122" s="7" t="s">
        <v>2762</v>
      </c>
      <c r="B122" s="7" t="s">
        <v>2763</v>
      </c>
      <c r="C122" s="7" t="s">
        <v>4278</v>
      </c>
      <c r="D122" s="7" t="s">
        <v>4279</v>
      </c>
      <c r="E122" s="7" t="s">
        <v>2063</v>
      </c>
      <c r="F122" s="7" t="n">
        <v>72</v>
      </c>
    </row>
    <row r="123" customFormat="false" ht="15" hidden="false" customHeight="false" outlineLevel="0" collapsed="false">
      <c r="A123" s="4" t="s">
        <v>2764</v>
      </c>
      <c r="B123" s="4" t="s">
        <v>2752</v>
      </c>
      <c r="C123" s="4" t="s">
        <v>4278</v>
      </c>
      <c r="D123" s="4" t="s">
        <v>4279</v>
      </c>
      <c r="E123" s="4" t="s">
        <v>2063</v>
      </c>
      <c r="F123" s="4" t="n">
        <v>48</v>
      </c>
    </row>
    <row r="124" customFormat="false" ht="15" hidden="false" customHeight="false" outlineLevel="0" collapsed="false">
      <c r="A124" s="7" t="s">
        <v>2765</v>
      </c>
      <c r="B124" s="7" t="s">
        <v>2752</v>
      </c>
      <c r="C124" s="7" t="s">
        <v>4278</v>
      </c>
      <c r="D124" s="7" t="s">
        <v>4279</v>
      </c>
      <c r="E124" s="7" t="s">
        <v>2063</v>
      </c>
      <c r="F124" s="7" t="n">
        <v>96</v>
      </c>
    </row>
    <row r="125" customFormat="false" ht="15" hidden="false" customHeight="false" outlineLevel="0" collapsed="false">
      <c r="A125" s="4" t="s">
        <v>2766</v>
      </c>
      <c r="B125" s="4" t="s">
        <v>2761</v>
      </c>
      <c r="C125" s="4" t="s">
        <v>4278</v>
      </c>
      <c r="D125" s="4" t="s">
        <v>4279</v>
      </c>
      <c r="E125" s="4" t="s">
        <v>2063</v>
      </c>
      <c r="F125" s="4" t="n">
        <v>4</v>
      </c>
    </row>
    <row r="126" customFormat="false" ht="15" hidden="false" customHeight="false" outlineLevel="0" collapsed="false">
      <c r="A126" s="7" t="s">
        <v>2767</v>
      </c>
      <c r="B126" s="7" t="s">
        <v>2761</v>
      </c>
      <c r="C126" s="7" t="s">
        <v>4278</v>
      </c>
      <c r="D126" s="7" t="s">
        <v>4279</v>
      </c>
      <c r="E126" s="7" t="s">
        <v>2063</v>
      </c>
      <c r="F126" s="7" t="n">
        <v>120</v>
      </c>
    </row>
    <row r="127" customFormat="false" ht="15" hidden="false" customHeight="false" outlineLevel="0" collapsed="false">
      <c r="A127" s="4" t="s">
        <v>2768</v>
      </c>
      <c r="B127" s="4" t="s">
        <v>2761</v>
      </c>
      <c r="C127" s="4" t="s">
        <v>4278</v>
      </c>
      <c r="D127" s="4" t="s">
        <v>4279</v>
      </c>
      <c r="E127" s="4" t="s">
        <v>2063</v>
      </c>
      <c r="F127" s="4" t="n">
        <v>4</v>
      </c>
    </row>
    <row r="128" customFormat="false" ht="15" hidden="false" customHeight="false" outlineLevel="0" collapsed="false">
      <c r="A128" s="7" t="s">
        <v>2769</v>
      </c>
      <c r="B128" s="7" t="s">
        <v>2761</v>
      </c>
      <c r="C128" s="7" t="s">
        <v>4278</v>
      </c>
      <c r="D128" s="7" t="s">
        <v>4279</v>
      </c>
      <c r="E128" s="7" t="s">
        <v>2063</v>
      </c>
      <c r="F128" s="7" t="n">
        <v>20</v>
      </c>
    </row>
    <row r="129" customFormat="false" ht="15" hidden="false" customHeight="false" outlineLevel="0" collapsed="false">
      <c r="A129" s="4" t="s">
        <v>2770</v>
      </c>
      <c r="B129" s="4" t="s">
        <v>2771</v>
      </c>
      <c r="C129" s="4" t="s">
        <v>4278</v>
      </c>
      <c r="D129" s="4" t="s">
        <v>4279</v>
      </c>
      <c r="E129" s="4" t="s">
        <v>2063</v>
      </c>
      <c r="F129" s="4" t="n">
        <v>10</v>
      </c>
    </row>
    <row r="130" customFormat="false" ht="15" hidden="false" customHeight="false" outlineLevel="0" collapsed="false">
      <c r="A130" s="7" t="s">
        <v>2772</v>
      </c>
      <c r="B130" s="7" t="s">
        <v>2771</v>
      </c>
      <c r="C130" s="7" t="s">
        <v>4278</v>
      </c>
      <c r="D130" s="7" t="s">
        <v>4279</v>
      </c>
      <c r="E130" s="7" t="s">
        <v>2063</v>
      </c>
      <c r="F130" s="7" t="n">
        <v>36</v>
      </c>
    </row>
    <row r="131" customFormat="false" ht="15" hidden="false" customHeight="false" outlineLevel="0" collapsed="false">
      <c r="A131" s="4" t="s">
        <v>2773</v>
      </c>
      <c r="B131" s="4" t="s">
        <v>2774</v>
      </c>
      <c r="C131" s="4" t="s">
        <v>4278</v>
      </c>
      <c r="D131" s="4" t="s">
        <v>4279</v>
      </c>
      <c r="E131" s="4" t="s">
        <v>2063</v>
      </c>
      <c r="F131" s="4" t="n">
        <v>96</v>
      </c>
    </row>
    <row r="132" customFormat="false" ht="15" hidden="false" customHeight="false" outlineLevel="0" collapsed="false">
      <c r="A132" s="7" t="s">
        <v>2775</v>
      </c>
      <c r="B132" s="7" t="s">
        <v>2774</v>
      </c>
      <c r="C132" s="7" t="s">
        <v>4278</v>
      </c>
      <c r="D132" s="7" t="s">
        <v>4279</v>
      </c>
      <c r="E132" s="7" t="s">
        <v>2063</v>
      </c>
      <c r="F132" s="7" t="n">
        <v>32</v>
      </c>
    </row>
    <row r="133" customFormat="false" ht="15" hidden="false" customHeight="false" outlineLevel="0" collapsed="false">
      <c r="A133" s="4" t="s">
        <v>2776</v>
      </c>
      <c r="B133" s="4" t="s">
        <v>2777</v>
      </c>
      <c r="C133" s="4" t="s">
        <v>4278</v>
      </c>
      <c r="D133" s="4" t="s">
        <v>4279</v>
      </c>
      <c r="E133" s="4" t="s">
        <v>2063</v>
      </c>
      <c r="F133" s="4" t="n">
        <v>48</v>
      </c>
    </row>
    <row r="134" customFormat="false" ht="15" hidden="false" customHeight="false" outlineLevel="0" collapsed="false">
      <c r="A134" s="7" t="s">
        <v>2778</v>
      </c>
      <c r="B134" s="7" t="s">
        <v>2777</v>
      </c>
      <c r="C134" s="7" t="s">
        <v>4278</v>
      </c>
      <c r="D134" s="7" t="s">
        <v>4279</v>
      </c>
      <c r="E134" s="7" t="s">
        <v>2063</v>
      </c>
      <c r="F134" s="7" t="n">
        <v>24</v>
      </c>
    </row>
    <row r="135" customFormat="false" ht="15" hidden="false" customHeight="false" outlineLevel="0" collapsed="false">
      <c r="A135" s="4" t="s">
        <v>2779</v>
      </c>
      <c r="B135" s="4" t="s">
        <v>2780</v>
      </c>
      <c r="C135" s="4" t="s">
        <v>4278</v>
      </c>
      <c r="D135" s="4" t="s">
        <v>4279</v>
      </c>
      <c r="E135" s="4" t="s">
        <v>2063</v>
      </c>
      <c r="F135" s="4" t="n">
        <v>72</v>
      </c>
    </row>
    <row r="136" customFormat="false" ht="15" hidden="false" customHeight="false" outlineLevel="0" collapsed="false">
      <c r="A136" s="7" t="s">
        <v>2781</v>
      </c>
      <c r="B136" s="7" t="s">
        <v>2780</v>
      </c>
      <c r="C136" s="7" t="s">
        <v>4278</v>
      </c>
      <c r="D136" s="7" t="s">
        <v>4279</v>
      </c>
      <c r="E136" s="7" t="s">
        <v>2063</v>
      </c>
      <c r="F136" s="7" t="n">
        <v>8</v>
      </c>
    </row>
    <row r="137" customFormat="false" ht="15" hidden="false" customHeight="false" outlineLevel="0" collapsed="false">
      <c r="A137" s="4" t="s">
        <v>2782</v>
      </c>
      <c r="B137" s="4" t="s">
        <v>2783</v>
      </c>
      <c r="C137" s="4" t="s">
        <v>4278</v>
      </c>
      <c r="D137" s="4" t="s">
        <v>4279</v>
      </c>
      <c r="E137" s="4" t="s">
        <v>2063</v>
      </c>
      <c r="F137" s="4" t="n">
        <v>96</v>
      </c>
    </row>
    <row r="138" customFormat="false" ht="15" hidden="false" customHeight="false" outlineLevel="0" collapsed="false">
      <c r="A138" s="7" t="s">
        <v>2784</v>
      </c>
      <c r="B138" s="7" t="s">
        <v>2783</v>
      </c>
      <c r="C138" s="7" t="s">
        <v>4278</v>
      </c>
      <c r="D138" s="7" t="s">
        <v>4279</v>
      </c>
      <c r="E138" s="7" t="s">
        <v>2063</v>
      </c>
      <c r="F138" s="7" t="n">
        <v>24</v>
      </c>
    </row>
    <row r="139" customFormat="false" ht="15" hidden="false" customHeight="false" outlineLevel="0" collapsed="false">
      <c r="A139" s="4" t="s">
        <v>2785</v>
      </c>
      <c r="B139" s="4" t="s">
        <v>2786</v>
      </c>
      <c r="C139" s="4" t="s">
        <v>4278</v>
      </c>
      <c r="D139" s="4" t="s">
        <v>4279</v>
      </c>
      <c r="E139" s="4" t="s">
        <v>2063</v>
      </c>
      <c r="F139" s="4" t="n">
        <v>48</v>
      </c>
    </row>
    <row r="140" customFormat="false" ht="15" hidden="false" customHeight="false" outlineLevel="0" collapsed="false">
      <c r="A140" s="7" t="s">
        <v>2787</v>
      </c>
      <c r="B140" s="7" t="s">
        <v>2786</v>
      </c>
      <c r="C140" s="7" t="s">
        <v>4278</v>
      </c>
      <c r="D140" s="7" t="s">
        <v>4279</v>
      </c>
      <c r="E140" s="7" t="s">
        <v>2063</v>
      </c>
      <c r="F140" s="7" t="n">
        <v>12</v>
      </c>
    </row>
    <row r="141" customFormat="false" ht="15" hidden="false" customHeight="false" outlineLevel="0" collapsed="false">
      <c r="A141" s="4" t="s">
        <v>2788</v>
      </c>
      <c r="B141" s="4" t="s">
        <v>2789</v>
      </c>
      <c r="C141" s="4" t="s">
        <v>4286</v>
      </c>
      <c r="D141" s="4" t="s">
        <v>4287</v>
      </c>
      <c r="E141" s="4" t="s">
        <v>2063</v>
      </c>
      <c r="F141" s="4" t="n">
        <v>56</v>
      </c>
    </row>
    <row r="142" customFormat="false" ht="15" hidden="false" customHeight="false" outlineLevel="0" collapsed="false">
      <c r="A142" s="7" t="s">
        <v>2790</v>
      </c>
      <c r="B142" s="7" t="s">
        <v>2789</v>
      </c>
      <c r="C142" s="7" t="s">
        <v>4286</v>
      </c>
      <c r="D142" s="7" t="s">
        <v>4287</v>
      </c>
      <c r="E142" s="7" t="s">
        <v>2063</v>
      </c>
      <c r="F142" s="7" t="n">
        <v>24</v>
      </c>
    </row>
    <row r="143" customFormat="false" ht="15" hidden="false" customHeight="false" outlineLevel="0" collapsed="false">
      <c r="A143" s="4" t="s">
        <v>2791</v>
      </c>
      <c r="B143" s="4" t="s">
        <v>2792</v>
      </c>
      <c r="C143" s="4" t="s">
        <v>4286</v>
      </c>
      <c r="D143" s="4" t="s">
        <v>4287</v>
      </c>
      <c r="E143" s="4" t="s">
        <v>2063</v>
      </c>
      <c r="F143" s="4" t="n">
        <v>72</v>
      </c>
    </row>
    <row r="144" customFormat="false" ht="15" hidden="false" customHeight="false" outlineLevel="0" collapsed="false">
      <c r="A144" s="7" t="s">
        <v>2793</v>
      </c>
      <c r="B144" s="7" t="s">
        <v>2792</v>
      </c>
      <c r="C144" s="7" t="s">
        <v>4286</v>
      </c>
      <c r="D144" s="7" t="s">
        <v>4287</v>
      </c>
      <c r="E144" s="7" t="s">
        <v>2063</v>
      </c>
      <c r="F144" s="7" t="n">
        <v>16</v>
      </c>
    </row>
    <row r="145" customFormat="false" ht="15" hidden="false" customHeight="false" outlineLevel="0" collapsed="false">
      <c r="A145" s="4" t="s">
        <v>2794</v>
      </c>
      <c r="B145" s="4" t="s">
        <v>2795</v>
      </c>
      <c r="C145" s="4" t="s">
        <v>4286</v>
      </c>
      <c r="D145" s="4" t="s">
        <v>4287</v>
      </c>
      <c r="E145" s="4" t="s">
        <v>2063</v>
      </c>
      <c r="F145" s="4" t="n">
        <v>24</v>
      </c>
    </row>
    <row r="146" customFormat="false" ht="15" hidden="false" customHeight="false" outlineLevel="0" collapsed="false">
      <c r="A146" s="7" t="s">
        <v>2796</v>
      </c>
      <c r="B146" s="7" t="s">
        <v>2795</v>
      </c>
      <c r="C146" s="7" t="s">
        <v>4286</v>
      </c>
      <c r="D146" s="7" t="s">
        <v>4287</v>
      </c>
      <c r="E146" s="7" t="s">
        <v>2063</v>
      </c>
      <c r="F146" s="7" t="n">
        <v>16</v>
      </c>
    </row>
    <row r="147" customFormat="false" ht="15" hidden="false" customHeight="false" outlineLevel="0" collapsed="false">
      <c r="A147" s="4" t="s">
        <v>2797</v>
      </c>
      <c r="B147" s="4" t="s">
        <v>2798</v>
      </c>
      <c r="C147" s="4" t="s">
        <v>4286</v>
      </c>
      <c r="D147" s="4" t="s">
        <v>4287</v>
      </c>
      <c r="E147" s="4" t="s">
        <v>2063</v>
      </c>
      <c r="F147" s="4" t="n">
        <v>48</v>
      </c>
    </row>
    <row r="148" customFormat="false" ht="15" hidden="false" customHeight="false" outlineLevel="0" collapsed="false">
      <c r="A148" s="7" t="s">
        <v>2799</v>
      </c>
      <c r="B148" s="7" t="s">
        <v>2798</v>
      </c>
      <c r="C148" s="7" t="s">
        <v>4286</v>
      </c>
      <c r="D148" s="7" t="s">
        <v>4287</v>
      </c>
      <c r="E148" s="7" t="s">
        <v>2063</v>
      </c>
      <c r="F148" s="7" t="n">
        <v>120</v>
      </c>
    </row>
    <row r="149" customFormat="false" ht="15" hidden="false" customHeight="false" outlineLevel="0" collapsed="false">
      <c r="A149" s="4" t="s">
        <v>2800</v>
      </c>
      <c r="B149" s="4" t="s">
        <v>2801</v>
      </c>
      <c r="C149" s="4" t="s">
        <v>4286</v>
      </c>
      <c r="D149" s="4" t="s">
        <v>4287</v>
      </c>
      <c r="E149" s="4" t="s">
        <v>2063</v>
      </c>
      <c r="F149" s="4" t="n">
        <v>12</v>
      </c>
    </row>
    <row r="150" customFormat="false" ht="15" hidden="false" customHeight="false" outlineLevel="0" collapsed="false">
      <c r="A150" s="7" t="s">
        <v>2802</v>
      </c>
      <c r="B150" s="7" t="s">
        <v>2801</v>
      </c>
      <c r="C150" s="7" t="s">
        <v>4286</v>
      </c>
      <c r="D150" s="7" t="s">
        <v>4287</v>
      </c>
      <c r="E150" s="7" t="s">
        <v>2063</v>
      </c>
      <c r="F150" s="7" t="n">
        <v>36</v>
      </c>
    </row>
    <row r="151" customFormat="false" ht="15" hidden="false" customHeight="false" outlineLevel="0" collapsed="false">
      <c r="A151" s="4" t="s">
        <v>2803</v>
      </c>
      <c r="B151" s="4" t="s">
        <v>2804</v>
      </c>
      <c r="C151" s="4" t="s">
        <v>4284</v>
      </c>
      <c r="D151" s="4" t="s">
        <v>4285</v>
      </c>
      <c r="E151" s="4" t="s">
        <v>2063</v>
      </c>
      <c r="F151" s="4" t="n">
        <v>120</v>
      </c>
    </row>
    <row r="152" customFormat="false" ht="15" hidden="false" customHeight="false" outlineLevel="0" collapsed="false">
      <c r="A152" s="7" t="s">
        <v>2805</v>
      </c>
      <c r="B152" s="7" t="s">
        <v>2804</v>
      </c>
      <c r="C152" s="7" t="s">
        <v>4284</v>
      </c>
      <c r="D152" s="7" t="s">
        <v>4285</v>
      </c>
      <c r="E152" s="7" t="s">
        <v>2063</v>
      </c>
      <c r="F152" s="7" t="n">
        <v>16</v>
      </c>
    </row>
    <row r="153" customFormat="false" ht="15" hidden="false" customHeight="false" outlineLevel="0" collapsed="false">
      <c r="A153" s="4" t="s">
        <v>2806</v>
      </c>
      <c r="B153" s="4" t="s">
        <v>2807</v>
      </c>
      <c r="C153" s="4" t="s">
        <v>4284</v>
      </c>
      <c r="D153" s="4" t="s">
        <v>4285</v>
      </c>
      <c r="E153" s="4" t="s">
        <v>2063</v>
      </c>
      <c r="F153" s="4" t="n">
        <v>120</v>
      </c>
    </row>
    <row r="154" customFormat="false" ht="15" hidden="false" customHeight="false" outlineLevel="0" collapsed="false">
      <c r="A154" s="7" t="s">
        <v>2808</v>
      </c>
      <c r="B154" s="7" t="s">
        <v>2807</v>
      </c>
      <c r="C154" s="7" t="s">
        <v>4284</v>
      </c>
      <c r="D154" s="7" t="s">
        <v>4285</v>
      </c>
      <c r="E154" s="7" t="s">
        <v>2063</v>
      </c>
      <c r="F154" s="7" t="n">
        <v>24</v>
      </c>
    </row>
    <row r="155" customFormat="false" ht="15" hidden="false" customHeight="false" outlineLevel="0" collapsed="false">
      <c r="A155" s="4" t="s">
        <v>2809</v>
      </c>
      <c r="B155" s="4" t="s">
        <v>2810</v>
      </c>
      <c r="C155" s="4" t="s">
        <v>4278</v>
      </c>
      <c r="D155" s="4" t="s">
        <v>4279</v>
      </c>
      <c r="E155" s="4" t="s">
        <v>2063</v>
      </c>
      <c r="F155" s="4" t="n">
        <v>288</v>
      </c>
    </row>
    <row r="156" customFormat="false" ht="15" hidden="false" customHeight="false" outlineLevel="0" collapsed="false">
      <c r="A156" s="7" t="s">
        <v>2811</v>
      </c>
      <c r="B156" s="7" t="s">
        <v>2810</v>
      </c>
      <c r="C156" s="7" t="s">
        <v>4278</v>
      </c>
      <c r="D156" s="7" t="s">
        <v>4279</v>
      </c>
      <c r="E156" s="7" t="s">
        <v>2063</v>
      </c>
      <c r="F156" s="7" t="n">
        <v>96</v>
      </c>
    </row>
    <row r="157" customFormat="false" ht="15" hidden="false" customHeight="false" outlineLevel="0" collapsed="false">
      <c r="A157" s="4" t="s">
        <v>2812</v>
      </c>
      <c r="B157" s="4" t="s">
        <v>2813</v>
      </c>
      <c r="C157" s="4" t="s">
        <v>4278</v>
      </c>
      <c r="D157" s="4" t="s">
        <v>4279</v>
      </c>
      <c r="E157" s="4" t="s">
        <v>2063</v>
      </c>
      <c r="F157" s="4" t="n">
        <v>16</v>
      </c>
    </row>
    <row r="158" customFormat="false" ht="15" hidden="false" customHeight="false" outlineLevel="0" collapsed="false">
      <c r="A158" s="7" t="s">
        <v>2814</v>
      </c>
      <c r="B158" s="7" t="s">
        <v>2815</v>
      </c>
      <c r="C158" s="7" t="s">
        <v>4278</v>
      </c>
      <c r="D158" s="7" t="s">
        <v>4279</v>
      </c>
      <c r="E158" s="7" t="s">
        <v>2063</v>
      </c>
      <c r="F158" s="7" t="n">
        <v>6</v>
      </c>
    </row>
    <row r="159" customFormat="false" ht="15" hidden="false" customHeight="false" outlineLevel="0" collapsed="false">
      <c r="A159" s="4" t="s">
        <v>2816</v>
      </c>
      <c r="B159" s="4" t="s">
        <v>2817</v>
      </c>
      <c r="C159" s="4" t="s">
        <v>4278</v>
      </c>
      <c r="D159" s="4" t="s">
        <v>4279</v>
      </c>
      <c r="E159" s="4" t="s">
        <v>2063</v>
      </c>
      <c r="F159" s="4" t="n">
        <v>16</v>
      </c>
    </row>
    <row r="160" customFormat="false" ht="15" hidden="false" customHeight="false" outlineLevel="0" collapsed="false">
      <c r="A160" s="7" t="s">
        <v>2818</v>
      </c>
      <c r="B160" s="7" t="s">
        <v>2819</v>
      </c>
      <c r="C160" s="7" t="s">
        <v>4278</v>
      </c>
      <c r="D160" s="7" t="s">
        <v>4279</v>
      </c>
      <c r="E160" s="7" t="s">
        <v>2063</v>
      </c>
      <c r="F160" s="7" t="n">
        <v>54</v>
      </c>
    </row>
    <row r="161" customFormat="false" ht="15" hidden="false" customHeight="false" outlineLevel="0" collapsed="false">
      <c r="A161" s="4" t="s">
        <v>2820</v>
      </c>
      <c r="B161" s="4" t="s">
        <v>2819</v>
      </c>
      <c r="C161" s="4" t="s">
        <v>4278</v>
      </c>
      <c r="D161" s="4" t="s">
        <v>4279</v>
      </c>
      <c r="E161" s="4" t="s">
        <v>2063</v>
      </c>
      <c r="F161" s="4" t="n">
        <v>8</v>
      </c>
    </row>
    <row r="162" customFormat="false" ht="15" hidden="false" customHeight="false" outlineLevel="0" collapsed="false">
      <c r="A162" s="7" t="s">
        <v>2821</v>
      </c>
      <c r="B162" s="7" t="s">
        <v>2822</v>
      </c>
      <c r="C162" s="7" t="s">
        <v>4278</v>
      </c>
      <c r="D162" s="7" t="s">
        <v>4279</v>
      </c>
      <c r="E162" s="7" t="s">
        <v>2063</v>
      </c>
      <c r="F162" s="7" t="n">
        <v>32</v>
      </c>
    </row>
    <row r="163" customFormat="false" ht="15" hidden="false" customHeight="false" outlineLevel="0" collapsed="false">
      <c r="A163" s="4" t="s">
        <v>2823</v>
      </c>
      <c r="B163" s="4" t="s">
        <v>2822</v>
      </c>
      <c r="C163" s="4" t="s">
        <v>4278</v>
      </c>
      <c r="D163" s="4" t="s">
        <v>4279</v>
      </c>
      <c r="E163" s="4" t="s">
        <v>2063</v>
      </c>
      <c r="F163" s="4" t="n">
        <v>24</v>
      </c>
    </row>
    <row r="164" customFormat="false" ht="15" hidden="false" customHeight="false" outlineLevel="0" collapsed="false">
      <c r="A164" s="7" t="s">
        <v>2824</v>
      </c>
      <c r="B164" s="7" t="s">
        <v>2825</v>
      </c>
      <c r="C164" s="7" t="s">
        <v>4278</v>
      </c>
      <c r="D164" s="7" t="s">
        <v>4279</v>
      </c>
      <c r="E164" s="7" t="s">
        <v>2063</v>
      </c>
      <c r="F164" s="7" t="n">
        <v>20</v>
      </c>
    </row>
    <row r="165" customFormat="false" ht="15" hidden="false" customHeight="false" outlineLevel="0" collapsed="false">
      <c r="A165" s="4" t="s">
        <v>2826</v>
      </c>
      <c r="B165" s="4" t="s">
        <v>2825</v>
      </c>
      <c r="C165" s="4" t="s">
        <v>4278</v>
      </c>
      <c r="D165" s="4" t="s">
        <v>4279</v>
      </c>
      <c r="E165" s="4" t="s">
        <v>2063</v>
      </c>
      <c r="F165" s="4" t="n">
        <v>6</v>
      </c>
    </row>
    <row r="166" customFormat="false" ht="15" hidden="false" customHeight="false" outlineLevel="0" collapsed="false">
      <c r="A166" s="7" t="s">
        <v>2827</v>
      </c>
      <c r="B166" s="7" t="s">
        <v>2828</v>
      </c>
      <c r="C166" s="7" t="s">
        <v>4278</v>
      </c>
      <c r="D166" s="7" t="s">
        <v>4279</v>
      </c>
      <c r="E166" s="7" t="s">
        <v>2063</v>
      </c>
      <c r="F166" s="7" t="n">
        <v>48</v>
      </c>
    </row>
    <row r="167" customFormat="false" ht="15" hidden="false" customHeight="false" outlineLevel="0" collapsed="false">
      <c r="A167" s="4" t="s">
        <v>2829</v>
      </c>
      <c r="B167" s="4" t="s">
        <v>2828</v>
      </c>
      <c r="C167" s="4" t="s">
        <v>4278</v>
      </c>
      <c r="D167" s="4" t="s">
        <v>4279</v>
      </c>
      <c r="E167" s="4" t="s">
        <v>2063</v>
      </c>
      <c r="F167" s="4" t="n">
        <v>8</v>
      </c>
    </row>
    <row r="168" customFormat="false" ht="15" hidden="false" customHeight="false" outlineLevel="0" collapsed="false">
      <c r="A168" s="7" t="s">
        <v>2830</v>
      </c>
      <c r="B168" s="7" t="s">
        <v>2831</v>
      </c>
      <c r="C168" s="7" t="s">
        <v>4278</v>
      </c>
      <c r="D168" s="7" t="s">
        <v>4279</v>
      </c>
      <c r="E168" s="7" t="s">
        <v>2063</v>
      </c>
      <c r="F168" s="7" t="n">
        <v>48</v>
      </c>
    </row>
    <row r="169" customFormat="false" ht="15" hidden="false" customHeight="false" outlineLevel="0" collapsed="false">
      <c r="A169" s="4" t="s">
        <v>2832</v>
      </c>
      <c r="B169" s="4" t="s">
        <v>2831</v>
      </c>
      <c r="C169" s="4" t="s">
        <v>4278</v>
      </c>
      <c r="D169" s="4" t="s">
        <v>4279</v>
      </c>
      <c r="E169" s="4" t="s">
        <v>2063</v>
      </c>
      <c r="F169" s="4" t="n">
        <v>8</v>
      </c>
    </row>
    <row r="170" customFormat="false" ht="15" hidden="false" customHeight="false" outlineLevel="0" collapsed="false">
      <c r="A170" s="7" t="s">
        <v>2833</v>
      </c>
      <c r="B170" s="7" t="s">
        <v>2834</v>
      </c>
      <c r="C170" s="7" t="s">
        <v>4278</v>
      </c>
      <c r="D170" s="7" t="s">
        <v>4279</v>
      </c>
      <c r="E170" s="7" t="s">
        <v>2063</v>
      </c>
      <c r="F170" s="7" t="n">
        <v>36</v>
      </c>
    </row>
    <row r="171" customFormat="false" ht="15" hidden="false" customHeight="false" outlineLevel="0" collapsed="false">
      <c r="A171" s="4" t="s">
        <v>2835</v>
      </c>
      <c r="B171" s="4" t="s">
        <v>2834</v>
      </c>
      <c r="C171" s="4" t="s">
        <v>4278</v>
      </c>
      <c r="D171" s="4" t="s">
        <v>4279</v>
      </c>
      <c r="E171" s="4" t="s">
        <v>2063</v>
      </c>
      <c r="F171" s="4" t="n">
        <v>36</v>
      </c>
    </row>
    <row r="172" customFormat="false" ht="15" hidden="false" customHeight="false" outlineLevel="0" collapsed="false">
      <c r="A172" s="7" t="s">
        <v>2836</v>
      </c>
      <c r="B172" s="7" t="s">
        <v>2837</v>
      </c>
      <c r="C172" s="7" t="s">
        <v>4278</v>
      </c>
      <c r="D172" s="7" t="s">
        <v>4279</v>
      </c>
      <c r="E172" s="7" t="s">
        <v>2063</v>
      </c>
      <c r="F172" s="7" t="n">
        <v>54</v>
      </c>
    </row>
    <row r="173" customFormat="false" ht="15" hidden="false" customHeight="false" outlineLevel="0" collapsed="false">
      <c r="A173" s="4" t="s">
        <v>2838</v>
      </c>
      <c r="B173" s="4" t="s">
        <v>2837</v>
      </c>
      <c r="C173" s="4" t="s">
        <v>4278</v>
      </c>
      <c r="D173" s="4" t="s">
        <v>4279</v>
      </c>
      <c r="E173" s="4" t="s">
        <v>2063</v>
      </c>
      <c r="F173" s="4" t="n">
        <v>12</v>
      </c>
    </row>
    <row r="174" customFormat="false" ht="15" hidden="false" customHeight="false" outlineLevel="0" collapsed="false">
      <c r="A174" s="7" t="s">
        <v>2839</v>
      </c>
      <c r="B174" s="7" t="s">
        <v>2840</v>
      </c>
      <c r="C174" s="7" t="s">
        <v>4280</v>
      </c>
      <c r="D174" s="7" t="s">
        <v>4281</v>
      </c>
      <c r="E174" s="7" t="s">
        <v>2063</v>
      </c>
      <c r="F174" s="7" t="n">
        <v>8</v>
      </c>
    </row>
    <row r="175" customFormat="false" ht="15" hidden="false" customHeight="false" outlineLevel="0" collapsed="false">
      <c r="A175" s="4" t="s">
        <v>2841</v>
      </c>
      <c r="B175" s="4" t="s">
        <v>2840</v>
      </c>
      <c r="C175" s="4" t="s">
        <v>4280</v>
      </c>
      <c r="D175" s="4" t="s">
        <v>4281</v>
      </c>
      <c r="E175" s="4" t="s">
        <v>2063</v>
      </c>
      <c r="F175" s="4" t="n">
        <v>12</v>
      </c>
    </row>
    <row r="176" customFormat="false" ht="15" hidden="false" customHeight="false" outlineLevel="0" collapsed="false">
      <c r="A176" s="7" t="s">
        <v>2842</v>
      </c>
      <c r="B176" s="7" t="s">
        <v>2843</v>
      </c>
      <c r="C176" s="7" t="s">
        <v>4280</v>
      </c>
      <c r="D176" s="7" t="s">
        <v>4281</v>
      </c>
      <c r="E176" s="7" t="s">
        <v>2063</v>
      </c>
      <c r="F176" s="7" t="n">
        <v>12</v>
      </c>
    </row>
    <row r="177" customFormat="false" ht="15" hidden="false" customHeight="false" outlineLevel="0" collapsed="false">
      <c r="A177" s="4" t="s">
        <v>2844</v>
      </c>
      <c r="B177" s="4" t="s">
        <v>2843</v>
      </c>
      <c r="C177" s="4" t="s">
        <v>4280</v>
      </c>
      <c r="D177" s="4" t="s">
        <v>4281</v>
      </c>
      <c r="E177" s="4" t="s">
        <v>2063</v>
      </c>
      <c r="F177" s="4" t="n">
        <v>32</v>
      </c>
    </row>
    <row r="178" customFormat="false" ht="15" hidden="false" customHeight="false" outlineLevel="0" collapsed="false">
      <c r="A178" s="7" t="s">
        <v>2845</v>
      </c>
      <c r="B178" s="7" t="s">
        <v>2846</v>
      </c>
      <c r="C178" s="7" t="s">
        <v>4280</v>
      </c>
      <c r="D178" s="7" t="s">
        <v>4281</v>
      </c>
      <c r="E178" s="7" t="s">
        <v>2063</v>
      </c>
      <c r="F178" s="7" t="n">
        <v>24</v>
      </c>
    </row>
    <row r="179" customFormat="false" ht="15" hidden="false" customHeight="false" outlineLevel="0" collapsed="false">
      <c r="A179" s="4" t="s">
        <v>2847</v>
      </c>
      <c r="B179" s="4" t="s">
        <v>2846</v>
      </c>
      <c r="C179" s="4" t="s">
        <v>4280</v>
      </c>
      <c r="D179" s="4" t="s">
        <v>4281</v>
      </c>
      <c r="E179" s="4" t="s">
        <v>2063</v>
      </c>
      <c r="F179" s="4" t="n">
        <v>64</v>
      </c>
    </row>
    <row r="180" customFormat="false" ht="15" hidden="false" customHeight="false" outlineLevel="0" collapsed="false">
      <c r="A180" s="7" t="s">
        <v>2848</v>
      </c>
      <c r="B180" s="7" t="s">
        <v>2849</v>
      </c>
      <c r="C180" s="7" t="s">
        <v>4288</v>
      </c>
      <c r="D180" s="7" t="s">
        <v>4289</v>
      </c>
      <c r="E180" s="7" t="s">
        <v>2063</v>
      </c>
      <c r="F180" s="7" t="n">
        <v>192</v>
      </c>
    </row>
    <row r="181" customFormat="false" ht="15" hidden="false" customHeight="false" outlineLevel="0" collapsed="false">
      <c r="A181" s="4" t="s">
        <v>2850</v>
      </c>
      <c r="B181" s="4" t="s">
        <v>2851</v>
      </c>
      <c r="C181" s="4" t="s">
        <v>4288</v>
      </c>
      <c r="D181" s="4" t="s">
        <v>4289</v>
      </c>
      <c r="E181" s="4" t="s">
        <v>2063</v>
      </c>
      <c r="F181" s="4" t="n">
        <v>36</v>
      </c>
    </row>
    <row r="182" customFormat="false" ht="15" hidden="false" customHeight="false" outlineLevel="0" collapsed="false">
      <c r="A182" s="7" t="s">
        <v>2852</v>
      </c>
      <c r="B182" s="7" t="s">
        <v>2853</v>
      </c>
      <c r="C182" s="7" t="s">
        <v>4288</v>
      </c>
      <c r="D182" s="7" t="s">
        <v>4289</v>
      </c>
      <c r="E182" s="7" t="s">
        <v>2063</v>
      </c>
      <c r="F182" s="7" t="n">
        <v>24</v>
      </c>
    </row>
    <row r="183" customFormat="false" ht="15" hidden="false" customHeight="false" outlineLevel="0" collapsed="false">
      <c r="A183" s="4" t="s">
        <v>2854</v>
      </c>
      <c r="B183" s="4" t="s">
        <v>2855</v>
      </c>
      <c r="C183" s="4" t="s">
        <v>4288</v>
      </c>
      <c r="D183" s="4" t="s">
        <v>4289</v>
      </c>
      <c r="E183" s="4" t="s">
        <v>2063</v>
      </c>
      <c r="F183" s="4" t="n">
        <v>164</v>
      </c>
    </row>
    <row r="184" customFormat="false" ht="15" hidden="false" customHeight="false" outlineLevel="0" collapsed="false">
      <c r="A184" s="7" t="s">
        <v>2856</v>
      </c>
      <c r="B184" s="7" t="s">
        <v>2857</v>
      </c>
      <c r="C184" s="7" t="s">
        <v>4280</v>
      </c>
      <c r="D184" s="7" t="s">
        <v>4281</v>
      </c>
      <c r="E184" s="7" t="s">
        <v>2063</v>
      </c>
      <c r="F184" s="7" t="n">
        <v>16</v>
      </c>
    </row>
    <row r="185" customFormat="false" ht="15" hidden="false" customHeight="false" outlineLevel="0" collapsed="false">
      <c r="A185" s="4" t="s">
        <v>2858</v>
      </c>
      <c r="B185" s="4" t="s">
        <v>2857</v>
      </c>
      <c r="C185" s="4" t="s">
        <v>4280</v>
      </c>
      <c r="D185" s="4" t="s">
        <v>4281</v>
      </c>
      <c r="E185" s="4" t="s">
        <v>2063</v>
      </c>
      <c r="F185" s="4" t="n">
        <v>4</v>
      </c>
    </row>
    <row r="186" customFormat="false" ht="15" hidden="false" customHeight="false" outlineLevel="0" collapsed="false">
      <c r="A186" s="7" t="s">
        <v>2859</v>
      </c>
      <c r="B186" s="7" t="s">
        <v>2860</v>
      </c>
      <c r="C186" s="7" t="s">
        <v>4280</v>
      </c>
      <c r="D186" s="7" t="s">
        <v>4281</v>
      </c>
      <c r="E186" s="7" t="s">
        <v>2063</v>
      </c>
      <c r="F186" s="7" t="n">
        <v>16</v>
      </c>
    </row>
    <row r="187" customFormat="false" ht="15" hidden="false" customHeight="false" outlineLevel="0" collapsed="false">
      <c r="A187" s="4" t="s">
        <v>2861</v>
      </c>
      <c r="B187" s="4" t="s">
        <v>2860</v>
      </c>
      <c r="C187" s="4" t="s">
        <v>4280</v>
      </c>
      <c r="D187" s="4" t="s">
        <v>4281</v>
      </c>
      <c r="E187" s="4" t="s">
        <v>2063</v>
      </c>
      <c r="F187" s="4" t="n">
        <v>12</v>
      </c>
    </row>
    <row r="188" customFormat="false" ht="15" hidden="false" customHeight="false" outlineLevel="0" collapsed="false">
      <c r="A188" s="7" t="s">
        <v>2862</v>
      </c>
      <c r="B188" s="7" t="s">
        <v>2863</v>
      </c>
      <c r="C188" s="7" t="s">
        <v>4280</v>
      </c>
      <c r="D188" s="7" t="s">
        <v>4281</v>
      </c>
      <c r="E188" s="7" t="s">
        <v>2063</v>
      </c>
      <c r="F188" s="7" t="n">
        <v>72</v>
      </c>
    </row>
    <row r="189" customFormat="false" ht="15" hidden="false" customHeight="false" outlineLevel="0" collapsed="false">
      <c r="A189" s="4" t="s">
        <v>2864</v>
      </c>
      <c r="B189" s="4" t="s">
        <v>2863</v>
      </c>
      <c r="C189" s="4" t="s">
        <v>4280</v>
      </c>
      <c r="D189" s="4" t="s">
        <v>4281</v>
      </c>
      <c r="E189" s="4" t="s">
        <v>2063</v>
      </c>
      <c r="F189" s="4" t="n">
        <v>36</v>
      </c>
    </row>
    <row r="190" customFormat="false" ht="15" hidden="false" customHeight="false" outlineLevel="0" collapsed="false">
      <c r="A190" s="7" t="s">
        <v>2865</v>
      </c>
      <c r="B190" s="7" t="s">
        <v>2866</v>
      </c>
      <c r="C190" s="7" t="s">
        <v>4280</v>
      </c>
      <c r="D190" s="7" t="s">
        <v>4281</v>
      </c>
      <c r="E190" s="7" t="s">
        <v>2063</v>
      </c>
      <c r="F190" s="7" t="n">
        <v>36</v>
      </c>
    </row>
    <row r="191" customFormat="false" ht="15" hidden="false" customHeight="false" outlineLevel="0" collapsed="false">
      <c r="A191" s="4" t="s">
        <v>2867</v>
      </c>
      <c r="B191" s="4" t="s">
        <v>2866</v>
      </c>
      <c r="C191" s="4" t="s">
        <v>4280</v>
      </c>
      <c r="D191" s="4" t="s">
        <v>4281</v>
      </c>
      <c r="E191" s="4" t="s">
        <v>2063</v>
      </c>
      <c r="F191" s="4" t="n">
        <v>32</v>
      </c>
    </row>
    <row r="192" customFormat="false" ht="15" hidden="false" customHeight="false" outlineLevel="0" collapsed="false">
      <c r="A192" s="7" t="s">
        <v>2868</v>
      </c>
      <c r="B192" s="7" t="s">
        <v>2869</v>
      </c>
      <c r="C192" s="7" t="s">
        <v>4280</v>
      </c>
      <c r="D192" s="7" t="s">
        <v>4281</v>
      </c>
      <c r="E192" s="7" t="s">
        <v>2063</v>
      </c>
      <c r="F192" s="7" t="n">
        <v>10</v>
      </c>
    </row>
    <row r="193" customFormat="false" ht="15" hidden="false" customHeight="false" outlineLevel="0" collapsed="false">
      <c r="A193" s="4" t="s">
        <v>2870</v>
      </c>
      <c r="B193" s="4" t="s">
        <v>2869</v>
      </c>
      <c r="C193" s="4" t="s">
        <v>4280</v>
      </c>
      <c r="D193" s="4" t="s">
        <v>4281</v>
      </c>
      <c r="E193" s="4" t="s">
        <v>2063</v>
      </c>
      <c r="F193" s="4" t="n">
        <v>20</v>
      </c>
    </row>
    <row r="194" customFormat="false" ht="15" hidden="false" customHeight="false" outlineLevel="0" collapsed="false">
      <c r="A194" s="7" t="s">
        <v>2871</v>
      </c>
      <c r="B194" s="7" t="s">
        <v>2872</v>
      </c>
      <c r="C194" s="7" t="s">
        <v>4280</v>
      </c>
      <c r="D194" s="7" t="s">
        <v>4281</v>
      </c>
      <c r="E194" s="7" t="s">
        <v>2063</v>
      </c>
      <c r="F194" s="7" t="n">
        <v>488</v>
      </c>
    </row>
    <row r="195" customFormat="false" ht="15" hidden="false" customHeight="false" outlineLevel="0" collapsed="false">
      <c r="A195" s="4" t="s">
        <v>2873</v>
      </c>
      <c r="B195" s="4" t="s">
        <v>2872</v>
      </c>
      <c r="C195" s="4" t="s">
        <v>4280</v>
      </c>
      <c r="D195" s="4" t="s">
        <v>4281</v>
      </c>
      <c r="E195" s="4" t="s">
        <v>2063</v>
      </c>
      <c r="F195" s="4" t="n">
        <v>172</v>
      </c>
    </row>
    <row r="196" customFormat="false" ht="15" hidden="false" customHeight="false" outlineLevel="0" collapsed="false">
      <c r="A196" s="7" t="s">
        <v>2874</v>
      </c>
      <c r="B196" s="7" t="s">
        <v>2875</v>
      </c>
      <c r="C196" s="7" t="s">
        <v>4288</v>
      </c>
      <c r="D196" s="7" t="s">
        <v>4289</v>
      </c>
      <c r="E196" s="7" t="s">
        <v>2063</v>
      </c>
      <c r="F196" s="7" t="n">
        <v>96</v>
      </c>
    </row>
    <row r="197" customFormat="false" ht="15" hidden="false" customHeight="false" outlineLevel="0" collapsed="false">
      <c r="A197" s="4" t="s">
        <v>2876</v>
      </c>
      <c r="B197" s="4" t="s">
        <v>2877</v>
      </c>
      <c r="C197" s="4" t="s">
        <v>4288</v>
      </c>
      <c r="D197" s="4" t="s">
        <v>4289</v>
      </c>
      <c r="E197" s="4" t="s">
        <v>2063</v>
      </c>
      <c r="F197" s="4" t="n">
        <v>48</v>
      </c>
    </row>
    <row r="198" customFormat="false" ht="15" hidden="false" customHeight="false" outlineLevel="0" collapsed="false">
      <c r="A198" s="7" t="s">
        <v>2878</v>
      </c>
      <c r="B198" s="7" t="s">
        <v>2879</v>
      </c>
      <c r="C198" s="7" t="s">
        <v>4288</v>
      </c>
      <c r="D198" s="7" t="s">
        <v>4289</v>
      </c>
      <c r="E198" s="7" t="s">
        <v>2063</v>
      </c>
      <c r="F198" s="7" t="n">
        <v>36</v>
      </c>
    </row>
    <row r="199" customFormat="false" ht="15" hidden="false" customHeight="false" outlineLevel="0" collapsed="false">
      <c r="A199" s="4" t="s">
        <v>2880</v>
      </c>
      <c r="B199" s="4" t="s">
        <v>2881</v>
      </c>
      <c r="C199" s="4" t="s">
        <v>4284</v>
      </c>
      <c r="D199" s="4" t="s">
        <v>4285</v>
      </c>
      <c r="E199" s="4" t="s">
        <v>2063</v>
      </c>
      <c r="F199" s="4" t="n">
        <v>48</v>
      </c>
    </row>
    <row r="200" customFormat="false" ht="15" hidden="false" customHeight="false" outlineLevel="0" collapsed="false">
      <c r="A200" s="7" t="s">
        <v>2882</v>
      </c>
      <c r="B200" s="7" t="s">
        <v>2883</v>
      </c>
      <c r="C200" s="7" t="s">
        <v>4284</v>
      </c>
      <c r="D200" s="7" t="s">
        <v>4285</v>
      </c>
      <c r="E200" s="7" t="s">
        <v>2063</v>
      </c>
      <c r="F200" s="7" t="n">
        <v>64</v>
      </c>
    </row>
    <row r="201" customFormat="false" ht="15" hidden="false" customHeight="false" outlineLevel="0" collapsed="false">
      <c r="A201" s="4" t="s">
        <v>2884</v>
      </c>
      <c r="B201" s="4" t="s">
        <v>2885</v>
      </c>
      <c r="C201" s="4" t="s">
        <v>4284</v>
      </c>
      <c r="D201" s="4" t="s">
        <v>4285</v>
      </c>
      <c r="E201" s="4" t="s">
        <v>2063</v>
      </c>
      <c r="F201" s="4" t="n">
        <v>96</v>
      </c>
    </row>
    <row r="202" customFormat="false" ht="15" hidden="false" customHeight="false" outlineLevel="0" collapsed="false">
      <c r="A202" s="7" t="s">
        <v>2886</v>
      </c>
      <c r="B202" s="7" t="s">
        <v>2887</v>
      </c>
      <c r="C202" s="7" t="s">
        <v>4278</v>
      </c>
      <c r="D202" s="7" t="s">
        <v>4279</v>
      </c>
      <c r="E202" s="7" t="s">
        <v>2063</v>
      </c>
      <c r="F202" s="7" t="n">
        <v>144</v>
      </c>
    </row>
    <row r="203" customFormat="false" ht="15" hidden="false" customHeight="false" outlineLevel="0" collapsed="false">
      <c r="A203" s="4" t="s">
        <v>2888</v>
      </c>
      <c r="B203" s="4" t="s">
        <v>2887</v>
      </c>
      <c r="C203" s="4" t="s">
        <v>4278</v>
      </c>
      <c r="D203" s="4" t="s">
        <v>4279</v>
      </c>
      <c r="E203" s="4" t="s">
        <v>2063</v>
      </c>
      <c r="F203" s="4" t="n">
        <v>72</v>
      </c>
    </row>
    <row r="204" customFormat="false" ht="15" hidden="false" customHeight="false" outlineLevel="0" collapsed="false">
      <c r="A204" s="7" t="s">
        <v>2889</v>
      </c>
      <c r="B204" s="7" t="s">
        <v>2890</v>
      </c>
      <c r="C204" s="7" t="s">
        <v>4278</v>
      </c>
      <c r="D204" s="7" t="s">
        <v>4279</v>
      </c>
      <c r="E204" s="7" t="s">
        <v>2063</v>
      </c>
      <c r="F204" s="7" t="n">
        <v>72</v>
      </c>
    </row>
    <row r="205" customFormat="false" ht="15" hidden="false" customHeight="false" outlineLevel="0" collapsed="false">
      <c r="A205" s="4" t="s">
        <v>2891</v>
      </c>
      <c r="B205" s="4" t="s">
        <v>2890</v>
      </c>
      <c r="C205" s="4" t="s">
        <v>4278</v>
      </c>
      <c r="D205" s="4" t="s">
        <v>4279</v>
      </c>
      <c r="E205" s="4" t="s">
        <v>2063</v>
      </c>
      <c r="F205" s="4" t="n">
        <v>72</v>
      </c>
    </row>
    <row r="206" customFormat="false" ht="15" hidden="false" customHeight="false" outlineLevel="0" collapsed="false">
      <c r="A206" s="7" t="s">
        <v>2892</v>
      </c>
      <c r="B206" s="7" t="s">
        <v>2893</v>
      </c>
      <c r="C206" s="7" t="s">
        <v>4278</v>
      </c>
      <c r="D206" s="7" t="s">
        <v>4279</v>
      </c>
      <c r="E206" s="7" t="s">
        <v>2063</v>
      </c>
      <c r="F206" s="7" t="n">
        <v>288</v>
      </c>
    </row>
    <row r="207" customFormat="false" ht="15" hidden="false" customHeight="false" outlineLevel="0" collapsed="false">
      <c r="A207" s="4" t="s">
        <v>2894</v>
      </c>
      <c r="B207" s="4" t="s">
        <v>2893</v>
      </c>
      <c r="C207" s="4" t="s">
        <v>4278</v>
      </c>
      <c r="D207" s="4" t="s">
        <v>4279</v>
      </c>
      <c r="E207" s="4" t="s">
        <v>2063</v>
      </c>
      <c r="F207" s="4" t="n">
        <v>216</v>
      </c>
    </row>
    <row r="208" customFormat="false" ht="15" hidden="false" customHeight="false" outlineLevel="0" collapsed="false">
      <c r="A208" s="7" t="s">
        <v>2895</v>
      </c>
      <c r="B208" s="7" t="s">
        <v>2896</v>
      </c>
      <c r="C208" s="7" t="s">
        <v>4278</v>
      </c>
      <c r="D208" s="7" t="s">
        <v>4279</v>
      </c>
      <c r="E208" s="7" t="s">
        <v>2063</v>
      </c>
      <c r="F208" s="7" t="n">
        <v>24</v>
      </c>
    </row>
    <row r="209" customFormat="false" ht="15" hidden="false" customHeight="false" outlineLevel="0" collapsed="false">
      <c r="A209" s="4" t="s">
        <v>2897</v>
      </c>
      <c r="B209" s="4" t="s">
        <v>2896</v>
      </c>
      <c r="C209" s="4" t="s">
        <v>4278</v>
      </c>
      <c r="D209" s="4" t="s">
        <v>4279</v>
      </c>
      <c r="E209" s="4" t="s">
        <v>2063</v>
      </c>
      <c r="F209" s="4" t="n">
        <v>8</v>
      </c>
    </row>
    <row r="210" customFormat="false" ht="15" hidden="false" customHeight="false" outlineLevel="0" collapsed="false">
      <c r="A210" s="7" t="s">
        <v>2898</v>
      </c>
      <c r="B210" s="7" t="s">
        <v>2899</v>
      </c>
      <c r="C210" s="7" t="s">
        <v>4288</v>
      </c>
      <c r="D210" s="7" t="s">
        <v>4289</v>
      </c>
      <c r="E210" s="7" t="s">
        <v>2063</v>
      </c>
      <c r="F210" s="7" t="n">
        <v>224</v>
      </c>
    </row>
    <row r="211" customFormat="false" ht="15" hidden="false" customHeight="false" outlineLevel="0" collapsed="false">
      <c r="A211" s="4" t="s">
        <v>2900</v>
      </c>
      <c r="B211" s="4" t="s">
        <v>2901</v>
      </c>
      <c r="C211" s="4" t="s">
        <v>4288</v>
      </c>
      <c r="D211" s="4" t="s">
        <v>4289</v>
      </c>
      <c r="E211" s="4" t="s">
        <v>2063</v>
      </c>
      <c r="F211" s="4" t="n">
        <v>224</v>
      </c>
    </row>
    <row r="212" customFormat="false" ht="15" hidden="false" customHeight="false" outlineLevel="0" collapsed="false">
      <c r="A212" s="7" t="s">
        <v>2902</v>
      </c>
      <c r="B212" s="7" t="s">
        <v>2903</v>
      </c>
      <c r="C212" s="7" t="s">
        <v>4288</v>
      </c>
      <c r="D212" s="7" t="s">
        <v>4289</v>
      </c>
      <c r="E212" s="7" t="s">
        <v>2063</v>
      </c>
      <c r="F212" s="7" t="n">
        <v>72</v>
      </c>
    </row>
    <row r="213" customFormat="false" ht="15" hidden="false" customHeight="false" outlineLevel="0" collapsed="false">
      <c r="A213" s="4" t="s">
        <v>2904</v>
      </c>
      <c r="B213" s="4" t="s">
        <v>2905</v>
      </c>
      <c r="C213" s="4" t="s">
        <v>4288</v>
      </c>
      <c r="D213" s="4" t="s">
        <v>4289</v>
      </c>
      <c r="E213" s="4" t="s">
        <v>2063</v>
      </c>
      <c r="F213" s="4" t="n">
        <v>36</v>
      </c>
    </row>
    <row r="214" customFormat="false" ht="15" hidden="false" customHeight="false" outlineLevel="0" collapsed="false">
      <c r="A214" s="7" t="s">
        <v>2906</v>
      </c>
      <c r="B214" s="7" t="s">
        <v>2907</v>
      </c>
      <c r="C214" s="7" t="s">
        <v>4288</v>
      </c>
      <c r="D214" s="7" t="s">
        <v>4289</v>
      </c>
      <c r="E214" s="7" t="s">
        <v>2063</v>
      </c>
      <c r="F214" s="7" t="n">
        <v>36</v>
      </c>
    </row>
    <row r="215" customFormat="false" ht="15" hidden="false" customHeight="false" outlineLevel="0" collapsed="false">
      <c r="A215" s="4" t="s">
        <v>2908</v>
      </c>
      <c r="B215" s="4" t="s">
        <v>2909</v>
      </c>
      <c r="C215" s="4" t="s">
        <v>4278</v>
      </c>
      <c r="D215" s="4" t="s">
        <v>4279</v>
      </c>
      <c r="E215" s="4" t="s">
        <v>2063</v>
      </c>
      <c r="F215" s="4" t="n">
        <v>64</v>
      </c>
    </row>
    <row r="216" customFormat="false" ht="15" hidden="false" customHeight="false" outlineLevel="0" collapsed="false">
      <c r="A216" s="7" t="s">
        <v>2910</v>
      </c>
      <c r="B216" s="7" t="s">
        <v>2909</v>
      </c>
      <c r="C216" s="7" t="s">
        <v>4278</v>
      </c>
      <c r="D216" s="7" t="s">
        <v>4279</v>
      </c>
      <c r="E216" s="7" t="s">
        <v>2063</v>
      </c>
      <c r="F216" s="7" t="n">
        <v>120</v>
      </c>
    </row>
    <row r="217" customFormat="false" ht="15" hidden="false" customHeight="false" outlineLevel="0" collapsed="false">
      <c r="A217" s="4" t="s">
        <v>2911</v>
      </c>
      <c r="B217" s="4" t="s">
        <v>2912</v>
      </c>
      <c r="C217" s="4" t="s">
        <v>4286</v>
      </c>
      <c r="D217" s="4" t="s">
        <v>4287</v>
      </c>
      <c r="E217" s="4" t="s">
        <v>2063</v>
      </c>
      <c r="F217" s="4" t="n">
        <v>54</v>
      </c>
    </row>
    <row r="218" customFormat="false" ht="15" hidden="false" customHeight="false" outlineLevel="0" collapsed="false">
      <c r="A218" s="7" t="s">
        <v>2913</v>
      </c>
      <c r="B218" s="7" t="s">
        <v>2912</v>
      </c>
      <c r="C218" s="7" t="s">
        <v>4286</v>
      </c>
      <c r="D218" s="7" t="s">
        <v>4287</v>
      </c>
      <c r="E218" s="7" t="s">
        <v>2063</v>
      </c>
      <c r="F218" s="7" t="n">
        <v>376</v>
      </c>
    </row>
    <row r="219" customFormat="false" ht="15" hidden="false" customHeight="false" outlineLevel="0" collapsed="false">
      <c r="A219" s="4" t="s">
        <v>2914</v>
      </c>
      <c r="B219" s="4" t="s">
        <v>2915</v>
      </c>
      <c r="C219" s="4" t="s">
        <v>4284</v>
      </c>
      <c r="D219" s="4" t="s">
        <v>4285</v>
      </c>
      <c r="E219" s="4" t="s">
        <v>2063</v>
      </c>
      <c r="F219" s="4" t="n">
        <v>16</v>
      </c>
    </row>
    <row r="220" customFormat="false" ht="15" hidden="false" customHeight="false" outlineLevel="0" collapsed="false">
      <c r="A220" s="7" t="s">
        <v>2916</v>
      </c>
      <c r="B220" s="7" t="s">
        <v>2915</v>
      </c>
      <c r="C220" s="7" t="s">
        <v>4284</v>
      </c>
      <c r="D220" s="7" t="s">
        <v>4285</v>
      </c>
      <c r="E220" s="7" t="s">
        <v>2063</v>
      </c>
      <c r="F220" s="7" t="n">
        <v>216</v>
      </c>
    </row>
    <row r="221" customFormat="false" ht="15" hidden="false" customHeight="false" outlineLevel="0" collapsed="false">
      <c r="A221" s="4" t="s">
        <v>2917</v>
      </c>
      <c r="B221" s="4" t="s">
        <v>2918</v>
      </c>
      <c r="C221" s="4" t="s">
        <v>4284</v>
      </c>
      <c r="D221" s="4" t="s">
        <v>4285</v>
      </c>
      <c r="E221" s="4" t="s">
        <v>2063</v>
      </c>
      <c r="F221" s="4" t="n">
        <v>2</v>
      </c>
    </row>
    <row r="222" customFormat="false" ht="15" hidden="false" customHeight="false" outlineLevel="0" collapsed="false">
      <c r="A222" s="7" t="s">
        <v>2919</v>
      </c>
      <c r="B222" s="7" t="s">
        <v>2918</v>
      </c>
      <c r="C222" s="7" t="s">
        <v>4284</v>
      </c>
      <c r="D222" s="7" t="s">
        <v>4285</v>
      </c>
      <c r="E222" s="7" t="s">
        <v>2063</v>
      </c>
      <c r="F222" s="7" t="n">
        <v>4</v>
      </c>
    </row>
    <row r="223" customFormat="false" ht="15" hidden="false" customHeight="false" outlineLevel="0" collapsed="false">
      <c r="A223" s="4" t="s">
        <v>2920</v>
      </c>
      <c r="B223" s="4" t="s">
        <v>2921</v>
      </c>
      <c r="C223" s="4" t="s">
        <v>4284</v>
      </c>
      <c r="D223" s="4" t="s">
        <v>4285</v>
      </c>
      <c r="E223" s="4" t="s">
        <v>2063</v>
      </c>
      <c r="F223" s="4" t="n">
        <v>16</v>
      </c>
    </row>
    <row r="224" customFormat="false" ht="15" hidden="false" customHeight="false" outlineLevel="0" collapsed="false">
      <c r="A224" s="7" t="s">
        <v>2922</v>
      </c>
      <c r="B224" s="7" t="s">
        <v>2921</v>
      </c>
      <c r="C224" s="7" t="s">
        <v>4284</v>
      </c>
      <c r="D224" s="7" t="s">
        <v>4285</v>
      </c>
      <c r="E224" s="7" t="s">
        <v>2063</v>
      </c>
      <c r="F224" s="7" t="n">
        <v>12</v>
      </c>
    </row>
    <row r="225" customFormat="false" ht="15" hidden="false" customHeight="false" outlineLevel="0" collapsed="false">
      <c r="A225" s="4" t="s">
        <v>2923</v>
      </c>
      <c r="B225" s="4" t="s">
        <v>2924</v>
      </c>
      <c r="C225" s="4" t="s">
        <v>4286</v>
      </c>
      <c r="D225" s="4" t="s">
        <v>4287</v>
      </c>
      <c r="E225" s="4" t="s">
        <v>2063</v>
      </c>
      <c r="F225" s="4" t="n">
        <v>24</v>
      </c>
    </row>
    <row r="226" customFormat="false" ht="15" hidden="false" customHeight="false" outlineLevel="0" collapsed="false">
      <c r="A226" s="7" t="s">
        <v>2925</v>
      </c>
      <c r="B226" s="7" t="s">
        <v>2924</v>
      </c>
      <c r="C226" s="7" t="s">
        <v>4286</v>
      </c>
      <c r="D226" s="7" t="s">
        <v>4287</v>
      </c>
      <c r="E226" s="7" t="s">
        <v>2063</v>
      </c>
      <c r="F226" s="7" t="n">
        <v>24</v>
      </c>
    </row>
    <row r="227" customFormat="false" ht="15" hidden="false" customHeight="false" outlineLevel="0" collapsed="false">
      <c r="A227" s="4" t="s">
        <v>2926</v>
      </c>
      <c r="B227" s="4" t="s">
        <v>2927</v>
      </c>
      <c r="C227" s="4" t="s">
        <v>4284</v>
      </c>
      <c r="D227" s="4" t="s">
        <v>4285</v>
      </c>
      <c r="E227" s="4" t="s">
        <v>2063</v>
      </c>
      <c r="F227" s="4" t="n">
        <v>36</v>
      </c>
    </row>
    <row r="228" customFormat="false" ht="15" hidden="false" customHeight="false" outlineLevel="0" collapsed="false">
      <c r="A228" s="7" t="s">
        <v>2928</v>
      </c>
      <c r="B228" s="7" t="s">
        <v>2929</v>
      </c>
      <c r="C228" s="7" t="s">
        <v>4284</v>
      </c>
      <c r="D228" s="7" t="s">
        <v>4285</v>
      </c>
      <c r="E228" s="7" t="s">
        <v>2063</v>
      </c>
      <c r="F228" s="7" t="n">
        <v>48</v>
      </c>
    </row>
    <row r="229" customFormat="false" ht="15" hidden="false" customHeight="false" outlineLevel="0" collapsed="false">
      <c r="A229" s="4" t="s">
        <v>2930</v>
      </c>
      <c r="B229" s="4" t="s">
        <v>2929</v>
      </c>
      <c r="C229" s="4" t="s">
        <v>4284</v>
      </c>
      <c r="D229" s="4" t="s">
        <v>4285</v>
      </c>
      <c r="E229" s="4" t="s">
        <v>2063</v>
      </c>
      <c r="F229" s="4" t="n">
        <v>6</v>
      </c>
    </row>
    <row r="230" customFormat="false" ht="15" hidden="false" customHeight="false" outlineLevel="0" collapsed="false">
      <c r="A230" s="7" t="s">
        <v>2931</v>
      </c>
      <c r="B230" s="7" t="s">
        <v>2932</v>
      </c>
      <c r="C230" s="7" t="s">
        <v>4284</v>
      </c>
      <c r="D230" s="7" t="s">
        <v>4285</v>
      </c>
      <c r="E230" s="7" t="s">
        <v>2063</v>
      </c>
      <c r="F230" s="7" t="n">
        <v>96</v>
      </c>
    </row>
    <row r="231" customFormat="false" ht="15" hidden="false" customHeight="false" outlineLevel="0" collapsed="false">
      <c r="A231" s="4" t="s">
        <v>2933</v>
      </c>
      <c r="B231" s="4" t="s">
        <v>2934</v>
      </c>
      <c r="C231" s="4" t="s">
        <v>4278</v>
      </c>
      <c r="D231" s="4" t="s">
        <v>4279</v>
      </c>
      <c r="E231" s="4" t="s">
        <v>2063</v>
      </c>
      <c r="F231" s="4" t="n">
        <v>32</v>
      </c>
    </row>
    <row r="232" customFormat="false" ht="15" hidden="false" customHeight="false" outlineLevel="0" collapsed="false">
      <c r="A232" s="7" t="s">
        <v>2935</v>
      </c>
      <c r="B232" s="7" t="s">
        <v>2934</v>
      </c>
      <c r="C232" s="7" t="s">
        <v>4278</v>
      </c>
      <c r="D232" s="7" t="s">
        <v>4279</v>
      </c>
      <c r="E232" s="7" t="s">
        <v>2063</v>
      </c>
      <c r="F232" s="7" t="n">
        <v>32</v>
      </c>
    </row>
    <row r="233" customFormat="false" ht="15" hidden="false" customHeight="false" outlineLevel="0" collapsed="false">
      <c r="A233" s="4" t="s">
        <v>2936</v>
      </c>
      <c r="B233" s="4" t="s">
        <v>2937</v>
      </c>
      <c r="C233" s="4" t="s">
        <v>4278</v>
      </c>
      <c r="D233" s="4" t="s">
        <v>4279</v>
      </c>
      <c r="E233" s="4" t="s">
        <v>2063</v>
      </c>
      <c r="F233" s="4" t="n">
        <v>32</v>
      </c>
    </row>
    <row r="234" customFormat="false" ht="15" hidden="false" customHeight="false" outlineLevel="0" collapsed="false">
      <c r="A234" s="7" t="s">
        <v>2938</v>
      </c>
      <c r="B234" s="7" t="s">
        <v>2937</v>
      </c>
      <c r="C234" s="7" t="s">
        <v>4278</v>
      </c>
      <c r="D234" s="7" t="s">
        <v>4279</v>
      </c>
      <c r="E234" s="7" t="s">
        <v>2063</v>
      </c>
      <c r="F234" s="7" t="n">
        <v>40</v>
      </c>
    </row>
    <row r="235" customFormat="false" ht="15" hidden="false" customHeight="false" outlineLevel="0" collapsed="false">
      <c r="A235" s="4" t="s">
        <v>2939</v>
      </c>
      <c r="B235" s="4" t="s">
        <v>2940</v>
      </c>
      <c r="C235" s="4" t="s">
        <v>4284</v>
      </c>
      <c r="D235" s="4" t="s">
        <v>4285</v>
      </c>
      <c r="E235" s="4" t="s">
        <v>2063</v>
      </c>
      <c r="F235" s="4" t="n">
        <v>96</v>
      </c>
    </row>
    <row r="236" customFormat="false" ht="15" hidden="false" customHeight="false" outlineLevel="0" collapsed="false">
      <c r="A236" s="7" t="s">
        <v>2941</v>
      </c>
      <c r="B236" s="7" t="s">
        <v>2940</v>
      </c>
      <c r="C236" s="7" t="s">
        <v>4284</v>
      </c>
      <c r="D236" s="7" t="s">
        <v>4285</v>
      </c>
      <c r="E236" s="7" t="s">
        <v>2063</v>
      </c>
      <c r="F236" s="7" t="n">
        <v>112</v>
      </c>
    </row>
    <row r="237" customFormat="false" ht="15" hidden="false" customHeight="false" outlineLevel="0" collapsed="false">
      <c r="A237" s="4" t="s">
        <v>2942</v>
      </c>
      <c r="B237" s="4" t="s">
        <v>2943</v>
      </c>
      <c r="C237" s="4" t="s">
        <v>4284</v>
      </c>
      <c r="D237" s="4" t="s">
        <v>4285</v>
      </c>
      <c r="E237" s="4" t="s">
        <v>2063</v>
      </c>
      <c r="F237" s="4" t="n">
        <v>72</v>
      </c>
    </row>
    <row r="238" customFormat="false" ht="15" hidden="false" customHeight="false" outlineLevel="0" collapsed="false">
      <c r="A238" s="7" t="s">
        <v>2944</v>
      </c>
      <c r="B238" s="7" t="s">
        <v>2943</v>
      </c>
      <c r="C238" s="7" t="s">
        <v>4284</v>
      </c>
      <c r="D238" s="7" t="s">
        <v>4285</v>
      </c>
      <c r="E238" s="7" t="s">
        <v>2063</v>
      </c>
      <c r="F238" s="7" t="n">
        <v>36</v>
      </c>
    </row>
    <row r="239" customFormat="false" ht="15" hidden="false" customHeight="false" outlineLevel="0" collapsed="false">
      <c r="A239" s="4" t="s">
        <v>2945</v>
      </c>
      <c r="B239" s="4" t="s">
        <v>2946</v>
      </c>
      <c r="C239" s="4" t="s">
        <v>4286</v>
      </c>
      <c r="D239" s="4" t="s">
        <v>4287</v>
      </c>
      <c r="E239" s="4" t="s">
        <v>2063</v>
      </c>
      <c r="F239" s="4" t="n">
        <v>54</v>
      </c>
    </row>
    <row r="240" customFormat="false" ht="15" hidden="false" customHeight="false" outlineLevel="0" collapsed="false">
      <c r="A240" s="7" t="s">
        <v>2947</v>
      </c>
      <c r="B240" s="7" t="s">
        <v>2946</v>
      </c>
      <c r="C240" s="7" t="s">
        <v>4286</v>
      </c>
      <c r="D240" s="7" t="s">
        <v>4287</v>
      </c>
      <c r="E240" s="7" t="s">
        <v>2063</v>
      </c>
      <c r="F240" s="7" t="n">
        <v>16</v>
      </c>
    </row>
    <row r="241" customFormat="false" ht="15" hidden="false" customHeight="false" outlineLevel="0" collapsed="false">
      <c r="A241" s="4" t="s">
        <v>2948</v>
      </c>
      <c r="B241" s="4" t="s">
        <v>2949</v>
      </c>
      <c r="C241" s="4" t="s">
        <v>4286</v>
      </c>
      <c r="D241" s="4" t="s">
        <v>4287</v>
      </c>
      <c r="E241" s="4" t="s">
        <v>2063</v>
      </c>
      <c r="F241" s="4" t="n">
        <v>72</v>
      </c>
    </row>
    <row r="242" customFormat="false" ht="15" hidden="false" customHeight="false" outlineLevel="0" collapsed="false">
      <c r="A242" s="7" t="s">
        <v>2950</v>
      </c>
      <c r="B242" s="7" t="s">
        <v>2949</v>
      </c>
      <c r="C242" s="7" t="s">
        <v>4286</v>
      </c>
      <c r="D242" s="7" t="s">
        <v>4287</v>
      </c>
      <c r="E242" s="7" t="s">
        <v>2063</v>
      </c>
      <c r="F242" s="7" t="n">
        <v>32</v>
      </c>
    </row>
    <row r="243" customFormat="false" ht="15" hidden="false" customHeight="false" outlineLevel="0" collapsed="false">
      <c r="A243" s="4" t="s">
        <v>2951</v>
      </c>
      <c r="B243" s="4" t="s">
        <v>2952</v>
      </c>
      <c r="C243" s="4" t="s">
        <v>4286</v>
      </c>
      <c r="D243" s="4" t="s">
        <v>4287</v>
      </c>
      <c r="E243" s="4" t="s">
        <v>2063</v>
      </c>
      <c r="F243" s="4" t="n">
        <v>96</v>
      </c>
    </row>
    <row r="244" customFormat="false" ht="15" hidden="false" customHeight="false" outlineLevel="0" collapsed="false">
      <c r="A244" s="7" t="s">
        <v>2953</v>
      </c>
      <c r="B244" s="7" t="s">
        <v>2952</v>
      </c>
      <c r="C244" s="7" t="s">
        <v>4286</v>
      </c>
      <c r="D244" s="7" t="s">
        <v>4287</v>
      </c>
      <c r="E244" s="7" t="s">
        <v>2063</v>
      </c>
      <c r="F244" s="7" t="n">
        <v>48</v>
      </c>
    </row>
    <row r="245" customFormat="false" ht="15" hidden="false" customHeight="false" outlineLevel="0" collapsed="false">
      <c r="A245" s="4" t="s">
        <v>2954</v>
      </c>
      <c r="B245" s="4" t="s">
        <v>2955</v>
      </c>
      <c r="C245" s="4" t="s">
        <v>4286</v>
      </c>
      <c r="D245" s="4" t="s">
        <v>4287</v>
      </c>
      <c r="E245" s="4" t="s">
        <v>2063</v>
      </c>
      <c r="F245" s="4" t="n">
        <v>288</v>
      </c>
    </row>
    <row r="246" customFormat="false" ht="15" hidden="false" customHeight="false" outlineLevel="0" collapsed="false">
      <c r="A246" s="7" t="s">
        <v>2956</v>
      </c>
      <c r="B246" s="7" t="s">
        <v>2955</v>
      </c>
      <c r="C246" s="7" t="s">
        <v>4286</v>
      </c>
      <c r="D246" s="7" t="s">
        <v>4287</v>
      </c>
      <c r="E246" s="7" t="s">
        <v>2063</v>
      </c>
      <c r="F246" s="7" t="n">
        <v>144</v>
      </c>
    </row>
    <row r="247" customFormat="false" ht="15" hidden="false" customHeight="false" outlineLevel="0" collapsed="false">
      <c r="A247" s="4" t="s">
        <v>2957</v>
      </c>
      <c r="B247" s="4" t="s">
        <v>2958</v>
      </c>
      <c r="C247" s="4" t="s">
        <v>4286</v>
      </c>
      <c r="D247" s="4" t="s">
        <v>4287</v>
      </c>
      <c r="E247" s="4" t="s">
        <v>2063</v>
      </c>
      <c r="F247" s="4" t="n">
        <v>336</v>
      </c>
    </row>
    <row r="248" customFormat="false" ht="15" hidden="false" customHeight="false" outlineLevel="0" collapsed="false">
      <c r="A248" s="7" t="s">
        <v>2959</v>
      </c>
      <c r="B248" s="7" t="s">
        <v>2958</v>
      </c>
      <c r="C248" s="7" t="s">
        <v>4286</v>
      </c>
      <c r="D248" s="7" t="s">
        <v>4287</v>
      </c>
      <c r="E248" s="7" t="s">
        <v>2063</v>
      </c>
      <c r="F248" s="7" t="n">
        <v>192</v>
      </c>
    </row>
    <row r="249" customFormat="false" ht="15" hidden="false" customHeight="false" outlineLevel="0" collapsed="false">
      <c r="A249" s="4" t="s">
        <v>2960</v>
      </c>
      <c r="B249" s="4" t="s">
        <v>2961</v>
      </c>
      <c r="C249" s="4" t="s">
        <v>4286</v>
      </c>
      <c r="D249" s="4" t="s">
        <v>4287</v>
      </c>
      <c r="E249" s="4" t="s">
        <v>2063</v>
      </c>
      <c r="F249" s="4" t="n">
        <v>192</v>
      </c>
    </row>
    <row r="250" customFormat="false" ht="15" hidden="false" customHeight="false" outlineLevel="0" collapsed="false">
      <c r="A250" s="7" t="s">
        <v>2962</v>
      </c>
      <c r="B250" s="7" t="s">
        <v>2961</v>
      </c>
      <c r="C250" s="7" t="s">
        <v>4286</v>
      </c>
      <c r="D250" s="7" t="s">
        <v>4287</v>
      </c>
      <c r="E250" s="7" t="s">
        <v>2063</v>
      </c>
      <c r="F250" s="7" t="n">
        <v>288</v>
      </c>
    </row>
    <row r="251" customFormat="false" ht="15" hidden="false" customHeight="false" outlineLevel="0" collapsed="false">
      <c r="A251" s="4" t="s">
        <v>2963</v>
      </c>
      <c r="B251" s="4" t="s">
        <v>2964</v>
      </c>
      <c r="C251" s="4" t="s">
        <v>4278</v>
      </c>
      <c r="D251" s="4" t="s">
        <v>4279</v>
      </c>
      <c r="E251" s="4" t="s">
        <v>2063</v>
      </c>
      <c r="F251" s="4" t="n">
        <v>20</v>
      </c>
    </row>
    <row r="252" customFormat="false" ht="15" hidden="false" customHeight="false" outlineLevel="0" collapsed="false">
      <c r="A252" s="7" t="s">
        <v>2965</v>
      </c>
      <c r="B252" s="7" t="s">
        <v>2966</v>
      </c>
      <c r="C252" s="7" t="s">
        <v>4278</v>
      </c>
      <c r="D252" s="7" t="s">
        <v>4279</v>
      </c>
      <c r="E252" s="7" t="s">
        <v>2063</v>
      </c>
      <c r="F252" s="7" t="n">
        <v>32</v>
      </c>
    </row>
    <row r="253" customFormat="false" ht="15" hidden="false" customHeight="false" outlineLevel="0" collapsed="false">
      <c r="A253" s="4" t="s">
        <v>2967</v>
      </c>
      <c r="B253" s="4" t="s">
        <v>2966</v>
      </c>
      <c r="C253" s="4" t="s">
        <v>4278</v>
      </c>
      <c r="D253" s="4" t="s">
        <v>4279</v>
      </c>
      <c r="E253" s="4" t="s">
        <v>2063</v>
      </c>
      <c r="F253" s="4" t="n">
        <v>24</v>
      </c>
    </row>
    <row r="254" customFormat="false" ht="15" hidden="false" customHeight="false" outlineLevel="0" collapsed="false">
      <c r="A254" s="7" t="s">
        <v>2968</v>
      </c>
      <c r="B254" s="7" t="s">
        <v>2969</v>
      </c>
      <c r="C254" s="7" t="s">
        <v>4278</v>
      </c>
      <c r="D254" s="7" t="s">
        <v>4279</v>
      </c>
      <c r="E254" s="7" t="s">
        <v>2063</v>
      </c>
      <c r="F254" s="7" t="n">
        <v>6</v>
      </c>
    </row>
    <row r="255" customFormat="false" ht="15" hidden="false" customHeight="false" outlineLevel="0" collapsed="false">
      <c r="A255" s="4" t="s">
        <v>2970</v>
      </c>
      <c r="B255" s="4" t="s">
        <v>2969</v>
      </c>
      <c r="C255" s="4" t="s">
        <v>4278</v>
      </c>
      <c r="D255" s="4" t="s">
        <v>4279</v>
      </c>
      <c r="E255" s="4" t="s">
        <v>2063</v>
      </c>
      <c r="F255" s="4" t="n">
        <v>12</v>
      </c>
    </row>
    <row r="256" customFormat="false" ht="15" hidden="false" customHeight="false" outlineLevel="0" collapsed="false">
      <c r="A256" s="7" t="s">
        <v>2971</v>
      </c>
      <c r="B256" s="7" t="s">
        <v>2972</v>
      </c>
      <c r="C256" s="7" t="s">
        <v>4278</v>
      </c>
      <c r="D256" s="7" t="s">
        <v>4279</v>
      </c>
      <c r="E256" s="7" t="s">
        <v>2063</v>
      </c>
      <c r="F256" s="7" t="n">
        <v>96</v>
      </c>
    </row>
    <row r="257" customFormat="false" ht="15" hidden="false" customHeight="false" outlineLevel="0" collapsed="false">
      <c r="A257" s="4" t="s">
        <v>2973</v>
      </c>
      <c r="B257" s="4" t="s">
        <v>2972</v>
      </c>
      <c r="C257" s="4" t="s">
        <v>4278</v>
      </c>
      <c r="D257" s="4" t="s">
        <v>4279</v>
      </c>
      <c r="E257" s="4" t="s">
        <v>2063</v>
      </c>
      <c r="F257" s="4" t="n">
        <v>120</v>
      </c>
    </row>
    <row r="258" customFormat="false" ht="15" hidden="false" customHeight="false" outlineLevel="0" collapsed="false">
      <c r="A258" s="7" t="s">
        <v>2974</v>
      </c>
      <c r="B258" s="7" t="s">
        <v>2975</v>
      </c>
      <c r="C258" s="7" t="s">
        <v>4278</v>
      </c>
      <c r="D258" s="7" t="s">
        <v>4279</v>
      </c>
      <c r="E258" s="7" t="s">
        <v>2063</v>
      </c>
      <c r="F258" s="7" t="n">
        <v>16</v>
      </c>
    </row>
    <row r="259" customFormat="false" ht="15" hidden="false" customHeight="false" outlineLevel="0" collapsed="false">
      <c r="A259" s="4" t="s">
        <v>2976</v>
      </c>
      <c r="B259" s="4" t="s">
        <v>2975</v>
      </c>
      <c r="C259" s="4" t="s">
        <v>4278</v>
      </c>
      <c r="D259" s="4" t="s">
        <v>4279</v>
      </c>
      <c r="E259" s="4" t="s">
        <v>2063</v>
      </c>
      <c r="F259" s="4" t="n">
        <v>8</v>
      </c>
    </row>
    <row r="260" customFormat="false" ht="15" hidden="false" customHeight="false" outlineLevel="0" collapsed="false">
      <c r="A260" s="7" t="s">
        <v>2977</v>
      </c>
      <c r="B260" s="7" t="s">
        <v>2978</v>
      </c>
      <c r="C260" s="7" t="s">
        <v>4278</v>
      </c>
      <c r="D260" s="7" t="s">
        <v>4279</v>
      </c>
      <c r="E260" s="7" t="s">
        <v>2063</v>
      </c>
      <c r="F260" s="7" t="n">
        <v>16</v>
      </c>
    </row>
    <row r="261" customFormat="false" ht="15" hidden="false" customHeight="false" outlineLevel="0" collapsed="false">
      <c r="A261" s="4" t="s">
        <v>2979</v>
      </c>
      <c r="B261" s="4" t="s">
        <v>2978</v>
      </c>
      <c r="C261" s="4" t="s">
        <v>4278</v>
      </c>
      <c r="D261" s="4" t="s">
        <v>4279</v>
      </c>
      <c r="E261" s="4" t="s">
        <v>2063</v>
      </c>
      <c r="F261" s="4" t="n">
        <v>10</v>
      </c>
    </row>
    <row r="262" customFormat="false" ht="15" hidden="false" customHeight="false" outlineLevel="0" collapsed="false">
      <c r="A262" s="7" t="s">
        <v>2980</v>
      </c>
      <c r="B262" s="7" t="s">
        <v>2981</v>
      </c>
      <c r="C262" s="7" t="s">
        <v>4278</v>
      </c>
      <c r="D262" s="7" t="s">
        <v>4279</v>
      </c>
      <c r="E262" s="7" t="s">
        <v>2063</v>
      </c>
      <c r="F262" s="7" t="n">
        <v>16</v>
      </c>
    </row>
    <row r="263" customFormat="false" ht="15" hidden="false" customHeight="false" outlineLevel="0" collapsed="false">
      <c r="A263" s="4" t="s">
        <v>2982</v>
      </c>
      <c r="B263" s="4" t="s">
        <v>2981</v>
      </c>
      <c r="C263" s="4" t="s">
        <v>4278</v>
      </c>
      <c r="D263" s="4" t="s">
        <v>4279</v>
      </c>
      <c r="E263" s="4" t="s">
        <v>2063</v>
      </c>
      <c r="F263" s="4" t="n">
        <v>16</v>
      </c>
    </row>
    <row r="264" customFormat="false" ht="15" hidden="false" customHeight="false" outlineLevel="0" collapsed="false">
      <c r="A264" s="7" t="s">
        <v>2983</v>
      </c>
      <c r="B264" s="7" t="s">
        <v>2984</v>
      </c>
      <c r="C264" s="7" t="s">
        <v>4280</v>
      </c>
      <c r="D264" s="7" t="s">
        <v>4281</v>
      </c>
      <c r="E264" s="7" t="s">
        <v>2063</v>
      </c>
      <c r="F264" s="7" t="n">
        <v>6</v>
      </c>
    </row>
    <row r="265" customFormat="false" ht="15" hidden="false" customHeight="false" outlineLevel="0" collapsed="false">
      <c r="A265" s="4" t="s">
        <v>2985</v>
      </c>
      <c r="B265" s="4" t="s">
        <v>2984</v>
      </c>
      <c r="C265" s="4" t="s">
        <v>4280</v>
      </c>
      <c r="D265" s="4" t="s">
        <v>4281</v>
      </c>
      <c r="E265" s="4" t="s">
        <v>2063</v>
      </c>
      <c r="F265" s="4" t="n">
        <v>6</v>
      </c>
    </row>
    <row r="266" customFormat="false" ht="15" hidden="false" customHeight="false" outlineLevel="0" collapsed="false">
      <c r="A266" s="7" t="s">
        <v>2986</v>
      </c>
      <c r="B266" s="7" t="s">
        <v>2987</v>
      </c>
      <c r="C266" s="7" t="s">
        <v>4280</v>
      </c>
      <c r="D266" s="7" t="s">
        <v>4281</v>
      </c>
      <c r="E266" s="7" t="s">
        <v>2063</v>
      </c>
      <c r="F266" s="7" t="n">
        <v>6</v>
      </c>
    </row>
    <row r="267" customFormat="false" ht="15" hidden="false" customHeight="false" outlineLevel="0" collapsed="false">
      <c r="A267" s="4" t="s">
        <v>2988</v>
      </c>
      <c r="B267" s="4" t="s">
        <v>2987</v>
      </c>
      <c r="C267" s="4" t="s">
        <v>4280</v>
      </c>
      <c r="D267" s="4" t="s">
        <v>4281</v>
      </c>
      <c r="E267" s="4" t="s">
        <v>2063</v>
      </c>
      <c r="F267" s="4" t="n">
        <v>6</v>
      </c>
    </row>
    <row r="268" customFormat="false" ht="15" hidden="false" customHeight="false" outlineLevel="0" collapsed="false">
      <c r="A268" s="7" t="s">
        <v>2989</v>
      </c>
      <c r="B268" s="7" t="s">
        <v>2990</v>
      </c>
      <c r="C268" s="7" t="s">
        <v>4284</v>
      </c>
      <c r="D268" s="7" t="s">
        <v>4285</v>
      </c>
      <c r="E268" s="7" t="s">
        <v>2063</v>
      </c>
      <c r="F268" s="7" t="n">
        <v>16</v>
      </c>
    </row>
    <row r="269" customFormat="false" ht="15" hidden="false" customHeight="false" outlineLevel="0" collapsed="false">
      <c r="A269" s="4" t="s">
        <v>2991</v>
      </c>
      <c r="B269" s="4" t="s">
        <v>2990</v>
      </c>
      <c r="C269" s="4" t="s">
        <v>4284</v>
      </c>
      <c r="D269" s="4" t="s">
        <v>4285</v>
      </c>
      <c r="E269" s="4" t="s">
        <v>2063</v>
      </c>
      <c r="F269" s="4" t="n">
        <v>96</v>
      </c>
    </row>
    <row r="270" customFormat="false" ht="15" hidden="false" customHeight="false" outlineLevel="0" collapsed="false">
      <c r="A270" s="7" t="s">
        <v>2992</v>
      </c>
      <c r="B270" s="7" t="s">
        <v>2993</v>
      </c>
      <c r="C270" s="7" t="s">
        <v>4288</v>
      </c>
      <c r="D270" s="7" t="s">
        <v>4289</v>
      </c>
      <c r="E270" s="7" t="s">
        <v>2063</v>
      </c>
      <c r="F270" s="7" t="n">
        <v>8</v>
      </c>
    </row>
    <row r="271" customFormat="false" ht="15" hidden="false" customHeight="false" outlineLevel="0" collapsed="false">
      <c r="A271" s="4" t="s">
        <v>2994</v>
      </c>
      <c r="B271" s="4" t="s">
        <v>2993</v>
      </c>
      <c r="C271" s="4" t="s">
        <v>4288</v>
      </c>
      <c r="D271" s="4" t="s">
        <v>4289</v>
      </c>
      <c r="E271" s="4" t="s">
        <v>2063</v>
      </c>
      <c r="F271" s="4" t="n">
        <v>24</v>
      </c>
    </row>
    <row r="272" customFormat="false" ht="15" hidden="false" customHeight="false" outlineLevel="0" collapsed="false">
      <c r="A272" s="7" t="s">
        <v>2995</v>
      </c>
      <c r="B272" s="7" t="s">
        <v>2996</v>
      </c>
      <c r="C272" s="7" t="s">
        <v>4284</v>
      </c>
      <c r="D272" s="7" t="s">
        <v>4285</v>
      </c>
      <c r="E272" s="7" t="s">
        <v>2063</v>
      </c>
      <c r="F272" s="7" t="n">
        <v>24</v>
      </c>
    </row>
    <row r="273" customFormat="false" ht="15" hidden="false" customHeight="false" outlineLevel="0" collapsed="false">
      <c r="A273" s="4" t="s">
        <v>2997</v>
      </c>
      <c r="B273" s="4" t="s">
        <v>2996</v>
      </c>
      <c r="C273" s="4" t="s">
        <v>4284</v>
      </c>
      <c r="D273" s="4" t="s">
        <v>4285</v>
      </c>
      <c r="E273" s="4" t="s">
        <v>2063</v>
      </c>
      <c r="F273" s="4" t="n">
        <v>6</v>
      </c>
    </row>
    <row r="274" customFormat="false" ht="15" hidden="false" customHeight="false" outlineLevel="0" collapsed="false">
      <c r="A274" s="7" t="s">
        <v>2998</v>
      </c>
      <c r="B274" s="7" t="s">
        <v>2999</v>
      </c>
      <c r="C274" s="7" t="s">
        <v>4284</v>
      </c>
      <c r="D274" s="7" t="s">
        <v>4285</v>
      </c>
      <c r="E274" s="7" t="s">
        <v>2063</v>
      </c>
      <c r="F274" s="7" t="n">
        <v>376</v>
      </c>
    </row>
    <row r="275" customFormat="false" ht="15" hidden="false" customHeight="false" outlineLevel="0" collapsed="false">
      <c r="A275" s="4" t="s">
        <v>3000</v>
      </c>
      <c r="B275" s="4" t="s">
        <v>2999</v>
      </c>
      <c r="C275" s="4" t="s">
        <v>4284</v>
      </c>
      <c r="D275" s="4" t="s">
        <v>4285</v>
      </c>
      <c r="E275" s="4" t="s">
        <v>2063</v>
      </c>
      <c r="F275" s="4" t="n">
        <v>72</v>
      </c>
    </row>
    <row r="276" customFormat="false" ht="15" hidden="false" customHeight="false" outlineLevel="0" collapsed="false">
      <c r="A276" s="7" t="s">
        <v>3001</v>
      </c>
      <c r="B276" s="7" t="s">
        <v>3002</v>
      </c>
      <c r="C276" s="7" t="s">
        <v>4284</v>
      </c>
      <c r="D276" s="7" t="s">
        <v>4285</v>
      </c>
      <c r="E276" s="7" t="s">
        <v>2063</v>
      </c>
      <c r="F276" s="7" t="n">
        <v>36</v>
      </c>
    </row>
    <row r="277" customFormat="false" ht="15" hidden="false" customHeight="false" outlineLevel="0" collapsed="false">
      <c r="A277" s="4" t="s">
        <v>3003</v>
      </c>
      <c r="B277" s="4" t="s">
        <v>3002</v>
      </c>
      <c r="C277" s="4" t="s">
        <v>4284</v>
      </c>
      <c r="D277" s="4" t="s">
        <v>4285</v>
      </c>
      <c r="E277" s="4" t="s">
        <v>2063</v>
      </c>
      <c r="F277" s="4" t="n">
        <v>28</v>
      </c>
    </row>
    <row r="278" customFormat="false" ht="15" hidden="false" customHeight="false" outlineLevel="0" collapsed="false">
      <c r="A278" s="7" t="s">
        <v>3004</v>
      </c>
      <c r="B278" s="7" t="s">
        <v>3005</v>
      </c>
      <c r="C278" s="7" t="s">
        <v>4284</v>
      </c>
      <c r="D278" s="7" t="s">
        <v>4285</v>
      </c>
      <c r="E278" s="7" t="s">
        <v>2063</v>
      </c>
      <c r="F278" s="7" t="n">
        <v>48</v>
      </c>
    </row>
    <row r="279" customFormat="false" ht="15" hidden="false" customHeight="false" outlineLevel="0" collapsed="false">
      <c r="A279" s="4" t="s">
        <v>3006</v>
      </c>
      <c r="B279" s="4" t="s">
        <v>3005</v>
      </c>
      <c r="C279" s="4" t="s">
        <v>4284</v>
      </c>
      <c r="D279" s="4" t="s">
        <v>4285</v>
      </c>
      <c r="E279" s="4" t="s">
        <v>2063</v>
      </c>
      <c r="F279" s="4" t="n">
        <v>6</v>
      </c>
    </row>
    <row r="280" customFormat="false" ht="15" hidden="false" customHeight="false" outlineLevel="0" collapsed="false">
      <c r="A280" s="7" t="s">
        <v>3007</v>
      </c>
      <c r="B280" s="7" t="s">
        <v>3008</v>
      </c>
      <c r="C280" s="7" t="s">
        <v>4284</v>
      </c>
      <c r="D280" s="7" t="s">
        <v>4285</v>
      </c>
      <c r="E280" s="7" t="s">
        <v>2063</v>
      </c>
      <c r="F280" s="7" t="n">
        <v>8</v>
      </c>
    </row>
    <row r="281" customFormat="false" ht="15" hidden="false" customHeight="false" outlineLevel="0" collapsed="false">
      <c r="A281" s="4" t="s">
        <v>3009</v>
      </c>
      <c r="B281" s="4" t="s">
        <v>3010</v>
      </c>
      <c r="C281" s="4" t="s">
        <v>4284</v>
      </c>
      <c r="D281" s="4" t="s">
        <v>4285</v>
      </c>
      <c r="E281" s="4" t="s">
        <v>2063</v>
      </c>
      <c r="F281" s="4" t="n">
        <v>144</v>
      </c>
    </row>
    <row r="282" customFormat="false" ht="15" hidden="false" customHeight="false" outlineLevel="0" collapsed="false">
      <c r="A282" s="7" t="s">
        <v>3011</v>
      </c>
      <c r="B282" s="7" t="s">
        <v>3010</v>
      </c>
      <c r="C282" s="7" t="s">
        <v>4284</v>
      </c>
      <c r="D282" s="7" t="s">
        <v>4285</v>
      </c>
      <c r="E282" s="7" t="s">
        <v>2063</v>
      </c>
      <c r="F282" s="7" t="n">
        <v>8</v>
      </c>
    </row>
    <row r="283" customFormat="false" ht="15" hidden="false" customHeight="false" outlineLevel="0" collapsed="false">
      <c r="A283" s="4" t="s">
        <v>3012</v>
      </c>
      <c r="B283" s="4" t="s">
        <v>3013</v>
      </c>
      <c r="C283" s="4" t="s">
        <v>4288</v>
      </c>
      <c r="D283" s="4" t="s">
        <v>4289</v>
      </c>
      <c r="E283" s="4" t="s">
        <v>2063</v>
      </c>
      <c r="F283" s="4" t="n">
        <v>48</v>
      </c>
    </row>
    <row r="284" customFormat="false" ht="15" hidden="false" customHeight="false" outlineLevel="0" collapsed="false">
      <c r="A284" s="7" t="s">
        <v>3014</v>
      </c>
      <c r="B284" s="7" t="s">
        <v>3015</v>
      </c>
      <c r="C284" s="7" t="s">
        <v>4284</v>
      </c>
      <c r="D284" s="7" t="s">
        <v>4285</v>
      </c>
      <c r="E284" s="7" t="s">
        <v>2063</v>
      </c>
      <c r="F284" s="7" t="n">
        <v>576</v>
      </c>
    </row>
    <row r="285" customFormat="false" ht="15" hidden="false" customHeight="false" outlineLevel="0" collapsed="false">
      <c r="A285" s="4" t="s">
        <v>3016</v>
      </c>
      <c r="B285" s="4" t="s">
        <v>3015</v>
      </c>
      <c r="C285" s="4" t="s">
        <v>4284</v>
      </c>
      <c r="D285" s="4" t="s">
        <v>4285</v>
      </c>
      <c r="E285" s="4" t="s">
        <v>2063</v>
      </c>
      <c r="F285" s="4" t="n">
        <v>96</v>
      </c>
    </row>
    <row r="286" customFormat="false" ht="15" hidden="false" customHeight="false" outlineLevel="0" collapsed="false">
      <c r="A286" s="7" t="s">
        <v>3017</v>
      </c>
      <c r="B286" s="7" t="s">
        <v>3018</v>
      </c>
      <c r="C286" s="7" t="s">
        <v>4284</v>
      </c>
      <c r="D286" s="7" t="s">
        <v>4285</v>
      </c>
      <c r="E286" s="7" t="s">
        <v>2063</v>
      </c>
      <c r="F286" s="7" t="n">
        <v>192</v>
      </c>
    </row>
    <row r="287" customFormat="false" ht="15" hidden="false" customHeight="false" outlineLevel="0" collapsed="false">
      <c r="A287" s="4" t="s">
        <v>3019</v>
      </c>
      <c r="B287" s="4" t="s">
        <v>3018</v>
      </c>
      <c r="C287" s="4" t="s">
        <v>4284</v>
      </c>
      <c r="D287" s="4" t="s">
        <v>4285</v>
      </c>
      <c r="E287" s="4" t="s">
        <v>2063</v>
      </c>
      <c r="F287" s="4" t="n">
        <v>36</v>
      </c>
    </row>
    <row r="288" customFormat="false" ht="15" hidden="false" customHeight="false" outlineLevel="0" collapsed="false">
      <c r="A288" s="7" t="s">
        <v>3020</v>
      </c>
      <c r="B288" s="7" t="s">
        <v>3021</v>
      </c>
      <c r="C288" s="7" t="s">
        <v>4284</v>
      </c>
      <c r="D288" s="7" t="s">
        <v>4285</v>
      </c>
      <c r="E288" s="7" t="s">
        <v>2063</v>
      </c>
      <c r="F288" s="7" t="n">
        <v>24</v>
      </c>
    </row>
    <row r="289" customFormat="false" ht="15" hidden="false" customHeight="false" outlineLevel="0" collapsed="false">
      <c r="A289" s="4" t="s">
        <v>3022</v>
      </c>
      <c r="B289" s="4" t="s">
        <v>3023</v>
      </c>
      <c r="C289" s="4" t="s">
        <v>4284</v>
      </c>
      <c r="D289" s="4" t="s">
        <v>4285</v>
      </c>
      <c r="E289" s="4" t="s">
        <v>2063</v>
      </c>
      <c r="F289" s="4" t="n">
        <v>10</v>
      </c>
    </row>
    <row r="290" customFormat="false" ht="15" hidden="false" customHeight="false" outlineLevel="0" collapsed="false">
      <c r="A290" s="7" t="s">
        <v>3024</v>
      </c>
      <c r="B290" s="7" t="s">
        <v>3025</v>
      </c>
      <c r="C290" s="7" t="s">
        <v>4284</v>
      </c>
      <c r="D290" s="7" t="s">
        <v>4285</v>
      </c>
      <c r="E290" s="7" t="s">
        <v>2063</v>
      </c>
      <c r="F290" s="7" t="n">
        <v>72</v>
      </c>
    </row>
    <row r="291" customFormat="false" ht="15" hidden="false" customHeight="false" outlineLevel="0" collapsed="false">
      <c r="A291" s="4" t="s">
        <v>3026</v>
      </c>
      <c r="B291" s="4" t="s">
        <v>3027</v>
      </c>
      <c r="C291" s="4" t="s">
        <v>4284</v>
      </c>
      <c r="D291" s="4" t="s">
        <v>4285</v>
      </c>
      <c r="E291" s="4" t="s">
        <v>2063</v>
      </c>
      <c r="F291" s="4" t="n">
        <v>40</v>
      </c>
    </row>
    <row r="292" customFormat="false" ht="15" hidden="false" customHeight="false" outlineLevel="0" collapsed="false">
      <c r="A292" s="7" t="s">
        <v>3028</v>
      </c>
      <c r="B292" s="7" t="s">
        <v>3029</v>
      </c>
      <c r="C292" s="7" t="s">
        <v>4284</v>
      </c>
      <c r="D292" s="7" t="s">
        <v>4285</v>
      </c>
      <c r="E292" s="7" t="s">
        <v>2063</v>
      </c>
      <c r="F292" s="7" t="n">
        <v>72</v>
      </c>
    </row>
    <row r="293" customFormat="false" ht="15" hidden="false" customHeight="false" outlineLevel="0" collapsed="false">
      <c r="A293" s="4" t="s">
        <v>3030</v>
      </c>
      <c r="B293" s="4" t="s">
        <v>3031</v>
      </c>
      <c r="C293" s="4" t="s">
        <v>4284</v>
      </c>
      <c r="D293" s="4" t="s">
        <v>4285</v>
      </c>
      <c r="E293" s="4" t="s">
        <v>2063</v>
      </c>
      <c r="F293" s="4" t="n">
        <v>20</v>
      </c>
    </row>
    <row r="294" customFormat="false" ht="15" hidden="false" customHeight="false" outlineLevel="0" collapsed="false">
      <c r="A294" s="7" t="s">
        <v>3032</v>
      </c>
      <c r="B294" s="7" t="s">
        <v>3033</v>
      </c>
      <c r="C294" s="7" t="s">
        <v>4284</v>
      </c>
      <c r="D294" s="7" t="s">
        <v>4285</v>
      </c>
      <c r="E294" s="7" t="s">
        <v>2063</v>
      </c>
      <c r="F294" s="7" t="n">
        <v>172</v>
      </c>
    </row>
    <row r="295" customFormat="false" ht="15" hidden="false" customHeight="false" outlineLevel="0" collapsed="false">
      <c r="A295" s="4" t="s">
        <v>3034</v>
      </c>
      <c r="B295" s="4" t="s">
        <v>3035</v>
      </c>
      <c r="C295" s="4" t="s">
        <v>4284</v>
      </c>
      <c r="D295" s="4" t="s">
        <v>4285</v>
      </c>
      <c r="E295" s="4" t="s">
        <v>2063</v>
      </c>
      <c r="F295" s="4" t="n">
        <v>172</v>
      </c>
    </row>
    <row r="296" customFormat="false" ht="15" hidden="false" customHeight="false" outlineLevel="0" collapsed="false">
      <c r="A296" s="7" t="s">
        <v>3036</v>
      </c>
      <c r="B296" s="7" t="s">
        <v>3037</v>
      </c>
      <c r="C296" s="7" t="s">
        <v>4288</v>
      </c>
      <c r="D296" s="7" t="s">
        <v>4289</v>
      </c>
      <c r="E296" s="7" t="s">
        <v>2063</v>
      </c>
      <c r="F296" s="7" t="n">
        <v>36</v>
      </c>
    </row>
    <row r="297" customFormat="false" ht="15" hidden="false" customHeight="false" outlineLevel="0" collapsed="false">
      <c r="A297" s="4" t="s">
        <v>3038</v>
      </c>
      <c r="B297" s="4" t="s">
        <v>3037</v>
      </c>
      <c r="C297" s="4" t="s">
        <v>4288</v>
      </c>
      <c r="D297" s="4" t="s">
        <v>4289</v>
      </c>
      <c r="E297" s="4" t="s">
        <v>2063</v>
      </c>
      <c r="F297" s="4" t="n">
        <v>4</v>
      </c>
    </row>
    <row r="298" customFormat="false" ht="15" hidden="false" customHeight="false" outlineLevel="0" collapsed="false">
      <c r="A298" s="7" t="s">
        <v>3039</v>
      </c>
      <c r="B298" s="7" t="s">
        <v>3040</v>
      </c>
      <c r="C298" s="7" t="s">
        <v>4288</v>
      </c>
      <c r="D298" s="7" t="s">
        <v>4289</v>
      </c>
      <c r="E298" s="7" t="s">
        <v>2063</v>
      </c>
      <c r="F298" s="7" t="n">
        <v>24</v>
      </c>
    </row>
    <row r="299" customFormat="false" ht="15" hidden="false" customHeight="false" outlineLevel="0" collapsed="false">
      <c r="A299" s="4" t="s">
        <v>3041</v>
      </c>
      <c r="B299" s="4" t="s">
        <v>3042</v>
      </c>
      <c r="C299" s="4" t="s">
        <v>4284</v>
      </c>
      <c r="D299" s="4" t="s">
        <v>4285</v>
      </c>
      <c r="E299" s="4" t="s">
        <v>2063</v>
      </c>
      <c r="F299" s="4" t="n">
        <v>192</v>
      </c>
    </row>
    <row r="300" customFormat="false" ht="15" hidden="false" customHeight="false" outlineLevel="0" collapsed="false">
      <c r="A300" s="7" t="s">
        <v>3043</v>
      </c>
      <c r="B300" s="7" t="s">
        <v>3042</v>
      </c>
      <c r="C300" s="7" t="s">
        <v>4284</v>
      </c>
      <c r="D300" s="7" t="s">
        <v>4285</v>
      </c>
      <c r="E300" s="7" t="s">
        <v>2063</v>
      </c>
      <c r="F300" s="7" t="n">
        <v>96</v>
      </c>
    </row>
    <row r="301" customFormat="false" ht="15" hidden="false" customHeight="false" outlineLevel="0" collapsed="false">
      <c r="A301" s="4" t="s">
        <v>3044</v>
      </c>
      <c r="B301" s="4" t="s">
        <v>3045</v>
      </c>
      <c r="C301" s="4" t="s">
        <v>4284</v>
      </c>
      <c r="D301" s="4" t="s">
        <v>4285</v>
      </c>
      <c r="E301" s="4" t="s">
        <v>2063</v>
      </c>
      <c r="F301" s="4" t="n">
        <v>72</v>
      </c>
    </row>
    <row r="302" customFormat="false" ht="15" hidden="false" customHeight="false" outlineLevel="0" collapsed="false">
      <c r="A302" s="7" t="s">
        <v>3046</v>
      </c>
      <c r="B302" s="7" t="s">
        <v>3045</v>
      </c>
      <c r="C302" s="7" t="s">
        <v>4284</v>
      </c>
      <c r="D302" s="7" t="s">
        <v>4285</v>
      </c>
      <c r="E302" s="7" t="s">
        <v>2063</v>
      </c>
      <c r="F302" s="7" t="n">
        <v>72</v>
      </c>
    </row>
    <row r="303" customFormat="false" ht="15" hidden="false" customHeight="false" outlineLevel="0" collapsed="false">
      <c r="A303" s="4" t="s">
        <v>3047</v>
      </c>
      <c r="B303" s="4" t="s">
        <v>3048</v>
      </c>
      <c r="C303" s="4" t="s">
        <v>4284</v>
      </c>
      <c r="D303" s="4" t="s">
        <v>4285</v>
      </c>
      <c r="E303" s="4" t="s">
        <v>2063</v>
      </c>
      <c r="F303" s="4" t="n">
        <v>24</v>
      </c>
    </row>
    <row r="304" customFormat="false" ht="15" hidden="false" customHeight="false" outlineLevel="0" collapsed="false">
      <c r="A304" s="7" t="s">
        <v>3049</v>
      </c>
      <c r="B304" s="7" t="s">
        <v>3048</v>
      </c>
      <c r="C304" s="7" t="s">
        <v>4284</v>
      </c>
      <c r="D304" s="7" t="s">
        <v>4285</v>
      </c>
      <c r="E304" s="7" t="s">
        <v>2063</v>
      </c>
      <c r="F304" s="7" t="n">
        <v>64</v>
      </c>
    </row>
    <row r="305" customFormat="false" ht="15" hidden="false" customHeight="false" outlineLevel="0" collapsed="false">
      <c r="A305" s="4" t="s">
        <v>3050</v>
      </c>
      <c r="B305" s="4" t="s">
        <v>3051</v>
      </c>
      <c r="C305" s="4" t="s">
        <v>4284</v>
      </c>
      <c r="D305" s="4" t="s">
        <v>4285</v>
      </c>
      <c r="E305" s="4" t="s">
        <v>2063</v>
      </c>
      <c r="F305" s="4" t="n">
        <v>24</v>
      </c>
    </row>
    <row r="306" customFormat="false" ht="15" hidden="false" customHeight="false" outlineLevel="0" collapsed="false">
      <c r="A306" s="7" t="s">
        <v>3052</v>
      </c>
      <c r="B306" s="7" t="s">
        <v>3051</v>
      </c>
      <c r="C306" s="7" t="s">
        <v>4284</v>
      </c>
      <c r="D306" s="7" t="s">
        <v>4285</v>
      </c>
      <c r="E306" s="7" t="s">
        <v>2063</v>
      </c>
      <c r="F306" s="7" t="n">
        <v>72</v>
      </c>
    </row>
    <row r="307" customFormat="false" ht="15" hidden="false" customHeight="false" outlineLevel="0" collapsed="false">
      <c r="A307" s="4" t="s">
        <v>3053</v>
      </c>
      <c r="B307" s="4" t="s">
        <v>3054</v>
      </c>
      <c r="C307" s="4" t="s">
        <v>4284</v>
      </c>
      <c r="D307" s="4" t="s">
        <v>4285</v>
      </c>
      <c r="E307" s="4" t="s">
        <v>2063</v>
      </c>
      <c r="F307" s="4" t="n">
        <v>16</v>
      </c>
    </row>
    <row r="308" customFormat="false" ht="15" hidden="false" customHeight="false" outlineLevel="0" collapsed="false">
      <c r="A308" s="7" t="s">
        <v>3055</v>
      </c>
      <c r="B308" s="7" t="s">
        <v>3056</v>
      </c>
      <c r="C308" s="7" t="s">
        <v>4284</v>
      </c>
      <c r="D308" s="7" t="s">
        <v>4285</v>
      </c>
      <c r="E308" s="7" t="s">
        <v>2063</v>
      </c>
      <c r="F308" s="7" t="n">
        <v>12</v>
      </c>
    </row>
    <row r="309" customFormat="false" ht="15" hidden="false" customHeight="false" outlineLevel="0" collapsed="false">
      <c r="A309" s="4" t="s">
        <v>3057</v>
      </c>
      <c r="B309" s="4" t="s">
        <v>3058</v>
      </c>
      <c r="C309" s="4" t="s">
        <v>4278</v>
      </c>
      <c r="D309" s="4" t="s">
        <v>4279</v>
      </c>
      <c r="E309" s="4" t="s">
        <v>2063</v>
      </c>
      <c r="F309" s="4" t="n">
        <v>880</v>
      </c>
    </row>
    <row r="310" customFormat="false" ht="15" hidden="false" customHeight="false" outlineLevel="0" collapsed="false">
      <c r="A310" s="7" t="s">
        <v>3059</v>
      </c>
      <c r="B310" s="7" t="s">
        <v>3058</v>
      </c>
      <c r="C310" s="7" t="s">
        <v>4278</v>
      </c>
      <c r="D310" s="7" t="s">
        <v>4279</v>
      </c>
      <c r="E310" s="7" t="s">
        <v>2063</v>
      </c>
      <c r="F310" s="7" t="n">
        <v>288</v>
      </c>
    </row>
    <row r="311" customFormat="false" ht="15" hidden="false" customHeight="false" outlineLevel="0" collapsed="false">
      <c r="A311" s="4" t="s">
        <v>3060</v>
      </c>
      <c r="B311" s="4" t="s">
        <v>3061</v>
      </c>
      <c r="C311" s="4" t="s">
        <v>4278</v>
      </c>
      <c r="D311" s="4" t="s">
        <v>4279</v>
      </c>
      <c r="E311" s="4" t="s">
        <v>2063</v>
      </c>
      <c r="F311" s="4" t="n">
        <v>172</v>
      </c>
    </row>
    <row r="312" customFormat="false" ht="15" hidden="false" customHeight="false" outlineLevel="0" collapsed="false">
      <c r="A312" s="7" t="s">
        <v>3062</v>
      </c>
      <c r="B312" s="7" t="s">
        <v>3061</v>
      </c>
      <c r="C312" s="7" t="s">
        <v>4278</v>
      </c>
      <c r="D312" s="7" t="s">
        <v>4279</v>
      </c>
      <c r="E312" s="7" t="s">
        <v>2063</v>
      </c>
      <c r="F312" s="7" t="n">
        <v>36</v>
      </c>
    </row>
    <row r="313" customFormat="false" ht="15" hidden="false" customHeight="false" outlineLevel="0" collapsed="false">
      <c r="A313" s="4" t="s">
        <v>3063</v>
      </c>
      <c r="B313" s="4" t="s">
        <v>3061</v>
      </c>
      <c r="C313" s="4" t="s">
        <v>4282</v>
      </c>
      <c r="D313" s="4" t="s">
        <v>4283</v>
      </c>
      <c r="E313" s="4" t="s">
        <v>2063</v>
      </c>
      <c r="F313" s="4" t="n">
        <v>12</v>
      </c>
    </row>
    <row r="314" customFormat="false" ht="15" hidden="false" customHeight="false" outlineLevel="0" collapsed="false">
      <c r="A314" s="7" t="s">
        <v>3064</v>
      </c>
      <c r="B314" s="7" t="s">
        <v>3065</v>
      </c>
      <c r="C314" s="7" t="s">
        <v>4278</v>
      </c>
      <c r="D314" s="7" t="s">
        <v>4279</v>
      </c>
      <c r="E314" s="7" t="s">
        <v>2063</v>
      </c>
      <c r="F314" s="7" t="n">
        <v>4</v>
      </c>
    </row>
    <row r="315" customFormat="false" ht="15" hidden="false" customHeight="false" outlineLevel="0" collapsed="false">
      <c r="A315" s="4" t="s">
        <v>3066</v>
      </c>
      <c r="B315" s="4" t="s">
        <v>3067</v>
      </c>
      <c r="C315" s="4" t="s">
        <v>4278</v>
      </c>
      <c r="D315" s="4" t="s">
        <v>4279</v>
      </c>
      <c r="E315" s="4" t="s">
        <v>2063</v>
      </c>
      <c r="F315" s="4" t="n">
        <v>48</v>
      </c>
    </row>
    <row r="316" customFormat="false" ht="15" hidden="false" customHeight="false" outlineLevel="0" collapsed="false">
      <c r="A316" s="7" t="s">
        <v>3068</v>
      </c>
      <c r="B316" s="7" t="s">
        <v>3069</v>
      </c>
      <c r="C316" s="7" t="s">
        <v>4278</v>
      </c>
      <c r="D316" s="7" t="s">
        <v>4279</v>
      </c>
      <c r="E316" s="7" t="s">
        <v>2063</v>
      </c>
      <c r="F316" s="7" t="n">
        <v>96</v>
      </c>
    </row>
    <row r="317" customFormat="false" ht="15" hidden="false" customHeight="false" outlineLevel="0" collapsed="false">
      <c r="A317" s="4" t="s">
        <v>3070</v>
      </c>
      <c r="B317" s="4" t="s">
        <v>3071</v>
      </c>
      <c r="C317" s="4" t="s">
        <v>4278</v>
      </c>
      <c r="D317" s="4" t="s">
        <v>4279</v>
      </c>
      <c r="E317" s="4" t="s">
        <v>2063</v>
      </c>
      <c r="F317" s="4" t="n">
        <v>72</v>
      </c>
    </row>
    <row r="318" customFormat="false" ht="15" hidden="false" customHeight="false" outlineLevel="0" collapsed="false">
      <c r="A318" s="7" t="s">
        <v>3072</v>
      </c>
      <c r="B318" s="7" t="s">
        <v>3071</v>
      </c>
      <c r="C318" s="7" t="s">
        <v>4278</v>
      </c>
      <c r="D318" s="7" t="s">
        <v>4279</v>
      </c>
      <c r="E318" s="7" t="s">
        <v>2063</v>
      </c>
      <c r="F318" s="7" t="n">
        <v>144</v>
      </c>
    </row>
    <row r="319" customFormat="false" ht="15" hidden="false" customHeight="false" outlineLevel="0" collapsed="false">
      <c r="A319" s="4" t="s">
        <v>3073</v>
      </c>
      <c r="B319" s="4" t="s">
        <v>3074</v>
      </c>
      <c r="C319" s="4" t="s">
        <v>4278</v>
      </c>
      <c r="D319" s="4" t="s">
        <v>4279</v>
      </c>
      <c r="E319" s="4" t="s">
        <v>2063</v>
      </c>
      <c r="F319" s="4" t="n">
        <v>96</v>
      </c>
    </row>
    <row r="320" customFormat="false" ht="15" hidden="false" customHeight="false" outlineLevel="0" collapsed="false">
      <c r="A320" s="7" t="s">
        <v>3075</v>
      </c>
      <c r="B320" s="7" t="s">
        <v>3074</v>
      </c>
      <c r="C320" s="7" t="s">
        <v>4278</v>
      </c>
      <c r="D320" s="7" t="s">
        <v>4279</v>
      </c>
      <c r="E320" s="7" t="s">
        <v>2063</v>
      </c>
      <c r="F320" s="7" t="n">
        <v>64</v>
      </c>
    </row>
    <row r="321" customFormat="false" ht="15" hidden="false" customHeight="false" outlineLevel="0" collapsed="false">
      <c r="A321" s="4" t="s">
        <v>3076</v>
      </c>
      <c r="B321" s="4" t="s">
        <v>3077</v>
      </c>
      <c r="C321" s="4" t="s">
        <v>4282</v>
      </c>
      <c r="D321" s="4" t="s">
        <v>4283</v>
      </c>
      <c r="E321" s="4" t="s">
        <v>2063</v>
      </c>
      <c r="F321" s="4" t="n">
        <v>16</v>
      </c>
    </row>
    <row r="322" customFormat="false" ht="15" hidden="false" customHeight="false" outlineLevel="0" collapsed="false">
      <c r="A322" s="7" t="s">
        <v>3078</v>
      </c>
      <c r="B322" s="7" t="s">
        <v>3079</v>
      </c>
      <c r="C322" s="7" t="s">
        <v>4278</v>
      </c>
      <c r="D322" s="7" t="s">
        <v>4279</v>
      </c>
      <c r="E322" s="7" t="s">
        <v>2063</v>
      </c>
      <c r="F322" s="7" t="n">
        <v>144</v>
      </c>
    </row>
    <row r="323" customFormat="false" ht="15" hidden="false" customHeight="false" outlineLevel="0" collapsed="false">
      <c r="A323" s="4" t="s">
        <v>3080</v>
      </c>
      <c r="B323" s="4" t="s">
        <v>3079</v>
      </c>
      <c r="C323" s="4" t="s">
        <v>4278</v>
      </c>
      <c r="D323" s="4" t="s">
        <v>4279</v>
      </c>
      <c r="E323" s="4" t="s">
        <v>2063</v>
      </c>
      <c r="F323" s="4" t="n">
        <v>216</v>
      </c>
    </row>
    <row r="324" customFormat="false" ht="15" hidden="false" customHeight="false" outlineLevel="0" collapsed="false">
      <c r="A324" s="7" t="s">
        <v>3081</v>
      </c>
      <c r="B324" s="7" t="s">
        <v>3082</v>
      </c>
      <c r="C324" s="7" t="s">
        <v>4284</v>
      </c>
      <c r="D324" s="7" t="s">
        <v>4285</v>
      </c>
      <c r="E324" s="7" t="s">
        <v>2063</v>
      </c>
      <c r="F324" s="7" t="n">
        <v>72</v>
      </c>
    </row>
    <row r="325" customFormat="false" ht="15" hidden="false" customHeight="false" outlineLevel="0" collapsed="false">
      <c r="A325" s="4" t="s">
        <v>3083</v>
      </c>
      <c r="B325" s="4" t="s">
        <v>3084</v>
      </c>
      <c r="C325" s="4" t="s">
        <v>4284</v>
      </c>
      <c r="D325" s="4" t="s">
        <v>4285</v>
      </c>
      <c r="E325" s="4" t="s">
        <v>2063</v>
      </c>
      <c r="F325" s="4" t="n">
        <v>6</v>
      </c>
    </row>
    <row r="326" customFormat="false" ht="15" hidden="false" customHeight="false" outlineLevel="0" collapsed="false">
      <c r="A326" s="7" t="s">
        <v>3085</v>
      </c>
      <c r="B326" s="7" t="s">
        <v>3086</v>
      </c>
      <c r="C326" s="7" t="s">
        <v>4284</v>
      </c>
      <c r="D326" s="7" t="s">
        <v>4285</v>
      </c>
      <c r="E326" s="7" t="s">
        <v>2063</v>
      </c>
      <c r="F326" s="7" t="n">
        <v>20</v>
      </c>
    </row>
    <row r="327" customFormat="false" ht="15" hidden="false" customHeight="false" outlineLevel="0" collapsed="false">
      <c r="A327" s="4" t="s">
        <v>3087</v>
      </c>
      <c r="B327" s="4" t="s">
        <v>3086</v>
      </c>
      <c r="C327" s="4" t="s">
        <v>4284</v>
      </c>
      <c r="D327" s="4" t="s">
        <v>4285</v>
      </c>
      <c r="E327" s="4" t="s">
        <v>2063</v>
      </c>
      <c r="F327" s="4" t="n">
        <v>36</v>
      </c>
    </row>
    <row r="328" customFormat="false" ht="15" hidden="false" customHeight="false" outlineLevel="0" collapsed="false">
      <c r="A328" s="7" t="s">
        <v>3088</v>
      </c>
      <c r="B328" s="7" t="s">
        <v>3089</v>
      </c>
      <c r="C328" s="7" t="s">
        <v>4284</v>
      </c>
      <c r="D328" s="7" t="s">
        <v>4285</v>
      </c>
      <c r="E328" s="7" t="s">
        <v>2063</v>
      </c>
      <c r="F328" s="7" t="n">
        <v>48</v>
      </c>
    </row>
    <row r="329" customFormat="false" ht="15" hidden="false" customHeight="false" outlineLevel="0" collapsed="false">
      <c r="A329" s="4" t="s">
        <v>3090</v>
      </c>
      <c r="B329" s="4" t="s">
        <v>3091</v>
      </c>
      <c r="C329" s="4" t="s">
        <v>4284</v>
      </c>
      <c r="D329" s="4" t="s">
        <v>4285</v>
      </c>
      <c r="E329" s="4" t="s">
        <v>2063</v>
      </c>
      <c r="F329" s="4" t="n">
        <v>24</v>
      </c>
    </row>
    <row r="330" customFormat="false" ht="15" hidden="false" customHeight="false" outlineLevel="0" collapsed="false">
      <c r="A330" s="7" t="s">
        <v>3092</v>
      </c>
      <c r="B330" s="7" t="s">
        <v>3093</v>
      </c>
      <c r="C330" s="7" t="s">
        <v>4282</v>
      </c>
      <c r="D330" s="7" t="s">
        <v>4283</v>
      </c>
      <c r="E330" s="7" t="s">
        <v>2063</v>
      </c>
      <c r="F330" s="7" t="n">
        <v>16</v>
      </c>
    </row>
    <row r="331" customFormat="false" ht="15" hidden="false" customHeight="false" outlineLevel="0" collapsed="false">
      <c r="A331" s="4" t="s">
        <v>3094</v>
      </c>
      <c r="B331" s="4" t="s">
        <v>3095</v>
      </c>
      <c r="C331" s="4" t="s">
        <v>4284</v>
      </c>
      <c r="D331" s="4" t="s">
        <v>4285</v>
      </c>
      <c r="E331" s="4" t="s">
        <v>2063</v>
      </c>
      <c r="F331" s="4" t="n">
        <v>144</v>
      </c>
    </row>
    <row r="332" customFormat="false" ht="15" hidden="false" customHeight="false" outlineLevel="0" collapsed="false">
      <c r="A332" s="7" t="s">
        <v>3096</v>
      </c>
      <c r="B332" s="7" t="s">
        <v>3095</v>
      </c>
      <c r="C332" s="7" t="s">
        <v>4284</v>
      </c>
      <c r="D332" s="7" t="s">
        <v>4285</v>
      </c>
      <c r="E332" s="7" t="s">
        <v>2063</v>
      </c>
      <c r="F332" s="7" t="n">
        <v>120</v>
      </c>
    </row>
    <row r="333" customFormat="false" ht="15" hidden="false" customHeight="false" outlineLevel="0" collapsed="false">
      <c r="A333" s="4" t="s">
        <v>3097</v>
      </c>
      <c r="B333" s="4" t="s">
        <v>3098</v>
      </c>
      <c r="C333" s="4" t="s">
        <v>4288</v>
      </c>
      <c r="D333" s="4" t="s">
        <v>4289</v>
      </c>
      <c r="E333" s="4" t="s">
        <v>2063</v>
      </c>
      <c r="F333" s="4" t="n">
        <v>192</v>
      </c>
    </row>
    <row r="334" customFormat="false" ht="15" hidden="false" customHeight="false" outlineLevel="0" collapsed="false">
      <c r="A334" s="7" t="s">
        <v>3099</v>
      </c>
      <c r="B334" s="7" t="s">
        <v>3100</v>
      </c>
      <c r="C334" s="7" t="s">
        <v>4288</v>
      </c>
      <c r="D334" s="7" t="s">
        <v>4289</v>
      </c>
      <c r="E334" s="7" t="s">
        <v>2063</v>
      </c>
      <c r="F334" s="7" t="n">
        <v>72</v>
      </c>
    </row>
    <row r="335" customFormat="false" ht="15" hidden="false" customHeight="false" outlineLevel="0" collapsed="false">
      <c r="A335" s="4" t="s">
        <v>3101</v>
      </c>
      <c r="B335" s="4" t="s">
        <v>3102</v>
      </c>
      <c r="C335" s="4" t="s">
        <v>4288</v>
      </c>
      <c r="D335" s="4" t="s">
        <v>4289</v>
      </c>
      <c r="E335" s="4" t="s">
        <v>2063</v>
      </c>
      <c r="F335" s="4" t="n">
        <v>96</v>
      </c>
    </row>
    <row r="336" customFormat="false" ht="15" hidden="false" customHeight="false" outlineLevel="0" collapsed="false">
      <c r="A336" s="7" t="s">
        <v>3103</v>
      </c>
      <c r="B336" s="7" t="s">
        <v>3104</v>
      </c>
      <c r="C336" s="7" t="s">
        <v>4284</v>
      </c>
      <c r="D336" s="7" t="s">
        <v>4285</v>
      </c>
      <c r="E336" s="7" t="s">
        <v>2063</v>
      </c>
      <c r="F336" s="7" t="n">
        <v>96</v>
      </c>
    </row>
    <row r="337" customFormat="false" ht="15" hidden="false" customHeight="false" outlineLevel="0" collapsed="false">
      <c r="A337" s="4" t="s">
        <v>3105</v>
      </c>
      <c r="B337" s="4" t="s">
        <v>3104</v>
      </c>
      <c r="C337" s="4" t="s">
        <v>4284</v>
      </c>
      <c r="D337" s="4" t="s">
        <v>4285</v>
      </c>
      <c r="E337" s="4" t="s">
        <v>2063</v>
      </c>
      <c r="F337" s="4" t="n">
        <v>72</v>
      </c>
    </row>
    <row r="338" customFormat="false" ht="15" hidden="false" customHeight="false" outlineLevel="0" collapsed="false">
      <c r="A338" s="7" t="s">
        <v>3106</v>
      </c>
      <c r="B338" s="7" t="s">
        <v>3107</v>
      </c>
      <c r="C338" s="7" t="s">
        <v>4284</v>
      </c>
      <c r="D338" s="7" t="s">
        <v>4285</v>
      </c>
      <c r="E338" s="7" t="s">
        <v>2063</v>
      </c>
      <c r="F338" s="7" t="n">
        <v>64</v>
      </c>
    </row>
    <row r="339" customFormat="false" ht="15" hidden="false" customHeight="false" outlineLevel="0" collapsed="false">
      <c r="A339" s="4" t="s">
        <v>3108</v>
      </c>
      <c r="B339" s="4" t="s">
        <v>3107</v>
      </c>
      <c r="C339" s="4" t="s">
        <v>4284</v>
      </c>
      <c r="D339" s="4" t="s">
        <v>4285</v>
      </c>
      <c r="E339" s="4" t="s">
        <v>2063</v>
      </c>
      <c r="F339" s="4" t="n">
        <v>36</v>
      </c>
    </row>
    <row r="340" customFormat="false" ht="15" hidden="false" customHeight="false" outlineLevel="0" collapsed="false">
      <c r="A340" s="7" t="s">
        <v>3109</v>
      </c>
      <c r="B340" s="7" t="s">
        <v>3110</v>
      </c>
      <c r="C340" s="7" t="s">
        <v>4284</v>
      </c>
      <c r="D340" s="7" t="s">
        <v>4285</v>
      </c>
      <c r="E340" s="7" t="s">
        <v>2063</v>
      </c>
      <c r="F340" s="7" t="n">
        <v>48</v>
      </c>
    </row>
    <row r="341" customFormat="false" ht="15" hidden="false" customHeight="false" outlineLevel="0" collapsed="false">
      <c r="A341" s="4" t="s">
        <v>3111</v>
      </c>
      <c r="B341" s="4" t="s">
        <v>3110</v>
      </c>
      <c r="C341" s="4" t="s">
        <v>4284</v>
      </c>
      <c r="D341" s="4" t="s">
        <v>4285</v>
      </c>
      <c r="E341" s="4" t="s">
        <v>2063</v>
      </c>
      <c r="F341" s="4" t="n">
        <v>32</v>
      </c>
    </row>
    <row r="342" customFormat="false" ht="15" hidden="false" customHeight="false" outlineLevel="0" collapsed="false">
      <c r="A342" s="7" t="s">
        <v>3112</v>
      </c>
      <c r="B342" s="7" t="s">
        <v>3113</v>
      </c>
      <c r="C342" s="7" t="s">
        <v>4286</v>
      </c>
      <c r="D342" s="7" t="s">
        <v>4287</v>
      </c>
      <c r="E342" s="7" t="s">
        <v>2063</v>
      </c>
      <c r="F342" s="7" t="n">
        <v>24</v>
      </c>
    </row>
    <row r="343" customFormat="false" ht="15" hidden="false" customHeight="false" outlineLevel="0" collapsed="false">
      <c r="A343" s="4" t="s">
        <v>3114</v>
      </c>
      <c r="B343" s="4" t="s">
        <v>3113</v>
      </c>
      <c r="C343" s="4" t="s">
        <v>4286</v>
      </c>
      <c r="D343" s="4" t="s">
        <v>4287</v>
      </c>
      <c r="E343" s="4" t="s">
        <v>2063</v>
      </c>
      <c r="F343" s="4" t="n">
        <v>124</v>
      </c>
    </row>
    <row r="344" customFormat="false" ht="15" hidden="false" customHeight="false" outlineLevel="0" collapsed="false">
      <c r="A344" s="7" t="s">
        <v>3115</v>
      </c>
      <c r="B344" s="7" t="s">
        <v>3116</v>
      </c>
      <c r="C344" s="7" t="s">
        <v>4284</v>
      </c>
      <c r="D344" s="7" t="s">
        <v>4285</v>
      </c>
      <c r="E344" s="7" t="s">
        <v>2063</v>
      </c>
      <c r="F344" s="7" t="n">
        <v>36</v>
      </c>
    </row>
    <row r="345" customFormat="false" ht="15" hidden="false" customHeight="false" outlineLevel="0" collapsed="false">
      <c r="A345" s="4" t="s">
        <v>3117</v>
      </c>
      <c r="B345" s="4" t="s">
        <v>3116</v>
      </c>
      <c r="C345" s="4" t="s">
        <v>4284</v>
      </c>
      <c r="D345" s="4" t="s">
        <v>4285</v>
      </c>
      <c r="E345" s="4" t="s">
        <v>2063</v>
      </c>
      <c r="F345" s="4" t="n">
        <v>20</v>
      </c>
    </row>
    <row r="346" customFormat="false" ht="15" hidden="false" customHeight="false" outlineLevel="0" collapsed="false">
      <c r="A346" s="7" t="s">
        <v>3118</v>
      </c>
      <c r="B346" s="7" t="s">
        <v>3116</v>
      </c>
      <c r="C346" s="7" t="s">
        <v>4284</v>
      </c>
      <c r="D346" s="7" t="s">
        <v>4285</v>
      </c>
      <c r="E346" s="7" t="s">
        <v>2063</v>
      </c>
      <c r="F346" s="7" t="n">
        <v>20</v>
      </c>
    </row>
    <row r="347" customFormat="false" ht="15" hidden="false" customHeight="false" outlineLevel="0" collapsed="false">
      <c r="A347" s="4" t="s">
        <v>3119</v>
      </c>
      <c r="B347" s="4" t="s">
        <v>3116</v>
      </c>
      <c r="C347" s="4" t="s">
        <v>4284</v>
      </c>
      <c r="D347" s="4" t="s">
        <v>4285</v>
      </c>
      <c r="E347" s="4" t="s">
        <v>2063</v>
      </c>
      <c r="F347" s="4" t="n">
        <v>12</v>
      </c>
    </row>
    <row r="348" customFormat="false" ht="15" hidden="false" customHeight="false" outlineLevel="0" collapsed="false">
      <c r="A348" s="7" t="s">
        <v>3120</v>
      </c>
      <c r="B348" s="7" t="s">
        <v>3121</v>
      </c>
      <c r="C348" s="7" t="s">
        <v>4288</v>
      </c>
      <c r="D348" s="7" t="s">
        <v>4289</v>
      </c>
      <c r="E348" s="7" t="s">
        <v>2063</v>
      </c>
      <c r="F348" s="7" t="n">
        <v>48</v>
      </c>
    </row>
    <row r="349" customFormat="false" ht="15" hidden="false" customHeight="false" outlineLevel="0" collapsed="false">
      <c r="A349" s="4" t="s">
        <v>3122</v>
      </c>
      <c r="B349" s="4" t="s">
        <v>3123</v>
      </c>
      <c r="C349" s="4" t="s">
        <v>4288</v>
      </c>
      <c r="D349" s="4" t="s">
        <v>4289</v>
      </c>
      <c r="E349" s="4" t="s">
        <v>2063</v>
      </c>
      <c r="F349" s="4" t="n">
        <v>48</v>
      </c>
    </row>
    <row r="350" customFormat="false" ht="15" hidden="false" customHeight="false" outlineLevel="0" collapsed="false">
      <c r="A350" s="7" t="s">
        <v>3124</v>
      </c>
      <c r="B350" s="7" t="s">
        <v>3125</v>
      </c>
      <c r="C350" s="7" t="s">
        <v>4288</v>
      </c>
      <c r="D350" s="7" t="s">
        <v>4289</v>
      </c>
      <c r="E350" s="7" t="s">
        <v>2063</v>
      </c>
      <c r="F350" s="7" t="n">
        <v>36</v>
      </c>
    </row>
    <row r="351" customFormat="false" ht="15" hidden="false" customHeight="false" outlineLevel="0" collapsed="false">
      <c r="A351" s="4" t="s">
        <v>3126</v>
      </c>
      <c r="B351" s="4" t="s">
        <v>3127</v>
      </c>
      <c r="C351" s="4" t="s">
        <v>4288</v>
      </c>
      <c r="D351" s="4" t="s">
        <v>4289</v>
      </c>
      <c r="E351" s="4" t="s">
        <v>2063</v>
      </c>
      <c r="F351" s="4" t="n">
        <v>16</v>
      </c>
    </row>
    <row r="352" customFormat="false" ht="15" hidden="false" customHeight="false" outlineLevel="0" collapsed="false">
      <c r="A352" s="7" t="s">
        <v>3128</v>
      </c>
      <c r="B352" s="7" t="s">
        <v>3129</v>
      </c>
      <c r="C352" s="7" t="s">
        <v>4288</v>
      </c>
      <c r="D352" s="7" t="s">
        <v>4289</v>
      </c>
      <c r="E352" s="7" t="s">
        <v>2063</v>
      </c>
      <c r="F352" s="7" t="n">
        <v>16</v>
      </c>
    </row>
    <row r="353" customFormat="false" ht="15" hidden="false" customHeight="false" outlineLevel="0" collapsed="false">
      <c r="A353" s="4" t="s">
        <v>3130</v>
      </c>
      <c r="B353" s="4" t="s">
        <v>3131</v>
      </c>
      <c r="C353" s="4" t="s">
        <v>4288</v>
      </c>
      <c r="D353" s="4" t="s">
        <v>4289</v>
      </c>
      <c r="E353" s="4" t="s">
        <v>2063</v>
      </c>
      <c r="F353" s="4" t="n">
        <v>24</v>
      </c>
    </row>
    <row r="354" customFormat="false" ht="15" hidden="false" customHeight="false" outlineLevel="0" collapsed="false">
      <c r="A354" s="7" t="s">
        <v>3132</v>
      </c>
      <c r="B354" s="7" t="s">
        <v>3133</v>
      </c>
      <c r="C354" s="7" t="s">
        <v>4288</v>
      </c>
      <c r="D354" s="7" t="s">
        <v>4289</v>
      </c>
      <c r="E354" s="7" t="s">
        <v>2063</v>
      </c>
      <c r="F354" s="7" t="n">
        <v>24</v>
      </c>
    </row>
    <row r="355" customFormat="false" ht="15" hidden="false" customHeight="false" outlineLevel="0" collapsed="false">
      <c r="A355" s="4" t="s">
        <v>3134</v>
      </c>
      <c r="B355" s="4" t="s">
        <v>3135</v>
      </c>
      <c r="C355" s="4" t="s">
        <v>4288</v>
      </c>
      <c r="D355" s="4" t="s">
        <v>4289</v>
      </c>
      <c r="E355" s="4" t="s">
        <v>2063</v>
      </c>
      <c r="F355" s="4" t="n">
        <v>16</v>
      </c>
    </row>
    <row r="356" customFormat="false" ht="15" hidden="false" customHeight="false" outlineLevel="0" collapsed="false">
      <c r="A356" s="7" t="s">
        <v>3136</v>
      </c>
      <c r="B356" s="7" t="s">
        <v>3137</v>
      </c>
      <c r="C356" s="7" t="s">
        <v>4288</v>
      </c>
      <c r="D356" s="7" t="s">
        <v>4289</v>
      </c>
      <c r="E356" s="7" t="s">
        <v>2063</v>
      </c>
      <c r="F356" s="7" t="n">
        <v>16</v>
      </c>
    </row>
    <row r="357" customFormat="false" ht="15" hidden="false" customHeight="false" outlineLevel="0" collapsed="false">
      <c r="A357" s="4" t="s">
        <v>3138</v>
      </c>
      <c r="B357" s="4" t="s">
        <v>3139</v>
      </c>
      <c r="C357" s="4" t="s">
        <v>4288</v>
      </c>
      <c r="D357" s="4" t="s">
        <v>4289</v>
      </c>
      <c r="E357" s="4" t="s">
        <v>2063</v>
      </c>
      <c r="F357" s="4" t="n">
        <v>144</v>
      </c>
    </row>
    <row r="358" customFormat="false" ht="15" hidden="false" customHeight="false" outlineLevel="0" collapsed="false">
      <c r="A358" s="7" t="s">
        <v>3140</v>
      </c>
      <c r="B358" s="7" t="s">
        <v>3141</v>
      </c>
      <c r="C358" s="7" t="s">
        <v>4288</v>
      </c>
      <c r="D358" s="7" t="s">
        <v>4289</v>
      </c>
      <c r="E358" s="7" t="s">
        <v>2063</v>
      </c>
      <c r="F358" s="7" t="n">
        <v>64</v>
      </c>
    </row>
    <row r="359" customFormat="false" ht="15" hidden="false" customHeight="false" outlineLevel="0" collapsed="false">
      <c r="A359" s="4" t="s">
        <v>3142</v>
      </c>
      <c r="B359" s="4" t="s">
        <v>3143</v>
      </c>
      <c r="C359" s="4" t="s">
        <v>4288</v>
      </c>
      <c r="D359" s="4" t="s">
        <v>4289</v>
      </c>
      <c r="E359" s="4" t="s">
        <v>2063</v>
      </c>
      <c r="F359" s="4" t="n">
        <v>24</v>
      </c>
    </row>
    <row r="360" customFormat="false" ht="15" hidden="false" customHeight="false" outlineLevel="0" collapsed="false">
      <c r="A360" s="7" t="s">
        <v>3144</v>
      </c>
      <c r="B360" s="7" t="s">
        <v>3145</v>
      </c>
      <c r="C360" s="7" t="s">
        <v>4288</v>
      </c>
      <c r="D360" s="7" t="s">
        <v>4289</v>
      </c>
      <c r="E360" s="7" t="s">
        <v>2063</v>
      </c>
      <c r="F360" s="7" t="n">
        <v>64</v>
      </c>
    </row>
    <row r="361" customFormat="false" ht="15" hidden="false" customHeight="false" outlineLevel="0" collapsed="false">
      <c r="A361" s="4" t="s">
        <v>3146</v>
      </c>
      <c r="B361" s="4" t="s">
        <v>3147</v>
      </c>
      <c r="C361" s="4" t="s">
        <v>4288</v>
      </c>
      <c r="D361" s="4" t="s">
        <v>4289</v>
      </c>
      <c r="E361" s="4" t="s">
        <v>2063</v>
      </c>
      <c r="F361" s="4" t="n">
        <v>776</v>
      </c>
    </row>
    <row r="362" customFormat="false" ht="15" hidden="false" customHeight="false" outlineLevel="0" collapsed="false">
      <c r="A362" s="7" t="s">
        <v>3148</v>
      </c>
      <c r="B362" s="7" t="s">
        <v>3149</v>
      </c>
      <c r="C362" s="7" t="s">
        <v>4288</v>
      </c>
      <c r="D362" s="7" t="s">
        <v>4289</v>
      </c>
      <c r="E362" s="7" t="s">
        <v>2063</v>
      </c>
      <c r="F362" s="7" t="n">
        <v>72</v>
      </c>
    </row>
    <row r="363" customFormat="false" ht="15" hidden="false" customHeight="false" outlineLevel="0" collapsed="false">
      <c r="A363" s="4" t="s">
        <v>3150</v>
      </c>
      <c r="B363" s="4" t="s">
        <v>3151</v>
      </c>
      <c r="C363" s="4" t="s">
        <v>4288</v>
      </c>
      <c r="D363" s="4" t="s">
        <v>4289</v>
      </c>
      <c r="E363" s="4" t="s">
        <v>2063</v>
      </c>
      <c r="F363" s="4" t="n">
        <v>3</v>
      </c>
    </row>
    <row r="364" customFormat="false" ht="15" hidden="false" customHeight="false" outlineLevel="0" collapsed="false">
      <c r="A364" s="7" t="s">
        <v>3152</v>
      </c>
      <c r="B364" s="7" t="s">
        <v>3153</v>
      </c>
      <c r="C364" s="7" t="s">
        <v>4288</v>
      </c>
      <c r="D364" s="7" t="s">
        <v>4289</v>
      </c>
      <c r="E364" s="7" t="s">
        <v>2063</v>
      </c>
      <c r="F364" s="7" t="n">
        <v>376</v>
      </c>
    </row>
    <row r="365" customFormat="false" ht="15" hidden="false" customHeight="false" outlineLevel="0" collapsed="false">
      <c r="A365" s="4" t="s">
        <v>3154</v>
      </c>
      <c r="B365" s="4" t="s">
        <v>3155</v>
      </c>
      <c r="C365" s="4" t="s">
        <v>4288</v>
      </c>
      <c r="D365" s="4" t="s">
        <v>4289</v>
      </c>
      <c r="E365" s="4" t="s">
        <v>2063</v>
      </c>
      <c r="F365" s="4" t="n">
        <v>376</v>
      </c>
    </row>
    <row r="366" customFormat="false" ht="15" hidden="false" customHeight="false" outlineLevel="0" collapsed="false">
      <c r="A366" s="7" t="s">
        <v>3156</v>
      </c>
      <c r="B366" s="7" t="s">
        <v>3157</v>
      </c>
      <c r="C366" s="7" t="s">
        <v>4280</v>
      </c>
      <c r="D366" s="7" t="s">
        <v>4281</v>
      </c>
      <c r="E366" s="7" t="s">
        <v>2063</v>
      </c>
      <c r="F366" s="7" t="n">
        <v>96</v>
      </c>
    </row>
    <row r="367" customFormat="false" ht="15" hidden="false" customHeight="false" outlineLevel="0" collapsed="false">
      <c r="A367" s="4" t="s">
        <v>3158</v>
      </c>
      <c r="B367" s="4" t="s">
        <v>3157</v>
      </c>
      <c r="C367" s="4" t="s">
        <v>4280</v>
      </c>
      <c r="D367" s="4" t="s">
        <v>4281</v>
      </c>
      <c r="E367" s="4" t="s">
        <v>2063</v>
      </c>
      <c r="F367" s="4" t="n">
        <v>10</v>
      </c>
    </row>
    <row r="368" customFormat="false" ht="15" hidden="false" customHeight="false" outlineLevel="0" collapsed="false">
      <c r="A368" s="7" t="s">
        <v>3159</v>
      </c>
      <c r="B368" s="7" t="s">
        <v>3160</v>
      </c>
      <c r="C368" s="7" t="s">
        <v>4280</v>
      </c>
      <c r="D368" s="7" t="s">
        <v>4281</v>
      </c>
      <c r="E368" s="7" t="s">
        <v>2063</v>
      </c>
      <c r="F368" s="7" t="n">
        <v>4</v>
      </c>
    </row>
    <row r="369" customFormat="false" ht="15" hidden="false" customHeight="false" outlineLevel="0" collapsed="false">
      <c r="A369" s="4" t="s">
        <v>3161</v>
      </c>
      <c r="B369" s="4" t="s">
        <v>3160</v>
      </c>
      <c r="C369" s="4" t="s">
        <v>4280</v>
      </c>
      <c r="D369" s="4" t="s">
        <v>4281</v>
      </c>
      <c r="E369" s="4" t="s">
        <v>2063</v>
      </c>
      <c r="F369" s="4" t="n">
        <v>96</v>
      </c>
    </row>
    <row r="370" customFormat="false" ht="15" hidden="false" customHeight="false" outlineLevel="0" collapsed="false">
      <c r="A370" s="7" t="s">
        <v>3162</v>
      </c>
      <c r="B370" s="7" t="s">
        <v>3163</v>
      </c>
      <c r="C370" s="7" t="s">
        <v>4280</v>
      </c>
      <c r="D370" s="7" t="s">
        <v>4281</v>
      </c>
      <c r="E370" s="7" t="s">
        <v>2063</v>
      </c>
      <c r="F370" s="7" t="n">
        <v>120</v>
      </c>
    </row>
    <row r="371" customFormat="false" ht="15" hidden="false" customHeight="false" outlineLevel="0" collapsed="false">
      <c r="A371" s="4" t="s">
        <v>3164</v>
      </c>
      <c r="B371" s="4" t="s">
        <v>3163</v>
      </c>
      <c r="C371" s="4" t="s">
        <v>4280</v>
      </c>
      <c r="D371" s="4" t="s">
        <v>4281</v>
      </c>
      <c r="E371" s="4" t="s">
        <v>2063</v>
      </c>
      <c r="F371" s="4" t="n">
        <v>164</v>
      </c>
    </row>
    <row r="372" customFormat="false" ht="15" hidden="false" customHeight="false" outlineLevel="0" collapsed="false">
      <c r="A372" s="7" t="s">
        <v>3165</v>
      </c>
      <c r="B372" s="7" t="s">
        <v>3166</v>
      </c>
      <c r="C372" s="7" t="s">
        <v>4280</v>
      </c>
      <c r="D372" s="7" t="s">
        <v>4281</v>
      </c>
      <c r="E372" s="7" t="s">
        <v>2063</v>
      </c>
      <c r="F372" s="7" t="n">
        <v>36</v>
      </c>
    </row>
    <row r="373" customFormat="false" ht="15" hidden="false" customHeight="false" outlineLevel="0" collapsed="false">
      <c r="A373" s="4" t="s">
        <v>3167</v>
      </c>
      <c r="B373" s="4" t="s">
        <v>3166</v>
      </c>
      <c r="C373" s="4" t="s">
        <v>4280</v>
      </c>
      <c r="D373" s="4" t="s">
        <v>4281</v>
      </c>
      <c r="E373" s="4" t="s">
        <v>2063</v>
      </c>
      <c r="F373" s="4" t="n">
        <v>54</v>
      </c>
    </row>
    <row r="374" customFormat="false" ht="15" hidden="false" customHeight="false" outlineLevel="0" collapsed="false">
      <c r="A374" s="7" t="s">
        <v>3168</v>
      </c>
      <c r="B374" s="7" t="s">
        <v>3169</v>
      </c>
      <c r="C374" s="7" t="s">
        <v>4280</v>
      </c>
      <c r="D374" s="7" t="s">
        <v>4281</v>
      </c>
      <c r="E374" s="7" t="s">
        <v>2063</v>
      </c>
      <c r="F374" s="7" t="n">
        <v>96</v>
      </c>
    </row>
    <row r="375" customFormat="false" ht="15" hidden="false" customHeight="false" outlineLevel="0" collapsed="false">
      <c r="A375" s="4" t="s">
        <v>3170</v>
      </c>
      <c r="B375" s="4" t="s">
        <v>3171</v>
      </c>
      <c r="C375" s="4" t="s">
        <v>4280</v>
      </c>
      <c r="D375" s="4" t="s">
        <v>4281</v>
      </c>
      <c r="E375" s="4" t="s">
        <v>2063</v>
      </c>
      <c r="F375" s="4" t="n">
        <v>144</v>
      </c>
    </row>
    <row r="376" customFormat="false" ht="15" hidden="false" customHeight="false" outlineLevel="0" collapsed="false">
      <c r="A376" s="7" t="s">
        <v>3172</v>
      </c>
      <c r="B376" s="7" t="s">
        <v>3173</v>
      </c>
      <c r="C376" s="7" t="s">
        <v>4280</v>
      </c>
      <c r="D376" s="7" t="s">
        <v>4281</v>
      </c>
      <c r="E376" s="7" t="s">
        <v>2063</v>
      </c>
      <c r="F376" s="7" t="n">
        <v>32</v>
      </c>
    </row>
    <row r="377" customFormat="false" ht="15" hidden="false" customHeight="false" outlineLevel="0" collapsed="false">
      <c r="A377" s="4" t="s">
        <v>3174</v>
      </c>
      <c r="B377" s="4" t="s">
        <v>3173</v>
      </c>
      <c r="C377" s="4" t="s">
        <v>4280</v>
      </c>
      <c r="D377" s="4" t="s">
        <v>4281</v>
      </c>
      <c r="E377" s="4" t="s">
        <v>2063</v>
      </c>
      <c r="F377" s="4" t="n">
        <v>12</v>
      </c>
    </row>
    <row r="378" customFormat="false" ht="15" hidden="false" customHeight="false" outlineLevel="0" collapsed="false">
      <c r="A378" s="7" t="s">
        <v>3175</v>
      </c>
      <c r="B378" s="7" t="s">
        <v>3176</v>
      </c>
      <c r="C378" s="7" t="s">
        <v>4280</v>
      </c>
      <c r="D378" s="7" t="s">
        <v>4281</v>
      </c>
      <c r="E378" s="7" t="s">
        <v>2063</v>
      </c>
      <c r="F378" s="7" t="n">
        <v>4</v>
      </c>
    </row>
    <row r="379" customFormat="false" ht="15" hidden="false" customHeight="false" outlineLevel="0" collapsed="false">
      <c r="A379" s="4" t="s">
        <v>3177</v>
      </c>
      <c r="B379" s="4" t="s">
        <v>3178</v>
      </c>
      <c r="C379" s="4" t="s">
        <v>4280</v>
      </c>
      <c r="D379" s="4" t="s">
        <v>4281</v>
      </c>
      <c r="E379" s="4" t="s">
        <v>2063</v>
      </c>
      <c r="F379" s="4" t="n">
        <v>36</v>
      </c>
    </row>
    <row r="380" customFormat="false" ht="15" hidden="false" customHeight="false" outlineLevel="0" collapsed="false">
      <c r="A380" s="7" t="s">
        <v>3179</v>
      </c>
      <c r="B380" s="7" t="s">
        <v>3178</v>
      </c>
      <c r="C380" s="7" t="s">
        <v>4280</v>
      </c>
      <c r="D380" s="7" t="s">
        <v>4281</v>
      </c>
      <c r="E380" s="7" t="s">
        <v>2063</v>
      </c>
      <c r="F380" s="7" t="n">
        <v>96</v>
      </c>
    </row>
    <row r="381" customFormat="false" ht="15" hidden="false" customHeight="false" outlineLevel="0" collapsed="false">
      <c r="A381" s="4" t="s">
        <v>3180</v>
      </c>
      <c r="B381" s="4" t="s">
        <v>3181</v>
      </c>
      <c r="C381" s="4" t="s">
        <v>4280</v>
      </c>
      <c r="D381" s="4" t="s">
        <v>4281</v>
      </c>
      <c r="E381" s="4" t="s">
        <v>2063</v>
      </c>
      <c r="F381" s="4" t="n">
        <v>36</v>
      </c>
    </row>
    <row r="382" customFormat="false" ht="15" hidden="false" customHeight="false" outlineLevel="0" collapsed="false">
      <c r="A382" s="7" t="s">
        <v>3182</v>
      </c>
      <c r="B382" s="7" t="s">
        <v>3181</v>
      </c>
      <c r="C382" s="7" t="s">
        <v>4280</v>
      </c>
      <c r="D382" s="7" t="s">
        <v>4281</v>
      </c>
      <c r="E382" s="7" t="s">
        <v>2063</v>
      </c>
      <c r="F382" s="7" t="n">
        <v>72</v>
      </c>
    </row>
    <row r="383" customFormat="false" ht="15" hidden="false" customHeight="false" outlineLevel="0" collapsed="false">
      <c r="A383" s="4" t="s">
        <v>3183</v>
      </c>
      <c r="B383" s="4" t="s">
        <v>3184</v>
      </c>
      <c r="C383" s="4" t="s">
        <v>4278</v>
      </c>
      <c r="D383" s="4" t="s">
        <v>4279</v>
      </c>
      <c r="E383" s="4" t="s">
        <v>2063</v>
      </c>
      <c r="F383" s="4" t="n">
        <v>124</v>
      </c>
    </row>
    <row r="384" customFormat="false" ht="15" hidden="false" customHeight="false" outlineLevel="0" collapsed="false">
      <c r="A384" s="7" t="s">
        <v>3185</v>
      </c>
      <c r="B384" s="7" t="s">
        <v>3184</v>
      </c>
      <c r="C384" s="7" t="s">
        <v>4278</v>
      </c>
      <c r="D384" s="7" t="s">
        <v>4279</v>
      </c>
      <c r="E384" s="7" t="s">
        <v>2063</v>
      </c>
      <c r="F384" s="7" t="n">
        <v>96</v>
      </c>
    </row>
    <row r="385" customFormat="false" ht="15" hidden="false" customHeight="false" outlineLevel="0" collapsed="false">
      <c r="A385" s="4" t="s">
        <v>3186</v>
      </c>
      <c r="B385" s="4" t="s">
        <v>3187</v>
      </c>
      <c r="C385" s="4" t="s">
        <v>4278</v>
      </c>
      <c r="D385" s="4" t="s">
        <v>4279</v>
      </c>
      <c r="E385" s="4" t="s">
        <v>2063</v>
      </c>
      <c r="F385" s="4" t="n">
        <v>3</v>
      </c>
    </row>
    <row r="386" customFormat="false" ht="15" hidden="false" customHeight="false" outlineLevel="0" collapsed="false">
      <c r="A386" s="7" t="s">
        <v>3188</v>
      </c>
      <c r="B386" s="7" t="s">
        <v>3189</v>
      </c>
      <c r="C386" s="7" t="s">
        <v>4278</v>
      </c>
      <c r="D386" s="7" t="s">
        <v>4279</v>
      </c>
      <c r="E386" s="7" t="s">
        <v>2063</v>
      </c>
      <c r="F386" s="7" t="n">
        <v>12</v>
      </c>
    </row>
    <row r="387" customFormat="false" ht="15" hidden="false" customHeight="false" outlineLevel="0" collapsed="false">
      <c r="A387" s="4" t="s">
        <v>3190</v>
      </c>
      <c r="B387" s="4" t="s">
        <v>3191</v>
      </c>
      <c r="C387" s="4" t="s">
        <v>4278</v>
      </c>
      <c r="D387" s="4" t="s">
        <v>4279</v>
      </c>
      <c r="E387" s="4" t="s">
        <v>2063</v>
      </c>
      <c r="F387" s="4" t="n">
        <v>12</v>
      </c>
    </row>
    <row r="388" customFormat="false" ht="15" hidden="false" customHeight="false" outlineLevel="0" collapsed="false">
      <c r="A388" s="7" t="s">
        <v>3192</v>
      </c>
      <c r="B388" s="7" t="s">
        <v>3193</v>
      </c>
      <c r="C388" s="7" t="s">
        <v>4278</v>
      </c>
      <c r="D388" s="7" t="s">
        <v>4279</v>
      </c>
      <c r="E388" s="7" t="s">
        <v>2063</v>
      </c>
      <c r="F388" s="7" t="n">
        <v>12</v>
      </c>
    </row>
    <row r="389" customFormat="false" ht="15" hidden="false" customHeight="false" outlineLevel="0" collapsed="false">
      <c r="A389" s="4" t="s">
        <v>3194</v>
      </c>
      <c r="B389" s="4" t="s">
        <v>3193</v>
      </c>
      <c r="C389" s="4" t="s">
        <v>4278</v>
      </c>
      <c r="D389" s="4" t="s">
        <v>4279</v>
      </c>
      <c r="E389" s="4" t="s">
        <v>2063</v>
      </c>
      <c r="F389" s="4" t="n">
        <v>3</v>
      </c>
    </row>
    <row r="390" customFormat="false" ht="15" hidden="false" customHeight="false" outlineLevel="0" collapsed="false">
      <c r="A390" s="7" t="s">
        <v>3195</v>
      </c>
      <c r="B390" s="7" t="s">
        <v>3196</v>
      </c>
      <c r="C390" s="7" t="s">
        <v>4278</v>
      </c>
      <c r="D390" s="7" t="s">
        <v>4279</v>
      </c>
      <c r="E390" s="7" t="s">
        <v>2063</v>
      </c>
      <c r="F390" s="7" t="n">
        <v>12</v>
      </c>
    </row>
    <row r="391" customFormat="false" ht="15" hidden="false" customHeight="false" outlineLevel="0" collapsed="false">
      <c r="A391" s="4" t="s">
        <v>3197</v>
      </c>
      <c r="B391" s="4" t="s">
        <v>3196</v>
      </c>
      <c r="C391" s="4" t="s">
        <v>4278</v>
      </c>
      <c r="D391" s="4" t="s">
        <v>4279</v>
      </c>
      <c r="E391" s="4" t="s">
        <v>2063</v>
      </c>
      <c r="F391" s="4" t="n">
        <v>6</v>
      </c>
    </row>
    <row r="392" customFormat="false" ht="15" hidden="false" customHeight="false" outlineLevel="0" collapsed="false">
      <c r="A392" s="7" t="s">
        <v>3198</v>
      </c>
      <c r="B392" s="7" t="s">
        <v>3199</v>
      </c>
      <c r="C392" s="7" t="s">
        <v>4278</v>
      </c>
      <c r="D392" s="7" t="s">
        <v>4279</v>
      </c>
      <c r="E392" s="7" t="s">
        <v>2063</v>
      </c>
      <c r="F392" s="7" t="n">
        <v>16</v>
      </c>
    </row>
    <row r="393" customFormat="false" ht="15" hidden="false" customHeight="false" outlineLevel="0" collapsed="false">
      <c r="A393" s="4" t="s">
        <v>3200</v>
      </c>
      <c r="B393" s="4" t="s">
        <v>3199</v>
      </c>
      <c r="C393" s="4" t="s">
        <v>4278</v>
      </c>
      <c r="D393" s="4" t="s">
        <v>4279</v>
      </c>
      <c r="E393" s="4" t="s">
        <v>2063</v>
      </c>
      <c r="F393" s="4" t="n">
        <v>6</v>
      </c>
    </row>
    <row r="394" customFormat="false" ht="15" hidden="false" customHeight="false" outlineLevel="0" collapsed="false">
      <c r="A394" s="7" t="s">
        <v>3201</v>
      </c>
      <c r="B394" s="7" t="s">
        <v>3202</v>
      </c>
      <c r="C394" s="7" t="s">
        <v>4284</v>
      </c>
      <c r="D394" s="7" t="s">
        <v>4285</v>
      </c>
      <c r="E394" s="7" t="s">
        <v>2063</v>
      </c>
      <c r="F394" s="7" t="n">
        <v>64</v>
      </c>
    </row>
    <row r="395" customFormat="false" ht="15" hidden="false" customHeight="false" outlineLevel="0" collapsed="false">
      <c r="A395" s="4" t="s">
        <v>3203</v>
      </c>
      <c r="B395" s="4" t="s">
        <v>3202</v>
      </c>
      <c r="C395" s="4" t="s">
        <v>4284</v>
      </c>
      <c r="D395" s="4" t="s">
        <v>4285</v>
      </c>
      <c r="E395" s="4" t="s">
        <v>2063</v>
      </c>
      <c r="F395" s="4" t="n">
        <v>32</v>
      </c>
    </row>
    <row r="396" customFormat="false" ht="15" hidden="false" customHeight="false" outlineLevel="0" collapsed="false">
      <c r="A396" s="7" t="s">
        <v>3204</v>
      </c>
      <c r="B396" s="7" t="s">
        <v>3205</v>
      </c>
      <c r="C396" s="7" t="s">
        <v>4284</v>
      </c>
      <c r="D396" s="7" t="s">
        <v>4285</v>
      </c>
      <c r="E396" s="7" t="s">
        <v>2063</v>
      </c>
      <c r="F396" s="7" t="n">
        <v>6</v>
      </c>
    </row>
    <row r="397" customFormat="false" ht="15" hidden="false" customHeight="false" outlineLevel="0" collapsed="false">
      <c r="A397" s="4" t="s">
        <v>3206</v>
      </c>
      <c r="B397" s="4" t="s">
        <v>3205</v>
      </c>
      <c r="C397" s="4" t="s">
        <v>4284</v>
      </c>
      <c r="D397" s="4" t="s">
        <v>4285</v>
      </c>
      <c r="E397" s="4" t="s">
        <v>2063</v>
      </c>
      <c r="F397" s="4" t="n">
        <v>24</v>
      </c>
    </row>
    <row r="398" customFormat="false" ht="15" hidden="false" customHeight="false" outlineLevel="0" collapsed="false">
      <c r="A398" s="7" t="s">
        <v>3207</v>
      </c>
      <c r="B398" s="7" t="s">
        <v>3208</v>
      </c>
      <c r="C398" s="7" t="s">
        <v>4284</v>
      </c>
      <c r="D398" s="7" t="s">
        <v>4285</v>
      </c>
      <c r="E398" s="7" t="s">
        <v>2063</v>
      </c>
      <c r="F398" s="7" t="n">
        <v>8</v>
      </c>
    </row>
    <row r="399" customFormat="false" ht="15" hidden="false" customHeight="false" outlineLevel="0" collapsed="false">
      <c r="A399" s="4" t="s">
        <v>3209</v>
      </c>
      <c r="B399" s="4" t="s">
        <v>3210</v>
      </c>
      <c r="C399" s="4" t="s">
        <v>4284</v>
      </c>
      <c r="D399" s="4" t="s">
        <v>4285</v>
      </c>
      <c r="E399" s="4" t="s">
        <v>2063</v>
      </c>
      <c r="F399" s="4" t="n">
        <v>16</v>
      </c>
    </row>
    <row r="400" customFormat="false" ht="15" hidden="false" customHeight="false" outlineLevel="0" collapsed="false">
      <c r="A400" s="7" t="s">
        <v>3211</v>
      </c>
      <c r="B400" s="7" t="s">
        <v>3210</v>
      </c>
      <c r="C400" s="7" t="s">
        <v>4284</v>
      </c>
      <c r="D400" s="7" t="s">
        <v>4285</v>
      </c>
      <c r="E400" s="7" t="s">
        <v>2063</v>
      </c>
      <c r="F400" s="7" t="n">
        <v>24</v>
      </c>
    </row>
    <row r="401" customFormat="false" ht="15" hidden="false" customHeight="false" outlineLevel="0" collapsed="false">
      <c r="A401" s="4" t="s">
        <v>3212</v>
      </c>
      <c r="B401" s="4" t="s">
        <v>3213</v>
      </c>
      <c r="C401" s="4" t="s">
        <v>4280</v>
      </c>
      <c r="D401" s="4" t="s">
        <v>4281</v>
      </c>
      <c r="E401" s="4" t="s">
        <v>2063</v>
      </c>
      <c r="F401" s="4" t="n">
        <v>8</v>
      </c>
    </row>
    <row r="402" customFormat="false" ht="15" hidden="false" customHeight="false" outlineLevel="0" collapsed="false">
      <c r="A402" s="7" t="s">
        <v>3214</v>
      </c>
      <c r="B402" s="7" t="s">
        <v>3213</v>
      </c>
      <c r="C402" s="7" t="s">
        <v>4280</v>
      </c>
      <c r="D402" s="7" t="s">
        <v>4281</v>
      </c>
      <c r="E402" s="7" t="s">
        <v>2063</v>
      </c>
      <c r="F402" s="7" t="n">
        <v>2</v>
      </c>
    </row>
    <row r="403" customFormat="false" ht="15" hidden="false" customHeight="false" outlineLevel="0" collapsed="false">
      <c r="A403" s="4" t="s">
        <v>3215</v>
      </c>
      <c r="B403" s="4" t="s">
        <v>3216</v>
      </c>
      <c r="C403" s="4" t="s">
        <v>4280</v>
      </c>
      <c r="D403" s="4" t="s">
        <v>4281</v>
      </c>
      <c r="E403" s="4" t="s">
        <v>2063</v>
      </c>
      <c r="F403" s="4" t="n">
        <v>8</v>
      </c>
    </row>
    <row r="404" customFormat="false" ht="15" hidden="false" customHeight="false" outlineLevel="0" collapsed="false">
      <c r="A404" s="7" t="s">
        <v>3217</v>
      </c>
      <c r="B404" s="7" t="s">
        <v>3216</v>
      </c>
      <c r="C404" s="7" t="s">
        <v>4280</v>
      </c>
      <c r="D404" s="7" t="s">
        <v>4281</v>
      </c>
      <c r="E404" s="7" t="s">
        <v>2063</v>
      </c>
      <c r="F404" s="7" t="n">
        <v>2</v>
      </c>
    </row>
    <row r="405" customFormat="false" ht="15" hidden="false" customHeight="false" outlineLevel="0" collapsed="false">
      <c r="A405" s="4" t="s">
        <v>3218</v>
      </c>
      <c r="B405" s="4" t="s">
        <v>3219</v>
      </c>
      <c r="C405" s="4" t="s">
        <v>4280</v>
      </c>
      <c r="D405" s="4" t="s">
        <v>4281</v>
      </c>
      <c r="E405" s="4" t="s">
        <v>2063</v>
      </c>
      <c r="F405" s="4" t="n">
        <v>24</v>
      </c>
    </row>
    <row r="406" customFormat="false" ht="15" hidden="false" customHeight="false" outlineLevel="0" collapsed="false">
      <c r="A406" s="7" t="s">
        <v>3220</v>
      </c>
      <c r="B406" s="7" t="s">
        <v>3219</v>
      </c>
      <c r="C406" s="7" t="s">
        <v>4280</v>
      </c>
      <c r="D406" s="7" t="s">
        <v>4281</v>
      </c>
      <c r="E406" s="7" t="s">
        <v>2063</v>
      </c>
      <c r="F406" s="7" t="n">
        <v>16</v>
      </c>
    </row>
    <row r="407" customFormat="false" ht="15" hidden="false" customHeight="false" outlineLevel="0" collapsed="false">
      <c r="A407" s="4" t="s">
        <v>3221</v>
      </c>
      <c r="B407" s="4" t="s">
        <v>3222</v>
      </c>
      <c r="C407" s="4" t="s">
        <v>4280</v>
      </c>
      <c r="D407" s="4" t="s">
        <v>4281</v>
      </c>
      <c r="E407" s="4" t="s">
        <v>2063</v>
      </c>
      <c r="F407" s="4" t="n">
        <v>8</v>
      </c>
    </row>
    <row r="408" customFormat="false" ht="15" hidden="false" customHeight="false" outlineLevel="0" collapsed="false">
      <c r="A408" s="7" t="s">
        <v>3223</v>
      </c>
      <c r="B408" s="7" t="s">
        <v>3222</v>
      </c>
      <c r="C408" s="7" t="s">
        <v>4280</v>
      </c>
      <c r="D408" s="7" t="s">
        <v>4281</v>
      </c>
      <c r="E408" s="7" t="s">
        <v>2063</v>
      </c>
      <c r="F408" s="7" t="n">
        <v>36</v>
      </c>
    </row>
    <row r="409" customFormat="false" ht="15" hidden="false" customHeight="false" outlineLevel="0" collapsed="false">
      <c r="A409" s="4" t="s">
        <v>3224</v>
      </c>
      <c r="B409" s="4" t="s">
        <v>3225</v>
      </c>
      <c r="C409" s="4" t="s">
        <v>4284</v>
      </c>
      <c r="D409" s="4" t="s">
        <v>4285</v>
      </c>
      <c r="E409" s="4" t="s">
        <v>2063</v>
      </c>
      <c r="F409" s="4" t="n">
        <v>18</v>
      </c>
    </row>
    <row r="410" customFormat="false" ht="15" hidden="false" customHeight="false" outlineLevel="0" collapsed="false">
      <c r="A410" s="7" t="s">
        <v>3226</v>
      </c>
      <c r="B410" s="7" t="s">
        <v>3227</v>
      </c>
      <c r="C410" s="7" t="s">
        <v>4282</v>
      </c>
      <c r="D410" s="7" t="s">
        <v>4283</v>
      </c>
      <c r="E410" s="7" t="s">
        <v>2063</v>
      </c>
      <c r="F410" s="7" t="n">
        <v>48</v>
      </c>
    </row>
    <row r="411" customFormat="false" ht="15" hidden="false" customHeight="false" outlineLevel="0" collapsed="false">
      <c r="A411" s="4" t="s">
        <v>3228</v>
      </c>
      <c r="B411" s="4" t="s">
        <v>3229</v>
      </c>
      <c r="C411" s="4" t="s">
        <v>4284</v>
      </c>
      <c r="D411" s="4" t="s">
        <v>4285</v>
      </c>
      <c r="E411" s="4" t="s">
        <v>2063</v>
      </c>
      <c r="F411" s="4" t="n">
        <v>36</v>
      </c>
    </row>
    <row r="412" customFormat="false" ht="15" hidden="false" customHeight="false" outlineLevel="0" collapsed="false">
      <c r="A412" s="7" t="s">
        <v>3230</v>
      </c>
      <c r="B412" s="7" t="s">
        <v>3231</v>
      </c>
      <c r="C412" s="7" t="s">
        <v>4286</v>
      </c>
      <c r="D412" s="7" t="s">
        <v>4287</v>
      </c>
      <c r="E412" s="7" t="s">
        <v>2063</v>
      </c>
      <c r="F412" s="7" t="n">
        <v>12</v>
      </c>
    </row>
    <row r="413" customFormat="false" ht="15" hidden="false" customHeight="false" outlineLevel="0" collapsed="false">
      <c r="A413" s="4" t="s">
        <v>3232</v>
      </c>
      <c r="B413" s="4" t="s">
        <v>3233</v>
      </c>
      <c r="C413" s="4" t="s">
        <v>4286</v>
      </c>
      <c r="D413" s="4" t="s">
        <v>4287</v>
      </c>
      <c r="E413" s="4" t="s">
        <v>2063</v>
      </c>
      <c r="F413" s="4" t="n">
        <v>64</v>
      </c>
    </row>
    <row r="414" customFormat="false" ht="15" hidden="false" customHeight="false" outlineLevel="0" collapsed="false">
      <c r="A414" s="7" t="s">
        <v>3234</v>
      </c>
      <c r="B414" s="7" t="s">
        <v>3235</v>
      </c>
      <c r="C414" s="7" t="s">
        <v>4288</v>
      </c>
      <c r="D414" s="7" t="s">
        <v>4289</v>
      </c>
      <c r="E414" s="7" t="s">
        <v>2063</v>
      </c>
      <c r="F414" s="7" t="n">
        <v>16</v>
      </c>
    </row>
    <row r="415" customFormat="false" ht="15" hidden="false" customHeight="false" outlineLevel="0" collapsed="false">
      <c r="A415" s="4" t="s">
        <v>3236</v>
      </c>
      <c r="B415" s="4" t="s">
        <v>3237</v>
      </c>
      <c r="C415" s="4" t="s">
        <v>4288</v>
      </c>
      <c r="D415" s="4" t="s">
        <v>4289</v>
      </c>
      <c r="E415" s="4" t="s">
        <v>2063</v>
      </c>
      <c r="F415" s="4" t="n">
        <v>16</v>
      </c>
    </row>
    <row r="416" customFormat="false" ht="15" hidden="false" customHeight="false" outlineLevel="0" collapsed="false">
      <c r="A416" s="7" t="s">
        <v>3238</v>
      </c>
      <c r="B416" s="7" t="s">
        <v>3239</v>
      </c>
      <c r="C416" s="7" t="s">
        <v>4284</v>
      </c>
      <c r="D416" s="7" t="s">
        <v>4285</v>
      </c>
      <c r="E416" s="7" t="s">
        <v>2063</v>
      </c>
      <c r="F416" s="7" t="n">
        <v>48</v>
      </c>
    </row>
    <row r="417" customFormat="false" ht="15" hidden="false" customHeight="false" outlineLevel="0" collapsed="false">
      <c r="A417" s="4" t="s">
        <v>3240</v>
      </c>
      <c r="B417" s="4" t="s">
        <v>3241</v>
      </c>
      <c r="C417" s="4" t="s">
        <v>4286</v>
      </c>
      <c r="D417" s="4" t="s">
        <v>4287</v>
      </c>
      <c r="E417" s="4" t="s">
        <v>2063</v>
      </c>
      <c r="F417" s="4" t="n">
        <v>288</v>
      </c>
    </row>
    <row r="418" customFormat="false" ht="15" hidden="false" customHeight="false" outlineLevel="0" collapsed="false">
      <c r="A418" s="7" t="s">
        <v>3242</v>
      </c>
      <c r="B418" s="7" t="s">
        <v>3243</v>
      </c>
      <c r="C418" s="7" t="s">
        <v>4280</v>
      </c>
      <c r="D418" s="7" t="s">
        <v>4281</v>
      </c>
      <c r="E418" s="7" t="s">
        <v>2063</v>
      </c>
      <c r="F418" s="7" t="n">
        <v>6</v>
      </c>
    </row>
    <row r="419" customFormat="false" ht="15" hidden="false" customHeight="false" outlineLevel="0" collapsed="false">
      <c r="A419" s="4" t="s">
        <v>3244</v>
      </c>
      <c r="B419" s="4" t="s">
        <v>3245</v>
      </c>
      <c r="C419" s="4" t="s">
        <v>4280</v>
      </c>
      <c r="D419" s="4" t="s">
        <v>4281</v>
      </c>
      <c r="E419" s="4" t="s">
        <v>2063</v>
      </c>
      <c r="F419" s="4" t="n">
        <v>12</v>
      </c>
    </row>
    <row r="420" customFormat="false" ht="15" hidden="false" customHeight="false" outlineLevel="0" collapsed="false">
      <c r="A420" s="7" t="s">
        <v>3246</v>
      </c>
      <c r="B420" s="7" t="s">
        <v>3247</v>
      </c>
      <c r="C420" s="7" t="s">
        <v>4280</v>
      </c>
      <c r="D420" s="7" t="s">
        <v>4281</v>
      </c>
      <c r="E420" s="7" t="s">
        <v>2063</v>
      </c>
      <c r="F420" s="7" t="n">
        <v>96</v>
      </c>
    </row>
    <row r="421" customFormat="false" ht="15" hidden="false" customHeight="false" outlineLevel="0" collapsed="false">
      <c r="A421" s="4" t="s">
        <v>3248</v>
      </c>
      <c r="B421" s="4" t="s">
        <v>3249</v>
      </c>
      <c r="C421" s="4" t="s">
        <v>4280</v>
      </c>
      <c r="D421" s="4" t="s">
        <v>4281</v>
      </c>
      <c r="E421" s="4" t="s">
        <v>2063</v>
      </c>
      <c r="F421" s="4" t="n">
        <v>12</v>
      </c>
    </row>
    <row r="422" customFormat="false" ht="15" hidden="false" customHeight="false" outlineLevel="0" collapsed="false">
      <c r="A422" s="7" t="s">
        <v>3250</v>
      </c>
      <c r="B422" s="7" t="s">
        <v>3251</v>
      </c>
      <c r="C422" s="7" t="s">
        <v>4280</v>
      </c>
      <c r="D422" s="7" t="s">
        <v>4281</v>
      </c>
      <c r="E422" s="7" t="s">
        <v>2063</v>
      </c>
      <c r="F422" s="7" t="n">
        <v>8</v>
      </c>
    </row>
    <row r="423" customFormat="false" ht="15" hidden="false" customHeight="false" outlineLevel="0" collapsed="false">
      <c r="A423" s="4" t="s">
        <v>3252</v>
      </c>
      <c r="B423" s="4" t="s">
        <v>3253</v>
      </c>
      <c r="C423" s="4" t="s">
        <v>4280</v>
      </c>
      <c r="D423" s="4" t="s">
        <v>4281</v>
      </c>
      <c r="E423" s="4" t="s">
        <v>2063</v>
      </c>
      <c r="F423" s="4" t="n">
        <v>16</v>
      </c>
    </row>
    <row r="424" customFormat="false" ht="15" hidden="false" customHeight="false" outlineLevel="0" collapsed="false">
      <c r="A424" s="7" t="s">
        <v>3254</v>
      </c>
      <c r="B424" s="7" t="s">
        <v>3255</v>
      </c>
      <c r="C424" s="7" t="s">
        <v>4280</v>
      </c>
      <c r="D424" s="7" t="s">
        <v>4281</v>
      </c>
      <c r="E424" s="7" t="s">
        <v>2063</v>
      </c>
      <c r="F424" s="7" t="n">
        <v>24</v>
      </c>
    </row>
    <row r="425" customFormat="false" ht="15" hidden="false" customHeight="false" outlineLevel="0" collapsed="false">
      <c r="A425" s="4" t="s">
        <v>3256</v>
      </c>
      <c r="B425" s="4" t="s">
        <v>3257</v>
      </c>
      <c r="C425" s="4" t="s">
        <v>4280</v>
      </c>
      <c r="D425" s="4" t="s">
        <v>4281</v>
      </c>
      <c r="E425" s="4" t="s">
        <v>2063</v>
      </c>
      <c r="F425" s="4" t="n">
        <v>48</v>
      </c>
    </row>
    <row r="426" customFormat="false" ht="15" hidden="false" customHeight="false" outlineLevel="0" collapsed="false">
      <c r="A426" s="7" t="s">
        <v>3258</v>
      </c>
      <c r="B426" s="7" t="s">
        <v>3259</v>
      </c>
      <c r="C426" s="7" t="s">
        <v>4286</v>
      </c>
      <c r="D426" s="7" t="s">
        <v>4287</v>
      </c>
      <c r="E426" s="7" t="s">
        <v>2063</v>
      </c>
      <c r="F426" s="7" t="n">
        <v>12</v>
      </c>
    </row>
    <row r="427" customFormat="false" ht="15" hidden="false" customHeight="false" outlineLevel="0" collapsed="false">
      <c r="A427" s="4" t="s">
        <v>3260</v>
      </c>
      <c r="B427" s="4" t="s">
        <v>3261</v>
      </c>
      <c r="C427" s="4" t="s">
        <v>4288</v>
      </c>
      <c r="D427" s="4" t="s">
        <v>4289</v>
      </c>
      <c r="E427" s="4" t="s">
        <v>2063</v>
      </c>
      <c r="F427" s="4" t="n">
        <v>1</v>
      </c>
    </row>
    <row r="428" customFormat="false" ht="15" hidden="false" customHeight="false" outlineLevel="0" collapsed="false">
      <c r="A428" s="7" t="s">
        <v>3262</v>
      </c>
      <c r="B428" s="7" t="s">
        <v>3263</v>
      </c>
      <c r="C428" s="7" t="s">
        <v>4284</v>
      </c>
      <c r="D428" s="7" t="s">
        <v>4285</v>
      </c>
      <c r="E428" s="7" t="s">
        <v>2063</v>
      </c>
      <c r="F428" s="7" t="n">
        <v>376</v>
      </c>
    </row>
    <row r="429" customFormat="false" ht="15" hidden="false" customHeight="false" outlineLevel="0" collapsed="false">
      <c r="A429" s="4" t="s">
        <v>3264</v>
      </c>
      <c r="B429" s="4" t="s">
        <v>3263</v>
      </c>
      <c r="C429" s="4" t="s">
        <v>4284</v>
      </c>
      <c r="D429" s="4" t="s">
        <v>4285</v>
      </c>
      <c r="E429" s="4" t="s">
        <v>2063</v>
      </c>
      <c r="F429" s="4" t="n">
        <v>120</v>
      </c>
    </row>
    <row r="430" customFormat="false" ht="15" hidden="false" customHeight="false" outlineLevel="0" collapsed="false">
      <c r="A430" s="7" t="s">
        <v>3265</v>
      </c>
      <c r="B430" s="7" t="s">
        <v>3266</v>
      </c>
      <c r="C430" s="7" t="s">
        <v>4284</v>
      </c>
      <c r="D430" s="7" t="s">
        <v>4285</v>
      </c>
      <c r="E430" s="7" t="s">
        <v>2063</v>
      </c>
      <c r="F430" s="7" t="n">
        <v>376</v>
      </c>
    </row>
    <row r="431" customFormat="false" ht="15" hidden="false" customHeight="false" outlineLevel="0" collapsed="false">
      <c r="A431" s="4" t="s">
        <v>3267</v>
      </c>
      <c r="B431" s="4" t="s">
        <v>3266</v>
      </c>
      <c r="C431" s="4" t="s">
        <v>4284</v>
      </c>
      <c r="D431" s="4" t="s">
        <v>4285</v>
      </c>
      <c r="E431" s="4" t="s">
        <v>2063</v>
      </c>
      <c r="F431" s="4" t="n">
        <v>112</v>
      </c>
    </row>
    <row r="432" customFormat="false" ht="15" hidden="false" customHeight="false" outlineLevel="0" collapsed="false">
      <c r="A432" s="7" t="s">
        <v>3268</v>
      </c>
      <c r="B432" s="7" t="s">
        <v>3269</v>
      </c>
      <c r="C432" s="7" t="s">
        <v>4284</v>
      </c>
      <c r="D432" s="7" t="s">
        <v>4285</v>
      </c>
      <c r="E432" s="7" t="s">
        <v>2063</v>
      </c>
      <c r="F432" s="7" t="n">
        <v>432</v>
      </c>
    </row>
    <row r="433" customFormat="false" ht="15" hidden="false" customHeight="false" outlineLevel="0" collapsed="false">
      <c r="A433" s="4" t="s">
        <v>3270</v>
      </c>
      <c r="B433" s="4" t="s">
        <v>3269</v>
      </c>
      <c r="C433" s="4" t="s">
        <v>4284</v>
      </c>
      <c r="D433" s="4" t="s">
        <v>4285</v>
      </c>
      <c r="E433" s="4" t="s">
        <v>2063</v>
      </c>
      <c r="F433" s="4" t="n">
        <v>144</v>
      </c>
    </row>
    <row r="434" customFormat="false" ht="15" hidden="false" customHeight="false" outlineLevel="0" collapsed="false">
      <c r="A434" s="7" t="s">
        <v>3271</v>
      </c>
      <c r="B434" s="7" t="s">
        <v>3272</v>
      </c>
      <c r="C434" s="7" t="s">
        <v>4284</v>
      </c>
      <c r="D434" s="7" t="s">
        <v>4285</v>
      </c>
      <c r="E434" s="7" t="s">
        <v>2063</v>
      </c>
      <c r="F434" s="7" t="n">
        <v>144</v>
      </c>
    </row>
    <row r="435" customFormat="false" ht="15" hidden="false" customHeight="false" outlineLevel="0" collapsed="false">
      <c r="A435" s="4" t="s">
        <v>3273</v>
      </c>
      <c r="B435" s="4" t="s">
        <v>3272</v>
      </c>
      <c r="C435" s="4" t="s">
        <v>4284</v>
      </c>
      <c r="D435" s="4" t="s">
        <v>4285</v>
      </c>
      <c r="E435" s="4" t="s">
        <v>2063</v>
      </c>
      <c r="F435" s="4" t="n">
        <v>12</v>
      </c>
    </row>
    <row r="436" customFormat="false" ht="15" hidden="false" customHeight="false" outlineLevel="0" collapsed="false">
      <c r="A436" s="7" t="s">
        <v>3274</v>
      </c>
      <c r="B436" s="7" t="s">
        <v>3275</v>
      </c>
      <c r="C436" s="7" t="s">
        <v>4284</v>
      </c>
      <c r="D436" s="7" t="s">
        <v>4285</v>
      </c>
      <c r="E436" s="7" t="s">
        <v>2063</v>
      </c>
      <c r="F436" s="7" t="n">
        <v>288</v>
      </c>
    </row>
    <row r="437" customFormat="false" ht="15" hidden="false" customHeight="false" outlineLevel="0" collapsed="false">
      <c r="A437" s="4" t="s">
        <v>3276</v>
      </c>
      <c r="B437" s="4" t="s">
        <v>3275</v>
      </c>
      <c r="C437" s="4" t="s">
        <v>4284</v>
      </c>
      <c r="D437" s="4" t="s">
        <v>4285</v>
      </c>
      <c r="E437" s="4" t="s">
        <v>2063</v>
      </c>
      <c r="F437" s="4" t="n">
        <v>96</v>
      </c>
    </row>
    <row r="438" customFormat="false" ht="15" hidden="false" customHeight="false" outlineLevel="0" collapsed="false">
      <c r="A438" s="7" t="s">
        <v>3277</v>
      </c>
      <c r="B438" s="7" t="s">
        <v>3278</v>
      </c>
      <c r="C438" s="7" t="s">
        <v>4284</v>
      </c>
      <c r="D438" s="7" t="s">
        <v>4285</v>
      </c>
      <c r="E438" s="7" t="s">
        <v>2063</v>
      </c>
      <c r="F438" s="7" t="n">
        <v>120</v>
      </c>
    </row>
    <row r="439" customFormat="false" ht="15" hidden="false" customHeight="false" outlineLevel="0" collapsed="false">
      <c r="A439" s="4" t="s">
        <v>3279</v>
      </c>
      <c r="B439" s="4" t="s">
        <v>3278</v>
      </c>
      <c r="C439" s="4" t="s">
        <v>4284</v>
      </c>
      <c r="D439" s="4" t="s">
        <v>4285</v>
      </c>
      <c r="E439" s="4" t="s">
        <v>2063</v>
      </c>
      <c r="F439" s="4" t="n">
        <v>32</v>
      </c>
    </row>
    <row r="440" customFormat="false" ht="15" hidden="false" customHeight="false" outlineLevel="0" collapsed="false">
      <c r="A440" s="7" t="s">
        <v>3280</v>
      </c>
      <c r="B440" s="7" t="s">
        <v>3281</v>
      </c>
      <c r="C440" s="7" t="s">
        <v>4284</v>
      </c>
      <c r="D440" s="7" t="s">
        <v>4285</v>
      </c>
      <c r="E440" s="7" t="s">
        <v>2063</v>
      </c>
      <c r="F440" s="7" t="n">
        <v>120</v>
      </c>
    </row>
    <row r="441" customFormat="false" ht="15" hidden="false" customHeight="false" outlineLevel="0" collapsed="false">
      <c r="A441" s="4" t="s">
        <v>3282</v>
      </c>
      <c r="B441" s="4" t="s">
        <v>3281</v>
      </c>
      <c r="C441" s="4" t="s">
        <v>4284</v>
      </c>
      <c r="D441" s="4" t="s">
        <v>4285</v>
      </c>
      <c r="E441" s="4" t="s">
        <v>2063</v>
      </c>
      <c r="F441" s="4" t="n">
        <v>36</v>
      </c>
    </row>
    <row r="442" customFormat="false" ht="15" hidden="false" customHeight="false" outlineLevel="0" collapsed="false">
      <c r="A442" s="7" t="s">
        <v>3283</v>
      </c>
      <c r="B442" s="7" t="s">
        <v>3284</v>
      </c>
      <c r="C442" s="7" t="s">
        <v>4284</v>
      </c>
      <c r="D442" s="7" t="s">
        <v>4285</v>
      </c>
      <c r="E442" s="7" t="s">
        <v>2063</v>
      </c>
      <c r="F442" s="7" t="n">
        <v>144</v>
      </c>
    </row>
    <row r="443" customFormat="false" ht="15" hidden="false" customHeight="false" outlineLevel="0" collapsed="false">
      <c r="A443" s="4" t="s">
        <v>3285</v>
      </c>
      <c r="B443" s="4" t="s">
        <v>3284</v>
      </c>
      <c r="C443" s="4" t="s">
        <v>4284</v>
      </c>
      <c r="D443" s="4" t="s">
        <v>4285</v>
      </c>
      <c r="E443" s="4" t="s">
        <v>2063</v>
      </c>
      <c r="F443" s="4" t="n">
        <v>32</v>
      </c>
    </row>
    <row r="444" customFormat="false" ht="15" hidden="false" customHeight="false" outlineLevel="0" collapsed="false">
      <c r="A444" s="7" t="s">
        <v>3286</v>
      </c>
      <c r="B444" s="7" t="s">
        <v>3287</v>
      </c>
      <c r="C444" s="7" t="s">
        <v>4284</v>
      </c>
      <c r="D444" s="7" t="s">
        <v>4285</v>
      </c>
      <c r="E444" s="7" t="s">
        <v>2063</v>
      </c>
      <c r="F444" s="7" t="n">
        <v>24</v>
      </c>
    </row>
    <row r="445" customFormat="false" ht="15" hidden="false" customHeight="false" outlineLevel="0" collapsed="false">
      <c r="A445" s="4" t="s">
        <v>3288</v>
      </c>
      <c r="B445" s="4" t="s">
        <v>3287</v>
      </c>
      <c r="C445" s="4" t="s">
        <v>4284</v>
      </c>
      <c r="D445" s="4" t="s">
        <v>4285</v>
      </c>
      <c r="E445" s="4" t="s">
        <v>2063</v>
      </c>
      <c r="F445" s="4" t="n">
        <v>96</v>
      </c>
    </row>
    <row r="446" customFormat="false" ht="15" hidden="false" customHeight="false" outlineLevel="0" collapsed="false">
      <c r="A446" s="7" t="s">
        <v>3289</v>
      </c>
      <c r="B446" s="7" t="s">
        <v>3290</v>
      </c>
      <c r="C446" s="7" t="s">
        <v>4284</v>
      </c>
      <c r="D446" s="7" t="s">
        <v>4285</v>
      </c>
      <c r="E446" s="7" t="s">
        <v>2063</v>
      </c>
      <c r="F446" s="7" t="n">
        <v>9</v>
      </c>
    </row>
    <row r="447" customFormat="false" ht="15" hidden="false" customHeight="false" outlineLevel="0" collapsed="false">
      <c r="A447" s="4" t="s">
        <v>3291</v>
      </c>
      <c r="B447" s="4" t="s">
        <v>3290</v>
      </c>
      <c r="C447" s="4" t="s">
        <v>4284</v>
      </c>
      <c r="D447" s="4" t="s">
        <v>4285</v>
      </c>
      <c r="E447" s="4" t="s">
        <v>2063</v>
      </c>
      <c r="F447" s="4" t="n">
        <v>84</v>
      </c>
    </row>
    <row r="448" customFormat="false" ht="15" hidden="false" customHeight="false" outlineLevel="0" collapsed="false">
      <c r="A448" s="7" t="s">
        <v>3292</v>
      </c>
      <c r="B448" s="7" t="s">
        <v>3293</v>
      </c>
      <c r="C448" s="7" t="s">
        <v>4288</v>
      </c>
      <c r="D448" s="7" t="s">
        <v>4289</v>
      </c>
      <c r="E448" s="7" t="s">
        <v>2063</v>
      </c>
      <c r="F448" s="7" t="n">
        <v>48</v>
      </c>
    </row>
    <row r="449" customFormat="false" ht="15" hidden="false" customHeight="false" outlineLevel="0" collapsed="false">
      <c r="A449" s="4" t="s">
        <v>3294</v>
      </c>
      <c r="B449" s="4" t="s">
        <v>3293</v>
      </c>
      <c r="C449" s="4" t="s">
        <v>4288</v>
      </c>
      <c r="D449" s="4" t="s">
        <v>4289</v>
      </c>
      <c r="E449" s="4" t="s">
        <v>2063</v>
      </c>
      <c r="F449" s="4" t="n">
        <v>48</v>
      </c>
    </row>
    <row r="450" customFormat="false" ht="15" hidden="false" customHeight="false" outlineLevel="0" collapsed="false">
      <c r="A450" s="7" t="s">
        <v>3295</v>
      </c>
      <c r="B450" s="7" t="s">
        <v>3296</v>
      </c>
      <c r="C450" s="7" t="s">
        <v>4288</v>
      </c>
      <c r="D450" s="7" t="s">
        <v>4289</v>
      </c>
      <c r="E450" s="7" t="s">
        <v>2063</v>
      </c>
      <c r="F450" s="7" t="n">
        <v>12</v>
      </c>
    </row>
    <row r="451" customFormat="false" ht="15" hidden="false" customHeight="false" outlineLevel="0" collapsed="false">
      <c r="A451" s="4" t="s">
        <v>3297</v>
      </c>
      <c r="B451" s="4" t="s">
        <v>3296</v>
      </c>
      <c r="C451" s="4" t="s">
        <v>4288</v>
      </c>
      <c r="D451" s="4" t="s">
        <v>4289</v>
      </c>
      <c r="E451" s="4" t="s">
        <v>2063</v>
      </c>
      <c r="F451" s="4" t="n">
        <v>24</v>
      </c>
    </row>
    <row r="452" customFormat="false" ht="15" hidden="false" customHeight="false" outlineLevel="0" collapsed="false">
      <c r="A452" s="7" t="s">
        <v>3298</v>
      </c>
      <c r="B452" s="7" t="s">
        <v>3296</v>
      </c>
      <c r="C452" s="7" t="s">
        <v>4288</v>
      </c>
      <c r="D452" s="7" t="s">
        <v>4289</v>
      </c>
      <c r="E452" s="7" t="s">
        <v>2063</v>
      </c>
      <c r="F452" s="7" t="n">
        <v>12</v>
      </c>
    </row>
    <row r="453" customFormat="false" ht="15" hidden="false" customHeight="false" outlineLevel="0" collapsed="false">
      <c r="A453" s="4" t="s">
        <v>3299</v>
      </c>
      <c r="B453" s="4" t="s">
        <v>3300</v>
      </c>
      <c r="C453" s="4" t="s">
        <v>4288</v>
      </c>
      <c r="D453" s="4" t="s">
        <v>4289</v>
      </c>
      <c r="E453" s="4" t="s">
        <v>2063</v>
      </c>
      <c r="F453" s="4" t="n">
        <v>24</v>
      </c>
    </row>
    <row r="454" customFormat="false" ht="15" hidden="false" customHeight="false" outlineLevel="0" collapsed="false">
      <c r="A454" s="7" t="s">
        <v>3301</v>
      </c>
      <c r="B454" s="7" t="s">
        <v>3300</v>
      </c>
      <c r="C454" s="7" t="s">
        <v>4288</v>
      </c>
      <c r="D454" s="7" t="s">
        <v>4289</v>
      </c>
      <c r="E454" s="7" t="s">
        <v>2063</v>
      </c>
      <c r="F454" s="7" t="n">
        <v>16</v>
      </c>
    </row>
    <row r="455" customFormat="false" ht="15" hidden="false" customHeight="false" outlineLevel="0" collapsed="false">
      <c r="A455" s="4" t="s">
        <v>3302</v>
      </c>
      <c r="B455" s="4" t="s">
        <v>3303</v>
      </c>
      <c r="C455" s="4" t="s">
        <v>4284</v>
      </c>
      <c r="D455" s="4" t="s">
        <v>4285</v>
      </c>
      <c r="E455" s="4" t="s">
        <v>2063</v>
      </c>
      <c r="F455" s="4" t="n">
        <v>6</v>
      </c>
    </row>
    <row r="456" customFormat="false" ht="15" hidden="false" customHeight="false" outlineLevel="0" collapsed="false">
      <c r="A456" s="7" t="s">
        <v>3304</v>
      </c>
      <c r="B456" s="7" t="s">
        <v>3303</v>
      </c>
      <c r="C456" s="7" t="s">
        <v>4284</v>
      </c>
      <c r="D456" s="7" t="s">
        <v>4285</v>
      </c>
      <c r="E456" s="7" t="s">
        <v>2063</v>
      </c>
      <c r="F456" s="7" t="n">
        <v>8</v>
      </c>
    </row>
    <row r="457" customFormat="false" ht="15" hidden="false" customHeight="false" outlineLevel="0" collapsed="false">
      <c r="A457" s="4" t="s">
        <v>3305</v>
      </c>
      <c r="B457" s="4" t="s">
        <v>3303</v>
      </c>
      <c r="C457" s="4" t="s">
        <v>4284</v>
      </c>
      <c r="D457" s="4" t="s">
        <v>4285</v>
      </c>
      <c r="E457" s="4" t="s">
        <v>2063</v>
      </c>
      <c r="F457" s="4" t="n">
        <v>48</v>
      </c>
    </row>
    <row r="458" customFormat="false" ht="15" hidden="false" customHeight="false" outlineLevel="0" collapsed="false">
      <c r="A458" s="7" t="s">
        <v>3306</v>
      </c>
      <c r="B458" s="7" t="s">
        <v>3307</v>
      </c>
      <c r="C458" s="7" t="s">
        <v>4284</v>
      </c>
      <c r="D458" s="7" t="s">
        <v>4285</v>
      </c>
      <c r="E458" s="7" t="s">
        <v>2063</v>
      </c>
      <c r="F458" s="7" t="n">
        <v>16</v>
      </c>
    </row>
    <row r="459" customFormat="false" ht="15" hidden="false" customHeight="false" outlineLevel="0" collapsed="false">
      <c r="A459" s="4" t="s">
        <v>3308</v>
      </c>
      <c r="B459" s="4" t="s">
        <v>3307</v>
      </c>
      <c r="C459" s="4" t="s">
        <v>4280</v>
      </c>
      <c r="D459" s="4" t="s">
        <v>4281</v>
      </c>
      <c r="E459" s="4" t="s">
        <v>2063</v>
      </c>
      <c r="F459" s="4" t="n">
        <v>6</v>
      </c>
    </row>
    <row r="460" customFormat="false" ht="15" hidden="false" customHeight="false" outlineLevel="0" collapsed="false">
      <c r="A460" s="7" t="s">
        <v>3309</v>
      </c>
      <c r="B460" s="7" t="s">
        <v>3310</v>
      </c>
      <c r="C460" s="7" t="s">
        <v>4284</v>
      </c>
      <c r="D460" s="7" t="s">
        <v>4285</v>
      </c>
      <c r="E460" s="7" t="s">
        <v>2063</v>
      </c>
      <c r="F460" s="7" t="n">
        <v>36</v>
      </c>
    </row>
    <row r="461" customFormat="false" ht="15" hidden="false" customHeight="false" outlineLevel="0" collapsed="false">
      <c r="A461" s="4" t="s">
        <v>3311</v>
      </c>
      <c r="B461" s="4" t="s">
        <v>3312</v>
      </c>
      <c r="C461" s="4" t="s">
        <v>4284</v>
      </c>
      <c r="D461" s="4" t="s">
        <v>4285</v>
      </c>
      <c r="E461" s="4" t="s">
        <v>2063</v>
      </c>
      <c r="F461" s="4" t="n">
        <v>12</v>
      </c>
    </row>
    <row r="462" customFormat="false" ht="15" hidden="false" customHeight="false" outlineLevel="0" collapsed="false">
      <c r="A462" s="7" t="s">
        <v>3313</v>
      </c>
      <c r="B462" s="7" t="s">
        <v>3314</v>
      </c>
      <c r="C462" s="7" t="s">
        <v>4284</v>
      </c>
      <c r="D462" s="7" t="s">
        <v>4285</v>
      </c>
      <c r="E462" s="7" t="s">
        <v>2063</v>
      </c>
      <c r="F462" s="7" t="n">
        <v>16</v>
      </c>
    </row>
    <row r="463" customFormat="false" ht="15" hidden="false" customHeight="false" outlineLevel="0" collapsed="false">
      <c r="A463" s="4" t="s">
        <v>3315</v>
      </c>
      <c r="B463" s="4" t="s">
        <v>3314</v>
      </c>
      <c r="C463" s="4" t="s">
        <v>4284</v>
      </c>
      <c r="D463" s="4" t="s">
        <v>4285</v>
      </c>
      <c r="E463" s="4" t="s">
        <v>2063</v>
      </c>
      <c r="F463" s="4" t="n">
        <v>10</v>
      </c>
    </row>
    <row r="464" customFormat="false" ht="15" hidden="false" customHeight="false" outlineLevel="0" collapsed="false">
      <c r="A464" s="7" t="s">
        <v>3316</v>
      </c>
      <c r="B464" s="7" t="s">
        <v>3317</v>
      </c>
      <c r="C464" s="7" t="s">
        <v>4284</v>
      </c>
      <c r="D464" s="7" t="s">
        <v>4285</v>
      </c>
      <c r="E464" s="7" t="s">
        <v>2063</v>
      </c>
      <c r="F464" s="7" t="n">
        <v>32</v>
      </c>
    </row>
    <row r="465" customFormat="false" ht="15" hidden="false" customHeight="false" outlineLevel="0" collapsed="false">
      <c r="A465" s="4" t="s">
        <v>3318</v>
      </c>
      <c r="B465" s="4" t="s">
        <v>3317</v>
      </c>
      <c r="C465" s="4" t="s">
        <v>4284</v>
      </c>
      <c r="D465" s="4" t="s">
        <v>4285</v>
      </c>
      <c r="E465" s="4" t="s">
        <v>2063</v>
      </c>
      <c r="F465" s="4" t="n">
        <v>16</v>
      </c>
    </row>
    <row r="466" customFormat="false" ht="15" hidden="false" customHeight="false" outlineLevel="0" collapsed="false">
      <c r="A466" s="7" t="s">
        <v>3319</v>
      </c>
      <c r="B466" s="7" t="s">
        <v>3320</v>
      </c>
      <c r="C466" s="7" t="s">
        <v>4284</v>
      </c>
      <c r="D466" s="7" t="s">
        <v>4285</v>
      </c>
      <c r="E466" s="7" t="s">
        <v>2063</v>
      </c>
      <c r="F466" s="7" t="n">
        <v>8</v>
      </c>
    </row>
    <row r="467" customFormat="false" ht="15" hidden="false" customHeight="false" outlineLevel="0" collapsed="false">
      <c r="A467" s="4" t="s">
        <v>3321</v>
      </c>
      <c r="B467" s="4" t="s">
        <v>3322</v>
      </c>
      <c r="C467" s="4" t="s">
        <v>4284</v>
      </c>
      <c r="D467" s="4" t="s">
        <v>4285</v>
      </c>
      <c r="E467" s="4" t="s">
        <v>2063</v>
      </c>
      <c r="F467" s="4" t="n">
        <v>16</v>
      </c>
    </row>
    <row r="468" customFormat="false" ht="15" hidden="false" customHeight="false" outlineLevel="0" collapsed="false">
      <c r="A468" s="7" t="s">
        <v>3323</v>
      </c>
      <c r="B468" s="7" t="s">
        <v>3324</v>
      </c>
      <c r="C468" s="7" t="s">
        <v>4284</v>
      </c>
      <c r="D468" s="7" t="s">
        <v>4285</v>
      </c>
      <c r="E468" s="7" t="s">
        <v>2063</v>
      </c>
      <c r="F468" s="7" t="n">
        <v>8</v>
      </c>
    </row>
    <row r="469" customFormat="false" ht="15" hidden="false" customHeight="false" outlineLevel="0" collapsed="false">
      <c r="A469" s="4" t="s">
        <v>3325</v>
      </c>
      <c r="B469" s="4" t="s">
        <v>3324</v>
      </c>
      <c r="C469" s="4" t="s">
        <v>4284</v>
      </c>
      <c r="D469" s="4" t="s">
        <v>4285</v>
      </c>
      <c r="E469" s="4" t="s">
        <v>2063</v>
      </c>
      <c r="F469" s="4" t="n">
        <v>4</v>
      </c>
    </row>
    <row r="470" customFormat="false" ht="15" hidden="false" customHeight="false" outlineLevel="0" collapsed="false">
      <c r="A470" s="7" t="s">
        <v>3326</v>
      </c>
      <c r="B470" s="7" t="s">
        <v>3327</v>
      </c>
      <c r="C470" s="7" t="s">
        <v>4284</v>
      </c>
      <c r="D470" s="7" t="s">
        <v>4285</v>
      </c>
      <c r="E470" s="7" t="s">
        <v>2063</v>
      </c>
      <c r="F470" s="7" t="n">
        <v>16</v>
      </c>
    </row>
    <row r="471" customFormat="false" ht="15" hidden="false" customHeight="false" outlineLevel="0" collapsed="false">
      <c r="A471" s="4" t="s">
        <v>3328</v>
      </c>
      <c r="B471" s="4" t="s">
        <v>3327</v>
      </c>
      <c r="C471" s="4" t="s">
        <v>4284</v>
      </c>
      <c r="D471" s="4" t="s">
        <v>4285</v>
      </c>
      <c r="E471" s="4" t="s">
        <v>2063</v>
      </c>
      <c r="F471" s="4" t="n">
        <v>6</v>
      </c>
    </row>
    <row r="472" customFormat="false" ht="15" hidden="false" customHeight="false" outlineLevel="0" collapsed="false">
      <c r="A472" s="7" t="s">
        <v>3329</v>
      </c>
      <c r="B472" s="7" t="s">
        <v>3327</v>
      </c>
      <c r="C472" s="7" t="s">
        <v>4284</v>
      </c>
      <c r="D472" s="7" t="s">
        <v>4285</v>
      </c>
      <c r="E472" s="7" t="s">
        <v>2063</v>
      </c>
      <c r="F472" s="7" t="n">
        <v>24</v>
      </c>
    </row>
    <row r="473" customFormat="false" ht="15" hidden="false" customHeight="false" outlineLevel="0" collapsed="false">
      <c r="A473" s="4" t="s">
        <v>3330</v>
      </c>
      <c r="B473" s="4" t="s">
        <v>3327</v>
      </c>
      <c r="C473" s="4" t="s">
        <v>4284</v>
      </c>
      <c r="D473" s="4" t="s">
        <v>4285</v>
      </c>
      <c r="E473" s="4" t="s">
        <v>2063</v>
      </c>
      <c r="F473" s="4" t="n">
        <v>72</v>
      </c>
    </row>
    <row r="474" customFormat="false" ht="15" hidden="false" customHeight="false" outlineLevel="0" collapsed="false">
      <c r="A474" s="7" t="s">
        <v>3331</v>
      </c>
      <c r="B474" s="7" t="s">
        <v>3327</v>
      </c>
      <c r="C474" s="7" t="s">
        <v>4284</v>
      </c>
      <c r="D474" s="7" t="s">
        <v>4285</v>
      </c>
      <c r="E474" s="7" t="s">
        <v>2063</v>
      </c>
      <c r="F474" s="7" t="n">
        <v>24</v>
      </c>
    </row>
    <row r="475" customFormat="false" ht="15" hidden="false" customHeight="false" outlineLevel="0" collapsed="false">
      <c r="A475" s="4" t="s">
        <v>3332</v>
      </c>
      <c r="B475" s="4" t="s">
        <v>3333</v>
      </c>
      <c r="C475" s="4" t="s">
        <v>4284</v>
      </c>
      <c r="D475" s="4" t="s">
        <v>4285</v>
      </c>
      <c r="E475" s="4" t="s">
        <v>2063</v>
      </c>
      <c r="F475" s="4" t="n">
        <v>6</v>
      </c>
    </row>
    <row r="476" customFormat="false" ht="15" hidden="false" customHeight="false" outlineLevel="0" collapsed="false">
      <c r="A476" s="7" t="s">
        <v>3334</v>
      </c>
      <c r="B476" s="7" t="s">
        <v>3335</v>
      </c>
      <c r="C476" s="7" t="s">
        <v>4284</v>
      </c>
      <c r="D476" s="7" t="s">
        <v>4285</v>
      </c>
      <c r="E476" s="7" t="s">
        <v>2063</v>
      </c>
      <c r="F476" s="7" t="n">
        <v>32</v>
      </c>
    </row>
    <row r="477" customFormat="false" ht="15" hidden="false" customHeight="false" outlineLevel="0" collapsed="false">
      <c r="A477" s="4" t="s">
        <v>3336</v>
      </c>
      <c r="B477" s="4" t="s">
        <v>3335</v>
      </c>
      <c r="C477" s="4" t="s">
        <v>4284</v>
      </c>
      <c r="D477" s="4" t="s">
        <v>4285</v>
      </c>
      <c r="E477" s="4" t="s">
        <v>2063</v>
      </c>
      <c r="F477" s="4" t="n">
        <v>12</v>
      </c>
    </row>
    <row r="478" customFormat="false" ht="15" hidden="false" customHeight="false" outlineLevel="0" collapsed="false">
      <c r="A478" s="7" t="s">
        <v>3337</v>
      </c>
      <c r="B478" s="7" t="s">
        <v>3338</v>
      </c>
      <c r="C478" s="7" t="s">
        <v>4284</v>
      </c>
      <c r="D478" s="7" t="s">
        <v>4285</v>
      </c>
      <c r="E478" s="7" t="s">
        <v>2063</v>
      </c>
      <c r="F478" s="7" t="n">
        <v>32</v>
      </c>
    </row>
    <row r="479" customFormat="false" ht="15" hidden="false" customHeight="false" outlineLevel="0" collapsed="false">
      <c r="A479" s="4" t="s">
        <v>3339</v>
      </c>
      <c r="B479" s="4" t="s">
        <v>3340</v>
      </c>
      <c r="C479" s="4" t="s">
        <v>4284</v>
      </c>
      <c r="D479" s="4" t="s">
        <v>4285</v>
      </c>
      <c r="E479" s="4" t="s">
        <v>2063</v>
      </c>
      <c r="F479" s="4" t="n">
        <v>20</v>
      </c>
    </row>
    <row r="480" customFormat="false" ht="15" hidden="false" customHeight="false" outlineLevel="0" collapsed="false">
      <c r="A480" s="7" t="s">
        <v>3341</v>
      </c>
      <c r="B480" s="7" t="s">
        <v>3342</v>
      </c>
      <c r="C480" s="7" t="s">
        <v>4284</v>
      </c>
      <c r="D480" s="7" t="s">
        <v>4285</v>
      </c>
      <c r="E480" s="7" t="s">
        <v>2063</v>
      </c>
      <c r="F480" s="7" t="n">
        <v>16</v>
      </c>
    </row>
    <row r="481" customFormat="false" ht="15" hidden="false" customHeight="false" outlineLevel="0" collapsed="false">
      <c r="A481" s="4" t="s">
        <v>3343</v>
      </c>
      <c r="B481" s="4" t="s">
        <v>3342</v>
      </c>
      <c r="C481" s="4" t="s">
        <v>4284</v>
      </c>
      <c r="D481" s="4" t="s">
        <v>4285</v>
      </c>
      <c r="E481" s="4" t="s">
        <v>2063</v>
      </c>
      <c r="F481" s="4" t="n">
        <v>48</v>
      </c>
    </row>
    <row r="482" customFormat="false" ht="15" hidden="false" customHeight="false" outlineLevel="0" collapsed="false">
      <c r="A482" s="7" t="s">
        <v>3344</v>
      </c>
      <c r="B482" s="7" t="s">
        <v>3345</v>
      </c>
      <c r="C482" s="7" t="s">
        <v>4284</v>
      </c>
      <c r="D482" s="7" t="s">
        <v>4285</v>
      </c>
      <c r="E482" s="7" t="s">
        <v>2063</v>
      </c>
      <c r="F482" s="7" t="n">
        <v>32</v>
      </c>
    </row>
    <row r="483" customFormat="false" ht="15" hidden="false" customHeight="false" outlineLevel="0" collapsed="false">
      <c r="A483" s="4" t="s">
        <v>3346</v>
      </c>
      <c r="B483" s="4" t="s">
        <v>3338</v>
      </c>
      <c r="C483" s="4" t="s">
        <v>4284</v>
      </c>
      <c r="D483" s="4" t="s">
        <v>4285</v>
      </c>
      <c r="E483" s="4" t="s">
        <v>2063</v>
      </c>
      <c r="F483" s="4" t="n">
        <v>72</v>
      </c>
    </row>
    <row r="484" customFormat="false" ht="15" hidden="false" customHeight="false" outlineLevel="0" collapsed="false">
      <c r="A484" s="7" t="s">
        <v>3347</v>
      </c>
      <c r="B484" s="7" t="s">
        <v>3338</v>
      </c>
      <c r="C484" s="7" t="s">
        <v>4284</v>
      </c>
      <c r="D484" s="7" t="s">
        <v>4285</v>
      </c>
      <c r="E484" s="7" t="s">
        <v>2063</v>
      </c>
      <c r="F484" s="7" t="n">
        <v>20</v>
      </c>
    </row>
    <row r="485" customFormat="false" ht="15" hidden="false" customHeight="false" outlineLevel="0" collapsed="false">
      <c r="A485" s="4" t="s">
        <v>3348</v>
      </c>
      <c r="B485" s="4" t="s">
        <v>3349</v>
      </c>
      <c r="C485" s="4" t="s">
        <v>4284</v>
      </c>
      <c r="D485" s="4" t="s">
        <v>4285</v>
      </c>
      <c r="E485" s="4" t="s">
        <v>2063</v>
      </c>
      <c r="F485" s="4" t="n">
        <v>12</v>
      </c>
    </row>
    <row r="486" customFormat="false" ht="15" hidden="false" customHeight="false" outlineLevel="0" collapsed="false">
      <c r="A486" s="7" t="s">
        <v>3350</v>
      </c>
      <c r="B486" s="7" t="s">
        <v>3351</v>
      </c>
      <c r="C486" s="7" t="s">
        <v>4284</v>
      </c>
      <c r="D486" s="7" t="s">
        <v>4285</v>
      </c>
      <c r="E486" s="7" t="s">
        <v>2063</v>
      </c>
      <c r="F486" s="7" t="n">
        <v>36</v>
      </c>
    </row>
    <row r="487" customFormat="false" ht="15" hidden="false" customHeight="false" outlineLevel="0" collapsed="false">
      <c r="A487" s="4" t="s">
        <v>3352</v>
      </c>
      <c r="B487" s="4" t="s">
        <v>3351</v>
      </c>
      <c r="C487" s="4" t="s">
        <v>4284</v>
      </c>
      <c r="D487" s="4" t="s">
        <v>4285</v>
      </c>
      <c r="E487" s="4" t="s">
        <v>2063</v>
      </c>
      <c r="F487" s="4" t="n">
        <v>36</v>
      </c>
    </row>
    <row r="488" customFormat="false" ht="15" hidden="false" customHeight="false" outlineLevel="0" collapsed="false">
      <c r="A488" s="7" t="s">
        <v>3353</v>
      </c>
      <c r="B488" s="7" t="s">
        <v>3354</v>
      </c>
      <c r="C488" s="7" t="s">
        <v>4284</v>
      </c>
      <c r="D488" s="7" t="s">
        <v>4285</v>
      </c>
      <c r="E488" s="7" t="s">
        <v>2063</v>
      </c>
      <c r="F488" s="7" t="n">
        <v>8</v>
      </c>
    </row>
    <row r="489" customFormat="false" ht="15" hidden="false" customHeight="false" outlineLevel="0" collapsed="false">
      <c r="A489" s="4" t="s">
        <v>3355</v>
      </c>
      <c r="B489" s="4" t="s">
        <v>3356</v>
      </c>
      <c r="C489" s="4" t="s">
        <v>4284</v>
      </c>
      <c r="D489" s="4" t="s">
        <v>4285</v>
      </c>
      <c r="E489" s="4" t="s">
        <v>2063</v>
      </c>
      <c r="F489" s="4" t="n">
        <v>8</v>
      </c>
    </row>
    <row r="490" customFormat="false" ht="15" hidden="false" customHeight="false" outlineLevel="0" collapsed="false">
      <c r="A490" s="7" t="s">
        <v>3357</v>
      </c>
      <c r="B490" s="7" t="s">
        <v>3358</v>
      </c>
      <c r="C490" s="7" t="s">
        <v>4284</v>
      </c>
      <c r="D490" s="7" t="s">
        <v>4285</v>
      </c>
      <c r="E490" s="7" t="s">
        <v>2063</v>
      </c>
      <c r="F490" s="7" t="n">
        <v>12</v>
      </c>
    </row>
    <row r="491" customFormat="false" ht="15" hidden="false" customHeight="false" outlineLevel="0" collapsed="false">
      <c r="A491" s="4" t="s">
        <v>3359</v>
      </c>
      <c r="B491" s="4" t="s">
        <v>3356</v>
      </c>
      <c r="C491" s="4" t="s">
        <v>4284</v>
      </c>
      <c r="D491" s="4" t="s">
        <v>4285</v>
      </c>
      <c r="E491" s="4" t="s">
        <v>2063</v>
      </c>
      <c r="F491" s="4" t="n">
        <v>12</v>
      </c>
    </row>
    <row r="492" customFormat="false" ht="15" hidden="false" customHeight="false" outlineLevel="0" collapsed="false">
      <c r="A492" s="7" t="s">
        <v>3360</v>
      </c>
      <c r="B492" s="7" t="s">
        <v>3356</v>
      </c>
      <c r="C492" s="7" t="s">
        <v>4284</v>
      </c>
      <c r="D492" s="7" t="s">
        <v>4285</v>
      </c>
      <c r="E492" s="7" t="s">
        <v>2063</v>
      </c>
      <c r="F492" s="7" t="n">
        <v>4</v>
      </c>
    </row>
    <row r="493" customFormat="false" ht="15" hidden="false" customHeight="false" outlineLevel="0" collapsed="false">
      <c r="A493" s="4" t="s">
        <v>3361</v>
      </c>
      <c r="B493" s="4" t="s">
        <v>3362</v>
      </c>
      <c r="C493" s="4" t="s">
        <v>4284</v>
      </c>
      <c r="D493" s="4" t="s">
        <v>4285</v>
      </c>
      <c r="E493" s="4" t="s">
        <v>2063</v>
      </c>
      <c r="F493" s="4" t="n">
        <v>3</v>
      </c>
    </row>
    <row r="494" customFormat="false" ht="15" hidden="false" customHeight="false" outlineLevel="0" collapsed="false">
      <c r="A494" s="7" t="s">
        <v>3363</v>
      </c>
      <c r="B494" s="7" t="s">
        <v>3364</v>
      </c>
      <c r="C494" s="7" t="s">
        <v>4284</v>
      </c>
      <c r="D494" s="7" t="s">
        <v>4285</v>
      </c>
      <c r="E494" s="7" t="s">
        <v>2063</v>
      </c>
      <c r="F494" s="7" t="n">
        <v>12</v>
      </c>
    </row>
    <row r="495" customFormat="false" ht="15" hidden="false" customHeight="false" outlineLevel="0" collapsed="false">
      <c r="A495" s="4" t="s">
        <v>3365</v>
      </c>
      <c r="B495" s="4" t="s">
        <v>3364</v>
      </c>
      <c r="C495" s="4" t="s">
        <v>4284</v>
      </c>
      <c r="D495" s="4" t="s">
        <v>4285</v>
      </c>
      <c r="E495" s="4" t="s">
        <v>2063</v>
      </c>
      <c r="F495" s="4" t="n">
        <v>16</v>
      </c>
    </row>
    <row r="496" customFormat="false" ht="15" hidden="false" customHeight="false" outlineLevel="0" collapsed="false">
      <c r="A496" s="7" t="s">
        <v>3366</v>
      </c>
      <c r="B496" s="7" t="s">
        <v>3367</v>
      </c>
      <c r="C496" s="7" t="s">
        <v>4284</v>
      </c>
      <c r="D496" s="7" t="s">
        <v>4285</v>
      </c>
      <c r="E496" s="7" t="s">
        <v>2063</v>
      </c>
      <c r="F496" s="7" t="n">
        <v>3</v>
      </c>
    </row>
    <row r="497" customFormat="false" ht="15" hidden="false" customHeight="false" outlineLevel="0" collapsed="false">
      <c r="A497" s="4" t="s">
        <v>3368</v>
      </c>
      <c r="B497" s="4" t="s">
        <v>3369</v>
      </c>
      <c r="C497" s="4" t="s">
        <v>4284</v>
      </c>
      <c r="D497" s="4" t="s">
        <v>4285</v>
      </c>
      <c r="E497" s="4" t="s">
        <v>2063</v>
      </c>
      <c r="F497" s="4" t="n">
        <v>20</v>
      </c>
    </row>
    <row r="498" customFormat="false" ht="15" hidden="false" customHeight="false" outlineLevel="0" collapsed="false">
      <c r="A498" s="7" t="s">
        <v>3370</v>
      </c>
      <c r="B498" s="7" t="s">
        <v>3371</v>
      </c>
      <c r="C498" s="7" t="s">
        <v>4278</v>
      </c>
      <c r="D498" s="7" t="s">
        <v>4279</v>
      </c>
      <c r="E498" s="7" t="s">
        <v>2063</v>
      </c>
      <c r="F498" s="7" t="n">
        <v>32</v>
      </c>
    </row>
    <row r="499" customFormat="false" ht="15" hidden="false" customHeight="false" outlineLevel="0" collapsed="false">
      <c r="A499" s="4" t="s">
        <v>3372</v>
      </c>
      <c r="B499" s="4" t="s">
        <v>3371</v>
      </c>
      <c r="C499" s="4" t="s">
        <v>4278</v>
      </c>
      <c r="D499" s="4" t="s">
        <v>4279</v>
      </c>
      <c r="E499" s="4" t="s">
        <v>2063</v>
      </c>
      <c r="F499" s="4" t="n">
        <v>96</v>
      </c>
    </row>
    <row r="500" customFormat="false" ht="15" hidden="false" customHeight="false" outlineLevel="0" collapsed="false">
      <c r="A500" s="7" t="s">
        <v>3373</v>
      </c>
      <c r="B500" s="7" t="s">
        <v>3371</v>
      </c>
      <c r="C500" s="7" t="s">
        <v>4278</v>
      </c>
      <c r="D500" s="7" t="s">
        <v>4279</v>
      </c>
      <c r="E500" s="7" t="s">
        <v>2063</v>
      </c>
      <c r="F500" s="7" t="n">
        <v>3</v>
      </c>
    </row>
    <row r="501" customFormat="false" ht="15" hidden="false" customHeight="false" outlineLevel="0" collapsed="false">
      <c r="A501" s="4" t="s">
        <v>3374</v>
      </c>
      <c r="B501" s="4" t="s">
        <v>3375</v>
      </c>
      <c r="C501" s="4" t="s">
        <v>4278</v>
      </c>
      <c r="D501" s="4" t="s">
        <v>4279</v>
      </c>
      <c r="E501" s="4" t="s">
        <v>2063</v>
      </c>
      <c r="F501" s="4" t="n">
        <v>72</v>
      </c>
    </row>
    <row r="502" customFormat="false" ht="15" hidden="false" customHeight="false" outlineLevel="0" collapsed="false">
      <c r="A502" s="7" t="s">
        <v>3376</v>
      </c>
      <c r="B502" s="7" t="s">
        <v>3375</v>
      </c>
      <c r="C502" s="7" t="s">
        <v>4278</v>
      </c>
      <c r="D502" s="7" t="s">
        <v>4279</v>
      </c>
      <c r="E502" s="7" t="s">
        <v>2063</v>
      </c>
      <c r="F502" s="7" t="n">
        <v>216</v>
      </c>
    </row>
    <row r="503" customFormat="false" ht="15" hidden="false" customHeight="false" outlineLevel="0" collapsed="false">
      <c r="A503" s="4" t="s">
        <v>3377</v>
      </c>
      <c r="B503" s="4" t="s">
        <v>3375</v>
      </c>
      <c r="C503" s="4" t="s">
        <v>4278</v>
      </c>
      <c r="D503" s="4" t="s">
        <v>4279</v>
      </c>
      <c r="E503" s="4" t="s">
        <v>2063</v>
      </c>
      <c r="F503" s="4" t="n">
        <v>4</v>
      </c>
    </row>
    <row r="504" customFormat="false" ht="15" hidden="false" customHeight="false" outlineLevel="0" collapsed="false">
      <c r="A504" s="7" t="s">
        <v>3378</v>
      </c>
      <c r="B504" s="7" t="s">
        <v>3371</v>
      </c>
      <c r="C504" s="7" t="s">
        <v>4278</v>
      </c>
      <c r="D504" s="7" t="s">
        <v>4279</v>
      </c>
      <c r="E504" s="7" t="s">
        <v>2063</v>
      </c>
      <c r="F504" s="7" t="n">
        <v>12</v>
      </c>
    </row>
    <row r="505" customFormat="false" ht="15" hidden="false" customHeight="false" outlineLevel="0" collapsed="false">
      <c r="A505" s="4" t="s">
        <v>3379</v>
      </c>
      <c r="B505" s="4" t="s">
        <v>3371</v>
      </c>
      <c r="C505" s="4" t="s">
        <v>4278</v>
      </c>
      <c r="D505" s="4" t="s">
        <v>4279</v>
      </c>
      <c r="E505" s="4" t="s">
        <v>2063</v>
      </c>
      <c r="F505" s="4" t="n">
        <v>96</v>
      </c>
    </row>
    <row r="506" customFormat="false" ht="15" hidden="false" customHeight="false" outlineLevel="0" collapsed="false">
      <c r="A506" s="7" t="s">
        <v>3380</v>
      </c>
      <c r="B506" s="7" t="s">
        <v>3371</v>
      </c>
      <c r="C506" s="7" t="s">
        <v>4278</v>
      </c>
      <c r="D506" s="7" t="s">
        <v>4279</v>
      </c>
      <c r="E506" s="7" t="s">
        <v>2063</v>
      </c>
      <c r="F506" s="7" t="n">
        <v>48</v>
      </c>
    </row>
    <row r="507" customFormat="false" ht="15" hidden="false" customHeight="false" outlineLevel="0" collapsed="false">
      <c r="A507" s="4" t="s">
        <v>3381</v>
      </c>
      <c r="B507" s="4" t="s">
        <v>3371</v>
      </c>
      <c r="C507" s="4" t="s">
        <v>4278</v>
      </c>
      <c r="D507" s="4" t="s">
        <v>4279</v>
      </c>
      <c r="E507" s="4" t="s">
        <v>2063</v>
      </c>
      <c r="F507" s="4" t="n">
        <v>36</v>
      </c>
    </row>
    <row r="508" customFormat="false" ht="15" hidden="false" customHeight="false" outlineLevel="0" collapsed="false">
      <c r="A508" s="7" t="s">
        <v>3382</v>
      </c>
      <c r="B508" s="7" t="s">
        <v>3383</v>
      </c>
      <c r="C508" s="7" t="s">
        <v>4286</v>
      </c>
      <c r="D508" s="7" t="s">
        <v>4287</v>
      </c>
      <c r="E508" s="7" t="s">
        <v>2063</v>
      </c>
      <c r="F508" s="7" t="n">
        <v>144</v>
      </c>
    </row>
    <row r="509" customFormat="false" ht="15" hidden="false" customHeight="false" outlineLevel="0" collapsed="false">
      <c r="A509" s="4" t="s">
        <v>3384</v>
      </c>
      <c r="B509" s="4" t="s">
        <v>3383</v>
      </c>
      <c r="C509" s="4" t="s">
        <v>4286</v>
      </c>
      <c r="D509" s="4" t="s">
        <v>4287</v>
      </c>
      <c r="E509" s="4" t="s">
        <v>2063</v>
      </c>
      <c r="F509" s="4" t="n">
        <v>24</v>
      </c>
    </row>
    <row r="510" customFormat="false" ht="15" hidden="false" customHeight="false" outlineLevel="0" collapsed="false">
      <c r="A510" s="7" t="s">
        <v>3385</v>
      </c>
      <c r="B510" s="7" t="s">
        <v>3386</v>
      </c>
      <c r="C510" s="7" t="s">
        <v>4286</v>
      </c>
      <c r="D510" s="7" t="s">
        <v>4287</v>
      </c>
      <c r="E510" s="7" t="s">
        <v>2063</v>
      </c>
      <c r="F510" s="7" t="n">
        <v>144</v>
      </c>
    </row>
    <row r="511" customFormat="false" ht="15" hidden="false" customHeight="false" outlineLevel="0" collapsed="false">
      <c r="A511" s="4" t="s">
        <v>3387</v>
      </c>
      <c r="B511" s="4" t="s">
        <v>3386</v>
      </c>
      <c r="C511" s="4" t="s">
        <v>4286</v>
      </c>
      <c r="D511" s="4" t="s">
        <v>4287</v>
      </c>
      <c r="E511" s="4" t="s">
        <v>2063</v>
      </c>
      <c r="F511" s="4" t="n">
        <v>8</v>
      </c>
    </row>
    <row r="512" customFormat="false" ht="15" hidden="false" customHeight="false" outlineLevel="0" collapsed="false">
      <c r="A512" s="7" t="s">
        <v>3388</v>
      </c>
      <c r="B512" s="7" t="s">
        <v>3386</v>
      </c>
      <c r="C512" s="7" t="s">
        <v>4286</v>
      </c>
      <c r="D512" s="7" t="s">
        <v>4287</v>
      </c>
      <c r="E512" s="7" t="s">
        <v>2063</v>
      </c>
      <c r="F512" s="7" t="n">
        <v>6</v>
      </c>
    </row>
    <row r="513" customFormat="false" ht="15" hidden="false" customHeight="false" outlineLevel="0" collapsed="false">
      <c r="A513" s="4" t="s">
        <v>3389</v>
      </c>
      <c r="B513" s="4" t="s">
        <v>3390</v>
      </c>
      <c r="C513" s="4" t="s">
        <v>4284</v>
      </c>
      <c r="D513" s="4" t="s">
        <v>4285</v>
      </c>
      <c r="E513" s="4" t="s">
        <v>2063</v>
      </c>
      <c r="F513" s="4" t="n">
        <v>48</v>
      </c>
    </row>
    <row r="514" customFormat="false" ht="15" hidden="false" customHeight="false" outlineLevel="0" collapsed="false">
      <c r="A514" s="7" t="s">
        <v>3391</v>
      </c>
      <c r="B514" s="7" t="s">
        <v>3392</v>
      </c>
      <c r="C514" s="7" t="s">
        <v>4284</v>
      </c>
      <c r="D514" s="7" t="s">
        <v>4285</v>
      </c>
      <c r="E514" s="7" t="s">
        <v>2063</v>
      </c>
      <c r="F514" s="7" t="n">
        <v>4</v>
      </c>
    </row>
    <row r="515" customFormat="false" ht="15" hidden="false" customHeight="false" outlineLevel="0" collapsed="false">
      <c r="A515" s="4" t="s">
        <v>3393</v>
      </c>
      <c r="B515" s="4" t="s">
        <v>3394</v>
      </c>
      <c r="C515" s="4" t="s">
        <v>4280</v>
      </c>
      <c r="D515" s="4" t="s">
        <v>4281</v>
      </c>
      <c r="E515" s="4" t="s">
        <v>2063</v>
      </c>
      <c r="F515" s="4" t="n">
        <v>36</v>
      </c>
    </row>
    <row r="516" customFormat="false" ht="15" hidden="false" customHeight="false" outlineLevel="0" collapsed="false">
      <c r="A516" s="7" t="s">
        <v>3395</v>
      </c>
      <c r="B516" s="7" t="s">
        <v>3396</v>
      </c>
      <c r="C516" s="7" t="s">
        <v>4286</v>
      </c>
      <c r="D516" s="7" t="s">
        <v>4287</v>
      </c>
      <c r="E516" s="7" t="s">
        <v>2063</v>
      </c>
      <c r="F516" s="7" t="n">
        <v>8</v>
      </c>
    </row>
    <row r="517" customFormat="false" ht="15" hidden="false" customHeight="false" outlineLevel="0" collapsed="false">
      <c r="A517" s="4" t="s">
        <v>3397</v>
      </c>
      <c r="B517" s="4" t="s">
        <v>3398</v>
      </c>
      <c r="C517" s="4" t="s">
        <v>4286</v>
      </c>
      <c r="D517" s="4" t="s">
        <v>4287</v>
      </c>
      <c r="E517" s="4" t="s">
        <v>2063</v>
      </c>
      <c r="F517" s="4" t="n">
        <v>8</v>
      </c>
    </row>
    <row r="518" customFormat="false" ht="15" hidden="false" customHeight="false" outlineLevel="0" collapsed="false">
      <c r="A518" s="7" t="s">
        <v>3399</v>
      </c>
      <c r="B518" s="7" t="s">
        <v>3400</v>
      </c>
      <c r="C518" s="7" t="s">
        <v>4286</v>
      </c>
      <c r="D518" s="7" t="s">
        <v>4287</v>
      </c>
      <c r="E518" s="7" t="s">
        <v>2063</v>
      </c>
      <c r="F518" s="7" t="n">
        <v>48</v>
      </c>
    </row>
    <row r="519" customFormat="false" ht="15" hidden="false" customHeight="false" outlineLevel="0" collapsed="false">
      <c r="A519" s="4" t="s">
        <v>3401</v>
      </c>
      <c r="B519" s="4" t="s">
        <v>3402</v>
      </c>
      <c r="C519" s="4" t="s">
        <v>4284</v>
      </c>
      <c r="D519" s="4" t="s">
        <v>4285</v>
      </c>
      <c r="E519" s="4" t="s">
        <v>2063</v>
      </c>
      <c r="F519" s="4" t="n">
        <v>16</v>
      </c>
    </row>
    <row r="520" customFormat="false" ht="15" hidden="false" customHeight="false" outlineLevel="0" collapsed="false">
      <c r="A520" s="7" t="s">
        <v>3403</v>
      </c>
      <c r="B520" s="7" t="s">
        <v>3404</v>
      </c>
      <c r="C520" s="7" t="s">
        <v>4286</v>
      </c>
      <c r="D520" s="7" t="s">
        <v>4287</v>
      </c>
      <c r="E520" s="7" t="s">
        <v>2063</v>
      </c>
      <c r="F520" s="7" t="n">
        <v>32</v>
      </c>
    </row>
    <row r="521" customFormat="false" ht="15" hidden="false" customHeight="false" outlineLevel="0" collapsed="false">
      <c r="A521" s="4" t="s">
        <v>3405</v>
      </c>
      <c r="B521" s="4" t="s">
        <v>3404</v>
      </c>
      <c r="C521" s="4" t="s">
        <v>4286</v>
      </c>
      <c r="D521" s="4" t="s">
        <v>4287</v>
      </c>
      <c r="E521" s="4" t="s">
        <v>2063</v>
      </c>
      <c r="F521" s="4" t="n">
        <v>96</v>
      </c>
    </row>
    <row r="522" customFormat="false" ht="15" hidden="false" customHeight="false" outlineLevel="0" collapsed="false">
      <c r="A522" s="7" t="s">
        <v>3406</v>
      </c>
      <c r="B522" s="7" t="s">
        <v>3407</v>
      </c>
      <c r="C522" s="7" t="s">
        <v>4286</v>
      </c>
      <c r="D522" s="7" t="s">
        <v>4287</v>
      </c>
      <c r="E522" s="7" t="s">
        <v>2063</v>
      </c>
      <c r="F522" s="7" t="n">
        <v>32</v>
      </c>
    </row>
    <row r="523" customFormat="false" ht="15" hidden="false" customHeight="false" outlineLevel="0" collapsed="false">
      <c r="A523" s="4" t="s">
        <v>3408</v>
      </c>
      <c r="B523" s="4" t="s">
        <v>3407</v>
      </c>
      <c r="C523" s="4" t="s">
        <v>4286</v>
      </c>
      <c r="D523" s="4" t="s">
        <v>4287</v>
      </c>
      <c r="E523" s="4" t="s">
        <v>2063</v>
      </c>
      <c r="F523" s="4" t="n">
        <v>72</v>
      </c>
    </row>
    <row r="524" customFormat="false" ht="15" hidden="false" customHeight="false" outlineLevel="0" collapsed="false">
      <c r="A524" s="7" t="s">
        <v>3409</v>
      </c>
      <c r="B524" s="7" t="s">
        <v>3410</v>
      </c>
      <c r="C524" s="7" t="s">
        <v>4286</v>
      </c>
      <c r="D524" s="7" t="s">
        <v>4287</v>
      </c>
      <c r="E524" s="7" t="s">
        <v>2063</v>
      </c>
      <c r="F524" s="7" t="n">
        <v>192</v>
      </c>
    </row>
    <row r="525" customFormat="false" ht="15" hidden="false" customHeight="false" outlineLevel="0" collapsed="false">
      <c r="A525" s="4" t="s">
        <v>3411</v>
      </c>
      <c r="B525" s="4" t="s">
        <v>3410</v>
      </c>
      <c r="C525" s="4" t="s">
        <v>4286</v>
      </c>
      <c r="D525" s="4" t="s">
        <v>4287</v>
      </c>
      <c r="E525" s="4" t="s">
        <v>2063</v>
      </c>
      <c r="F525" s="4" t="n">
        <v>864</v>
      </c>
    </row>
    <row r="526" customFormat="false" ht="15" hidden="false" customHeight="false" outlineLevel="0" collapsed="false">
      <c r="A526" s="7" t="s">
        <v>3412</v>
      </c>
      <c r="B526" s="7" t="s">
        <v>3413</v>
      </c>
      <c r="C526" s="7" t="s">
        <v>4284</v>
      </c>
      <c r="D526" s="7" t="s">
        <v>4285</v>
      </c>
      <c r="E526" s="7" t="s">
        <v>2063</v>
      </c>
      <c r="F526" s="7" t="n">
        <v>24</v>
      </c>
    </row>
    <row r="527" customFormat="false" ht="15" hidden="false" customHeight="false" outlineLevel="0" collapsed="false">
      <c r="A527" s="4" t="s">
        <v>3414</v>
      </c>
      <c r="B527" s="4" t="s">
        <v>3415</v>
      </c>
      <c r="C527" s="4" t="s">
        <v>4284</v>
      </c>
      <c r="D527" s="4" t="s">
        <v>4285</v>
      </c>
      <c r="E527" s="4" t="s">
        <v>2063</v>
      </c>
      <c r="F527" s="4" t="n">
        <v>12</v>
      </c>
    </row>
    <row r="528" customFormat="false" ht="15" hidden="false" customHeight="false" outlineLevel="0" collapsed="false">
      <c r="A528" s="7" t="s">
        <v>3416</v>
      </c>
      <c r="B528" s="7" t="s">
        <v>3417</v>
      </c>
      <c r="C528" s="7" t="s">
        <v>4284</v>
      </c>
      <c r="D528" s="7" t="s">
        <v>4285</v>
      </c>
      <c r="E528" s="7" t="s">
        <v>2063</v>
      </c>
      <c r="F528" s="7" t="n">
        <v>3</v>
      </c>
    </row>
    <row r="529" customFormat="false" ht="15" hidden="false" customHeight="false" outlineLevel="0" collapsed="false">
      <c r="A529" s="4" t="s">
        <v>3418</v>
      </c>
      <c r="B529" s="4" t="s">
        <v>3419</v>
      </c>
      <c r="C529" s="4" t="s">
        <v>4284</v>
      </c>
      <c r="D529" s="4" t="s">
        <v>4285</v>
      </c>
      <c r="E529" s="4" t="s">
        <v>2063</v>
      </c>
      <c r="F529" s="4" t="n">
        <v>120</v>
      </c>
    </row>
    <row r="530" customFormat="false" ht="15" hidden="false" customHeight="false" outlineLevel="0" collapsed="false">
      <c r="A530" s="7" t="s">
        <v>3420</v>
      </c>
      <c r="B530" s="7" t="s">
        <v>3419</v>
      </c>
      <c r="C530" s="7" t="s">
        <v>4284</v>
      </c>
      <c r="D530" s="7" t="s">
        <v>4285</v>
      </c>
      <c r="E530" s="7" t="s">
        <v>2063</v>
      </c>
      <c r="F530" s="7" t="n">
        <v>64</v>
      </c>
    </row>
    <row r="531" customFormat="false" ht="15" hidden="false" customHeight="false" outlineLevel="0" collapsed="false">
      <c r="A531" s="4" t="s">
        <v>3421</v>
      </c>
      <c r="B531" s="4" t="s">
        <v>3422</v>
      </c>
      <c r="C531" s="4" t="s">
        <v>4284</v>
      </c>
      <c r="D531" s="4" t="s">
        <v>4285</v>
      </c>
      <c r="E531" s="4" t="s">
        <v>2063</v>
      </c>
      <c r="F531" s="4" t="n">
        <v>96</v>
      </c>
    </row>
    <row r="532" customFormat="false" ht="15" hidden="false" customHeight="false" outlineLevel="0" collapsed="false">
      <c r="A532" s="7" t="s">
        <v>3423</v>
      </c>
      <c r="B532" s="7" t="s">
        <v>3422</v>
      </c>
      <c r="C532" s="7" t="s">
        <v>4284</v>
      </c>
      <c r="D532" s="7" t="s">
        <v>4285</v>
      </c>
      <c r="E532" s="7" t="s">
        <v>2063</v>
      </c>
      <c r="F532" s="7" t="n">
        <v>20</v>
      </c>
    </row>
    <row r="533" customFormat="false" ht="15" hidden="false" customHeight="false" outlineLevel="0" collapsed="false">
      <c r="A533" s="4" t="s">
        <v>3424</v>
      </c>
      <c r="B533" s="4" t="s">
        <v>3425</v>
      </c>
      <c r="C533" s="4" t="s">
        <v>4284</v>
      </c>
      <c r="D533" s="4" t="s">
        <v>4285</v>
      </c>
      <c r="E533" s="4" t="s">
        <v>2063</v>
      </c>
      <c r="F533" s="4" t="n">
        <v>20</v>
      </c>
    </row>
    <row r="534" customFormat="false" ht="15" hidden="false" customHeight="false" outlineLevel="0" collapsed="false">
      <c r="A534" s="7" t="s">
        <v>3426</v>
      </c>
      <c r="B534" s="7" t="s">
        <v>3425</v>
      </c>
      <c r="C534" s="7" t="s">
        <v>4284</v>
      </c>
      <c r="D534" s="7" t="s">
        <v>4285</v>
      </c>
      <c r="E534" s="7" t="s">
        <v>2063</v>
      </c>
      <c r="F534" s="7" t="n">
        <v>24</v>
      </c>
    </row>
    <row r="535" customFormat="false" ht="15" hidden="false" customHeight="false" outlineLevel="0" collapsed="false">
      <c r="A535" s="4" t="s">
        <v>3427</v>
      </c>
      <c r="B535" s="4" t="s">
        <v>3428</v>
      </c>
      <c r="C535" s="4" t="s">
        <v>4284</v>
      </c>
      <c r="D535" s="4" t="s">
        <v>4285</v>
      </c>
      <c r="E535" s="4" t="s">
        <v>2063</v>
      </c>
      <c r="F535" s="4" t="n">
        <v>432</v>
      </c>
    </row>
    <row r="536" customFormat="false" ht="15" hidden="false" customHeight="false" outlineLevel="0" collapsed="false">
      <c r="A536" s="7" t="s">
        <v>3429</v>
      </c>
      <c r="B536" s="7" t="s">
        <v>3428</v>
      </c>
      <c r="C536" s="7" t="s">
        <v>4284</v>
      </c>
      <c r="D536" s="7" t="s">
        <v>4285</v>
      </c>
      <c r="E536" s="7" t="s">
        <v>2063</v>
      </c>
      <c r="F536" s="7" t="n">
        <v>144</v>
      </c>
    </row>
    <row r="537" customFormat="false" ht="15" hidden="false" customHeight="false" outlineLevel="0" collapsed="false">
      <c r="A537" s="4" t="s">
        <v>3430</v>
      </c>
      <c r="B537" s="4" t="s">
        <v>3431</v>
      </c>
      <c r="C537" s="4" t="s">
        <v>4278</v>
      </c>
      <c r="D537" s="4" t="s">
        <v>4279</v>
      </c>
      <c r="E537" s="4" t="s">
        <v>2063</v>
      </c>
      <c r="F537" s="4" t="n">
        <v>24</v>
      </c>
    </row>
    <row r="538" customFormat="false" ht="15" hidden="false" customHeight="false" outlineLevel="0" collapsed="false">
      <c r="A538" s="7" t="s">
        <v>3432</v>
      </c>
      <c r="B538" s="7" t="s">
        <v>3431</v>
      </c>
      <c r="C538" s="7" t="s">
        <v>4278</v>
      </c>
      <c r="D538" s="7" t="s">
        <v>4279</v>
      </c>
      <c r="E538" s="7" t="s">
        <v>2063</v>
      </c>
      <c r="F538" s="7" t="n">
        <v>12</v>
      </c>
    </row>
    <row r="539" customFormat="false" ht="15" hidden="false" customHeight="false" outlineLevel="0" collapsed="false">
      <c r="A539" s="4" t="s">
        <v>3433</v>
      </c>
      <c r="B539" s="4" t="s">
        <v>3434</v>
      </c>
      <c r="C539" s="4" t="s">
        <v>4278</v>
      </c>
      <c r="D539" s="4" t="s">
        <v>4279</v>
      </c>
      <c r="E539" s="4" t="s">
        <v>2063</v>
      </c>
      <c r="F539" s="4" t="n">
        <v>16</v>
      </c>
    </row>
    <row r="540" customFormat="false" ht="15" hidden="false" customHeight="false" outlineLevel="0" collapsed="false">
      <c r="A540" s="7" t="s">
        <v>3435</v>
      </c>
      <c r="B540" s="7" t="s">
        <v>3434</v>
      </c>
      <c r="C540" s="7" t="s">
        <v>4278</v>
      </c>
      <c r="D540" s="7" t="s">
        <v>4279</v>
      </c>
      <c r="E540" s="7" t="s">
        <v>2063</v>
      </c>
      <c r="F540" s="7" t="n">
        <v>6</v>
      </c>
    </row>
    <row r="541" customFormat="false" ht="15" hidden="false" customHeight="false" outlineLevel="0" collapsed="false">
      <c r="A541" s="4" t="s">
        <v>3436</v>
      </c>
      <c r="B541" s="4" t="s">
        <v>3437</v>
      </c>
      <c r="C541" s="4" t="s">
        <v>4278</v>
      </c>
      <c r="D541" s="4" t="s">
        <v>4279</v>
      </c>
      <c r="E541" s="4" t="s">
        <v>2063</v>
      </c>
      <c r="F541" s="4" t="n">
        <v>24</v>
      </c>
    </row>
    <row r="542" customFormat="false" ht="15" hidden="false" customHeight="false" outlineLevel="0" collapsed="false">
      <c r="A542" s="7" t="s">
        <v>3438</v>
      </c>
      <c r="B542" s="7" t="s">
        <v>3437</v>
      </c>
      <c r="C542" s="7" t="s">
        <v>4278</v>
      </c>
      <c r="D542" s="7" t="s">
        <v>4279</v>
      </c>
      <c r="E542" s="7" t="s">
        <v>2063</v>
      </c>
      <c r="F542" s="7" t="n">
        <v>24</v>
      </c>
    </row>
    <row r="543" customFormat="false" ht="15" hidden="false" customHeight="false" outlineLevel="0" collapsed="false">
      <c r="A543" s="4" t="s">
        <v>3439</v>
      </c>
      <c r="B543" s="4" t="s">
        <v>3440</v>
      </c>
      <c r="C543" s="4" t="s">
        <v>4278</v>
      </c>
      <c r="D543" s="4" t="s">
        <v>4279</v>
      </c>
      <c r="E543" s="4" t="s">
        <v>2063</v>
      </c>
      <c r="F543" s="4" t="n">
        <v>624</v>
      </c>
    </row>
    <row r="544" customFormat="false" ht="15" hidden="false" customHeight="false" outlineLevel="0" collapsed="false">
      <c r="A544" s="7" t="s">
        <v>3441</v>
      </c>
      <c r="B544" s="7" t="s">
        <v>3440</v>
      </c>
      <c r="C544" s="7" t="s">
        <v>4284</v>
      </c>
      <c r="D544" s="7" t="s">
        <v>4285</v>
      </c>
      <c r="E544" s="7" t="s">
        <v>2063</v>
      </c>
      <c r="F544" s="7" t="n">
        <v>2</v>
      </c>
    </row>
    <row r="545" customFormat="false" ht="15" hidden="false" customHeight="false" outlineLevel="0" collapsed="false">
      <c r="A545" s="4" t="s">
        <v>3442</v>
      </c>
      <c r="B545" s="4" t="s">
        <v>3440</v>
      </c>
      <c r="C545" s="4" t="s">
        <v>4278</v>
      </c>
      <c r="D545" s="4" t="s">
        <v>4279</v>
      </c>
      <c r="E545" s="4" t="s">
        <v>2063</v>
      </c>
      <c r="F545" s="4" t="n">
        <v>360</v>
      </c>
    </row>
    <row r="546" customFormat="false" ht="15" hidden="false" customHeight="false" outlineLevel="0" collapsed="false">
      <c r="A546" s="7" t="s">
        <v>3443</v>
      </c>
      <c r="B546" s="7" t="s">
        <v>3444</v>
      </c>
      <c r="C546" s="7" t="s">
        <v>4278</v>
      </c>
      <c r="D546" s="7" t="s">
        <v>4279</v>
      </c>
      <c r="E546" s="7" t="s">
        <v>2063</v>
      </c>
      <c r="F546" s="7" t="n">
        <v>12</v>
      </c>
    </row>
    <row r="547" customFormat="false" ht="15" hidden="false" customHeight="false" outlineLevel="0" collapsed="false">
      <c r="A547" s="4" t="s">
        <v>3445</v>
      </c>
      <c r="B547" s="4" t="s">
        <v>3444</v>
      </c>
      <c r="C547" s="4" t="s">
        <v>4278</v>
      </c>
      <c r="D547" s="4" t="s">
        <v>4279</v>
      </c>
      <c r="E547" s="4" t="s">
        <v>2063</v>
      </c>
      <c r="F547" s="4" t="n">
        <v>16</v>
      </c>
    </row>
    <row r="548" customFormat="false" ht="15" hidden="false" customHeight="false" outlineLevel="0" collapsed="false">
      <c r="A548" s="7" t="s">
        <v>3446</v>
      </c>
      <c r="B548" s="7" t="s">
        <v>3447</v>
      </c>
      <c r="C548" s="7" t="s">
        <v>4278</v>
      </c>
      <c r="D548" s="7" t="s">
        <v>4279</v>
      </c>
      <c r="E548" s="7" t="s">
        <v>2063</v>
      </c>
      <c r="F548" s="7" t="n">
        <v>12</v>
      </c>
    </row>
    <row r="549" customFormat="false" ht="15" hidden="false" customHeight="false" outlineLevel="0" collapsed="false">
      <c r="A549" s="4" t="s">
        <v>3448</v>
      </c>
      <c r="B549" s="4" t="s">
        <v>3447</v>
      </c>
      <c r="C549" s="4" t="s">
        <v>4278</v>
      </c>
      <c r="D549" s="4" t="s">
        <v>4279</v>
      </c>
      <c r="E549" s="4" t="s">
        <v>2063</v>
      </c>
      <c r="F549" s="4" t="n">
        <v>12</v>
      </c>
    </row>
    <row r="550" customFormat="false" ht="15" hidden="false" customHeight="false" outlineLevel="0" collapsed="false">
      <c r="A550" s="7" t="s">
        <v>3449</v>
      </c>
      <c r="B550" s="7" t="s">
        <v>3444</v>
      </c>
      <c r="C550" s="7" t="s">
        <v>4278</v>
      </c>
      <c r="D550" s="7" t="s">
        <v>4279</v>
      </c>
      <c r="E550" s="7" t="s">
        <v>2063</v>
      </c>
      <c r="F550" s="7" t="n">
        <v>16</v>
      </c>
    </row>
    <row r="551" customFormat="false" ht="15" hidden="false" customHeight="false" outlineLevel="0" collapsed="false">
      <c r="A551" s="4" t="s">
        <v>3450</v>
      </c>
      <c r="B551" s="4" t="s">
        <v>3444</v>
      </c>
      <c r="C551" s="4" t="s">
        <v>4278</v>
      </c>
      <c r="D551" s="4" t="s">
        <v>4279</v>
      </c>
      <c r="E551" s="4" t="s">
        <v>2063</v>
      </c>
      <c r="F551" s="4" t="n">
        <v>24</v>
      </c>
    </row>
    <row r="552" customFormat="false" ht="15" hidden="false" customHeight="false" outlineLevel="0" collapsed="false">
      <c r="A552" s="7" t="s">
        <v>3451</v>
      </c>
      <c r="B552" s="7" t="s">
        <v>3452</v>
      </c>
      <c r="C552" s="7" t="s">
        <v>4282</v>
      </c>
      <c r="D552" s="7" t="s">
        <v>4283</v>
      </c>
      <c r="E552" s="7" t="s">
        <v>2063</v>
      </c>
      <c r="F552" s="7" t="n">
        <v>64</v>
      </c>
    </row>
    <row r="553" customFormat="false" ht="15" hidden="false" customHeight="false" outlineLevel="0" collapsed="false">
      <c r="A553" s="4" t="s">
        <v>3453</v>
      </c>
      <c r="B553" s="4" t="s">
        <v>3454</v>
      </c>
      <c r="C553" s="4" t="s">
        <v>4278</v>
      </c>
      <c r="D553" s="4" t="s">
        <v>4279</v>
      </c>
      <c r="E553" s="4" t="s">
        <v>2063</v>
      </c>
      <c r="F553" s="4" t="n">
        <v>84</v>
      </c>
    </row>
    <row r="554" customFormat="false" ht="15" hidden="false" customHeight="false" outlineLevel="0" collapsed="false">
      <c r="A554" s="7" t="s">
        <v>3455</v>
      </c>
      <c r="B554" s="7" t="s">
        <v>3454</v>
      </c>
      <c r="C554" s="7" t="s">
        <v>4278</v>
      </c>
      <c r="D554" s="7" t="s">
        <v>4279</v>
      </c>
      <c r="E554" s="7" t="s">
        <v>2063</v>
      </c>
      <c r="F554" s="7" t="n">
        <v>20</v>
      </c>
    </row>
    <row r="555" customFormat="false" ht="15" hidden="false" customHeight="false" outlineLevel="0" collapsed="false">
      <c r="A555" s="4" t="s">
        <v>3456</v>
      </c>
      <c r="B555" s="4" t="s">
        <v>3457</v>
      </c>
      <c r="C555" s="4" t="s">
        <v>4278</v>
      </c>
      <c r="D555" s="4" t="s">
        <v>4279</v>
      </c>
      <c r="E555" s="4" t="s">
        <v>2063</v>
      </c>
      <c r="F555" s="4" t="n">
        <v>24</v>
      </c>
    </row>
    <row r="556" customFormat="false" ht="15" hidden="false" customHeight="false" outlineLevel="0" collapsed="false">
      <c r="A556" s="7" t="s">
        <v>3458</v>
      </c>
      <c r="B556" s="7" t="s">
        <v>3457</v>
      </c>
      <c r="C556" s="7" t="s">
        <v>4278</v>
      </c>
      <c r="D556" s="7" t="s">
        <v>4279</v>
      </c>
      <c r="E556" s="7" t="s">
        <v>2063</v>
      </c>
      <c r="F556" s="7" t="n">
        <v>48</v>
      </c>
    </row>
    <row r="557" customFormat="false" ht="15" hidden="false" customHeight="false" outlineLevel="0" collapsed="false">
      <c r="A557" s="4" t="s">
        <v>3459</v>
      </c>
      <c r="B557" s="4" t="s">
        <v>3460</v>
      </c>
      <c r="C557" s="4" t="s">
        <v>4278</v>
      </c>
      <c r="D557" s="4" t="s">
        <v>4279</v>
      </c>
      <c r="E557" s="4" t="s">
        <v>2063</v>
      </c>
      <c r="F557" s="4" t="n">
        <v>8</v>
      </c>
    </row>
    <row r="558" customFormat="false" ht="15" hidden="false" customHeight="false" outlineLevel="0" collapsed="false">
      <c r="A558" s="7" t="s">
        <v>3461</v>
      </c>
      <c r="B558" s="7" t="s">
        <v>3460</v>
      </c>
      <c r="C558" s="7" t="s">
        <v>4278</v>
      </c>
      <c r="D558" s="7" t="s">
        <v>4279</v>
      </c>
      <c r="E558" s="7" t="s">
        <v>2063</v>
      </c>
      <c r="F558" s="7" t="n">
        <v>48</v>
      </c>
    </row>
    <row r="559" customFormat="false" ht="15" hidden="false" customHeight="false" outlineLevel="0" collapsed="false">
      <c r="A559" s="4" t="s">
        <v>3462</v>
      </c>
      <c r="B559" s="4" t="s">
        <v>3463</v>
      </c>
      <c r="C559" s="4" t="s">
        <v>4278</v>
      </c>
      <c r="D559" s="4" t="s">
        <v>4279</v>
      </c>
      <c r="E559" s="4" t="s">
        <v>2063</v>
      </c>
      <c r="F559" s="4" t="n">
        <v>12</v>
      </c>
    </row>
    <row r="560" customFormat="false" ht="15" hidden="false" customHeight="false" outlineLevel="0" collapsed="false">
      <c r="A560" s="7" t="s">
        <v>3464</v>
      </c>
      <c r="B560" s="7" t="s">
        <v>3463</v>
      </c>
      <c r="C560" s="7" t="s">
        <v>4278</v>
      </c>
      <c r="D560" s="7" t="s">
        <v>4279</v>
      </c>
      <c r="E560" s="7" t="s">
        <v>2063</v>
      </c>
      <c r="F560" s="7" t="n">
        <v>16</v>
      </c>
    </row>
    <row r="561" customFormat="false" ht="15" hidden="false" customHeight="false" outlineLevel="0" collapsed="false">
      <c r="A561" s="4" t="s">
        <v>3465</v>
      </c>
      <c r="B561" s="4" t="s">
        <v>3466</v>
      </c>
      <c r="C561" s="4" t="s">
        <v>4278</v>
      </c>
      <c r="D561" s="4" t="s">
        <v>4279</v>
      </c>
      <c r="E561" s="4" t="s">
        <v>2063</v>
      </c>
      <c r="F561" s="4" t="n">
        <v>16</v>
      </c>
    </row>
    <row r="562" customFormat="false" ht="15" hidden="false" customHeight="false" outlineLevel="0" collapsed="false">
      <c r="A562" s="7" t="s">
        <v>3467</v>
      </c>
      <c r="B562" s="7" t="s">
        <v>3466</v>
      </c>
      <c r="C562" s="7" t="s">
        <v>4278</v>
      </c>
      <c r="D562" s="7" t="s">
        <v>4279</v>
      </c>
      <c r="E562" s="7" t="s">
        <v>2063</v>
      </c>
      <c r="F562" s="7" t="n">
        <v>48</v>
      </c>
    </row>
    <row r="563" customFormat="false" ht="15" hidden="false" customHeight="false" outlineLevel="0" collapsed="false">
      <c r="A563" s="4" t="s">
        <v>3468</v>
      </c>
      <c r="B563" s="4" t="s">
        <v>3469</v>
      </c>
      <c r="C563" s="4" t="s">
        <v>4278</v>
      </c>
      <c r="D563" s="4" t="s">
        <v>4279</v>
      </c>
      <c r="E563" s="4" t="s">
        <v>2063</v>
      </c>
      <c r="F563" s="4" t="n">
        <v>16</v>
      </c>
    </row>
    <row r="564" customFormat="false" ht="15" hidden="false" customHeight="false" outlineLevel="0" collapsed="false">
      <c r="A564" s="7" t="s">
        <v>3470</v>
      </c>
      <c r="B564" s="7" t="s">
        <v>3469</v>
      </c>
      <c r="C564" s="7" t="s">
        <v>4278</v>
      </c>
      <c r="D564" s="7" t="s">
        <v>4279</v>
      </c>
      <c r="E564" s="7" t="s">
        <v>2063</v>
      </c>
      <c r="F564" s="7" t="n">
        <v>12</v>
      </c>
    </row>
    <row r="565" customFormat="false" ht="15" hidden="false" customHeight="false" outlineLevel="0" collapsed="false">
      <c r="A565" s="4" t="s">
        <v>3471</v>
      </c>
      <c r="B565" s="4" t="s">
        <v>3472</v>
      </c>
      <c r="C565" s="4" t="s">
        <v>4282</v>
      </c>
      <c r="D565" s="4" t="s">
        <v>4283</v>
      </c>
      <c r="E565" s="4" t="s">
        <v>2063</v>
      </c>
      <c r="F565" s="4" t="n">
        <v>64</v>
      </c>
    </row>
    <row r="566" customFormat="false" ht="15" hidden="false" customHeight="false" outlineLevel="0" collapsed="false">
      <c r="A566" s="7" t="s">
        <v>3800</v>
      </c>
      <c r="B566" s="7" t="s">
        <v>2647</v>
      </c>
      <c r="C566" s="7" t="s">
        <v>4284</v>
      </c>
      <c r="D566" s="7" t="s">
        <v>4285</v>
      </c>
      <c r="E566" s="7" t="s">
        <v>2063</v>
      </c>
      <c r="F566" s="7" t="n">
        <v>20</v>
      </c>
    </row>
    <row r="567" customFormat="false" ht="15" hidden="false" customHeight="false" outlineLevel="0" collapsed="false">
      <c r="A567" s="4" t="s">
        <v>3801</v>
      </c>
      <c r="B567" s="4" t="s">
        <v>2653</v>
      </c>
      <c r="C567" s="4" t="s">
        <v>4284</v>
      </c>
      <c r="D567" s="4" t="s">
        <v>4285</v>
      </c>
      <c r="E567" s="4" t="s">
        <v>2063</v>
      </c>
      <c r="F567" s="4" t="n">
        <v>16</v>
      </c>
    </row>
    <row r="568" customFormat="false" ht="15" hidden="false" customHeight="false" outlineLevel="0" collapsed="false">
      <c r="A568" s="7" t="s">
        <v>3802</v>
      </c>
      <c r="B568" s="7" t="s">
        <v>2655</v>
      </c>
      <c r="C568" s="7" t="s">
        <v>4284</v>
      </c>
      <c r="D568" s="7" t="s">
        <v>4285</v>
      </c>
      <c r="E568" s="7" t="s">
        <v>2063</v>
      </c>
      <c r="F568" s="7" t="n">
        <v>20</v>
      </c>
    </row>
    <row r="569" customFormat="false" ht="15" hidden="false" customHeight="false" outlineLevel="0" collapsed="false">
      <c r="A569" s="4" t="s">
        <v>3803</v>
      </c>
      <c r="B569" s="4" t="s">
        <v>3804</v>
      </c>
      <c r="C569" s="4" t="s">
        <v>4284</v>
      </c>
      <c r="D569" s="4" t="s">
        <v>4285</v>
      </c>
      <c r="E569" s="4" t="s">
        <v>2063</v>
      </c>
      <c r="F569" s="4" t="n">
        <v>144</v>
      </c>
    </row>
    <row r="570" customFormat="false" ht="15" hidden="false" customHeight="false" outlineLevel="0" collapsed="false">
      <c r="A570" s="7" t="s">
        <v>3805</v>
      </c>
      <c r="B570" s="7" t="s">
        <v>3806</v>
      </c>
      <c r="C570" s="7" t="s">
        <v>4284</v>
      </c>
      <c r="D570" s="7" t="s">
        <v>4285</v>
      </c>
      <c r="E570" s="7" t="s">
        <v>2063</v>
      </c>
      <c r="F570" s="7" t="n">
        <v>72</v>
      </c>
    </row>
    <row r="571" customFormat="false" ht="15" hidden="false" customHeight="false" outlineLevel="0" collapsed="false">
      <c r="A571" s="4" t="s">
        <v>3807</v>
      </c>
      <c r="B571" s="4" t="s">
        <v>3808</v>
      </c>
      <c r="C571" s="4" t="s">
        <v>4286</v>
      </c>
      <c r="D571" s="4" t="s">
        <v>4287</v>
      </c>
      <c r="E571" s="4" t="s">
        <v>2063</v>
      </c>
      <c r="F571" s="4" t="n">
        <v>64</v>
      </c>
    </row>
    <row r="572" customFormat="false" ht="15" hidden="false" customHeight="false" outlineLevel="0" collapsed="false">
      <c r="A572" s="7" t="s">
        <v>3810</v>
      </c>
      <c r="B572" s="7" t="s">
        <v>3811</v>
      </c>
      <c r="C572" s="7" t="s">
        <v>4286</v>
      </c>
      <c r="D572" s="7" t="s">
        <v>4287</v>
      </c>
      <c r="E572" s="7" t="s">
        <v>2063</v>
      </c>
      <c r="F572" s="7" t="n">
        <v>120</v>
      </c>
    </row>
    <row r="573" customFormat="false" ht="15" hidden="false" customHeight="false" outlineLevel="0" collapsed="false">
      <c r="A573" s="4" t="s">
        <v>3812</v>
      </c>
      <c r="B573" s="4" t="s">
        <v>3811</v>
      </c>
      <c r="C573" s="4" t="s">
        <v>4286</v>
      </c>
      <c r="D573" s="4" t="s">
        <v>4287</v>
      </c>
      <c r="E573" s="4" t="s">
        <v>2063</v>
      </c>
      <c r="F573" s="4" t="n">
        <v>288</v>
      </c>
    </row>
    <row r="574" customFormat="false" ht="15" hidden="false" customHeight="false" outlineLevel="0" collapsed="false">
      <c r="A574" s="7" t="s">
        <v>3960</v>
      </c>
      <c r="B574" s="7" t="s">
        <v>3961</v>
      </c>
      <c r="C574" s="7" t="s">
        <v>4282</v>
      </c>
      <c r="D574" s="7" t="s">
        <v>4283</v>
      </c>
      <c r="E574" s="7" t="s">
        <v>2063</v>
      </c>
      <c r="F574" s="7" t="n">
        <v>16</v>
      </c>
    </row>
    <row r="575" customFormat="false" ht="15" hidden="false" customHeight="false" outlineLevel="0" collapsed="false">
      <c r="A575" s="4" t="s">
        <v>3962</v>
      </c>
      <c r="B575" s="4" t="s">
        <v>3963</v>
      </c>
      <c r="C575" s="4" t="s">
        <v>4282</v>
      </c>
      <c r="D575" s="4" t="s">
        <v>4283</v>
      </c>
      <c r="E575" s="4" t="s">
        <v>2063</v>
      </c>
      <c r="F575" s="4" t="n">
        <v>64</v>
      </c>
    </row>
    <row r="576" customFormat="false" ht="15" hidden="false" customHeight="false" outlineLevel="0" collapsed="false">
      <c r="A576" s="7" t="s">
        <v>3964</v>
      </c>
      <c r="B576" s="7" t="s">
        <v>3965</v>
      </c>
      <c r="C576" s="7" t="s">
        <v>4284</v>
      </c>
      <c r="D576" s="7" t="s">
        <v>4285</v>
      </c>
      <c r="E576" s="7" t="s">
        <v>2063</v>
      </c>
      <c r="F576" s="7" t="n">
        <v>36</v>
      </c>
    </row>
    <row r="577" customFormat="false" ht="15" hidden="false" customHeight="false" outlineLevel="0" collapsed="false">
      <c r="A577" s="4" t="s">
        <v>3966</v>
      </c>
      <c r="B577" s="4" t="s">
        <v>3967</v>
      </c>
      <c r="C577" s="4" t="s">
        <v>4284</v>
      </c>
      <c r="D577" s="4" t="s">
        <v>4285</v>
      </c>
      <c r="E577" s="4" t="s">
        <v>2063</v>
      </c>
      <c r="F577" s="4" t="n">
        <v>54</v>
      </c>
    </row>
    <row r="578" customFormat="false" ht="15" hidden="false" customHeight="false" outlineLevel="0" collapsed="false">
      <c r="A578" s="7" t="s">
        <v>3968</v>
      </c>
      <c r="B578" s="7" t="s">
        <v>3969</v>
      </c>
      <c r="C578" s="7" t="s">
        <v>4284</v>
      </c>
      <c r="D578" s="7" t="s">
        <v>4285</v>
      </c>
      <c r="E578" s="7" t="s">
        <v>2063</v>
      </c>
      <c r="F578" s="7" t="n">
        <v>72</v>
      </c>
    </row>
    <row r="579" customFormat="false" ht="15" hidden="false" customHeight="false" outlineLevel="0" collapsed="false">
      <c r="A579" s="4" t="s">
        <v>3970</v>
      </c>
      <c r="B579" s="4" t="s">
        <v>3971</v>
      </c>
      <c r="C579" s="4" t="s">
        <v>4284</v>
      </c>
      <c r="D579" s="4" t="s">
        <v>4285</v>
      </c>
      <c r="E579" s="4" t="s">
        <v>2063</v>
      </c>
      <c r="F579" s="4" t="n">
        <v>144</v>
      </c>
    </row>
    <row r="580" customFormat="false" ht="15" hidden="false" customHeight="false" outlineLevel="0" collapsed="false">
      <c r="A580" s="7" t="s">
        <v>3972</v>
      </c>
      <c r="B580" s="7" t="s">
        <v>3971</v>
      </c>
      <c r="C580" s="7" t="s">
        <v>4284</v>
      </c>
      <c r="D580" s="7" t="s">
        <v>4285</v>
      </c>
      <c r="E580" s="7" t="s">
        <v>2063</v>
      </c>
      <c r="F580" s="7" t="n">
        <v>12</v>
      </c>
    </row>
    <row r="581" customFormat="false" ht="15" hidden="false" customHeight="false" outlineLevel="0" collapsed="false">
      <c r="A581" s="4" t="s">
        <v>3973</v>
      </c>
      <c r="B581" s="4" t="s">
        <v>3974</v>
      </c>
      <c r="C581" s="4" t="s">
        <v>4284</v>
      </c>
      <c r="D581" s="4" t="s">
        <v>4285</v>
      </c>
      <c r="E581" s="4" t="s">
        <v>2063</v>
      </c>
      <c r="F581" s="4" t="n">
        <v>144</v>
      </c>
    </row>
    <row r="582" customFormat="false" ht="15" hidden="false" customHeight="false" outlineLevel="0" collapsed="false">
      <c r="A582" s="7" t="s">
        <v>3975</v>
      </c>
      <c r="B582" s="7" t="s">
        <v>3976</v>
      </c>
      <c r="C582" s="7" t="s">
        <v>4284</v>
      </c>
      <c r="D582" s="7" t="s">
        <v>4285</v>
      </c>
      <c r="E582" s="7" t="s">
        <v>2063</v>
      </c>
      <c r="F582" s="7" t="n">
        <v>288</v>
      </c>
    </row>
    <row r="583" customFormat="false" ht="15" hidden="false" customHeight="false" outlineLevel="0" collapsed="false">
      <c r="A583" s="4" t="s">
        <v>3977</v>
      </c>
      <c r="B583" s="4" t="s">
        <v>3978</v>
      </c>
      <c r="C583" s="4" t="s">
        <v>4284</v>
      </c>
      <c r="D583" s="4" t="s">
        <v>4285</v>
      </c>
      <c r="E583" s="4" t="s">
        <v>2063</v>
      </c>
      <c r="F583" s="4" t="n">
        <v>132</v>
      </c>
    </row>
    <row r="584" customFormat="false" ht="15" hidden="false" customHeight="false" outlineLevel="0" collapsed="false">
      <c r="A584" s="7" t="s">
        <v>3979</v>
      </c>
      <c r="B584" s="7" t="s">
        <v>3980</v>
      </c>
      <c r="C584" s="7" t="s">
        <v>4278</v>
      </c>
      <c r="D584" s="7" t="s">
        <v>4279</v>
      </c>
      <c r="E584" s="7" t="s">
        <v>2063</v>
      </c>
      <c r="F584" s="7" t="n">
        <v>160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8"/>
    <col collapsed="false" customWidth="true" hidden="false" outlineLevel="0" max="8" min="7" style="0" width="16"/>
    <col collapsed="false" customWidth="true" hidden="false" outlineLevel="0" max="10" min="9" style="0" width="12"/>
    <col collapsed="false" customWidth="true" hidden="false" outlineLevel="0" max="12" min="11" style="0" width="16"/>
  </cols>
  <sheetData>
    <row r="1" customFormat="false" ht="27.75" hidden="false" customHeight="true" outlineLevel="0" collapsed="false">
      <c r="A1" s="44" t="s">
        <v>4290</v>
      </c>
      <c r="B1" s="44"/>
      <c r="C1" s="44"/>
      <c r="D1" s="44"/>
      <c r="E1" s="44"/>
      <c r="F1" s="44"/>
      <c r="G1" s="44"/>
      <c r="H1" s="44"/>
      <c r="I1" s="44"/>
      <c r="J1" s="44"/>
      <c r="K1" s="44"/>
      <c r="L1" s="44"/>
    </row>
    <row r="2" customFormat="false" ht="27.75" hidden="false" customHeight="true" outlineLevel="0" collapsed="false">
      <c r="A2" s="16" t="s">
        <v>4291</v>
      </c>
      <c r="B2" s="16" t="s">
        <v>4292</v>
      </c>
      <c r="C2" s="16" t="s">
        <v>4293</v>
      </c>
      <c r="D2" s="16" t="s">
        <v>4294</v>
      </c>
      <c r="E2" s="16" t="s">
        <v>4295</v>
      </c>
      <c r="F2" s="16" t="s">
        <v>4296</v>
      </c>
      <c r="G2" s="16" t="s">
        <v>4297</v>
      </c>
      <c r="H2" s="16" t="s">
        <v>4298</v>
      </c>
      <c r="I2" s="16" t="s">
        <v>4299</v>
      </c>
      <c r="J2" s="16" t="s">
        <v>4300</v>
      </c>
      <c r="K2" s="47" t="s">
        <v>4301</v>
      </c>
      <c r="L2" s="47" t="s">
        <v>4302</v>
      </c>
    </row>
    <row r="3" customFormat="false" ht="19.5" hidden="false" customHeight="true" outlineLevel="0" collapsed="false">
      <c r="A3" s="48" t="s">
        <v>2061</v>
      </c>
      <c r="B3" s="60" t="s">
        <v>2109</v>
      </c>
      <c r="C3" s="88" t="n">
        <v>37</v>
      </c>
      <c r="D3" s="19" t="n">
        <v>36</v>
      </c>
      <c r="E3" s="88" t="n">
        <v>1</v>
      </c>
      <c r="F3" s="88" t="n">
        <v>0</v>
      </c>
      <c r="G3" s="89" t="n">
        <v>3240713.91</v>
      </c>
      <c r="H3" s="89" t="n">
        <v>5623762.26</v>
      </c>
      <c r="I3" s="90" t="n">
        <v>48</v>
      </c>
      <c r="J3" s="90" t="n">
        <v>75.8</v>
      </c>
      <c r="K3" s="91" t="n">
        <f aca="false">SUMPRODUCT((Master_Data!$A$5:$A$1793="Lake Charles")*(Master_Data!$D$5:$D$1793="A")*(Master_Data!$G$5:$G$1793="NO")*Master_Data!$U$5:$U$1793)</f>
        <v>6033453.237802</v>
      </c>
      <c r="L3" s="91" t="n">
        <f aca="false">SUMPRODUCT((Master_Data!$A$5:$A$1793="Lake Charles")*(Master_Data!$D$5:$D$1793="A")*(Master_Data!$G$5:$G$1793="NO")*Master_Data!$V$5:$V$1793)</f>
        <v>10418769.996254</v>
      </c>
    </row>
    <row r="4" customFormat="false" ht="19.5" hidden="false" customHeight="true" outlineLevel="0" collapsed="false">
      <c r="A4" s="48" t="s">
        <v>2061</v>
      </c>
      <c r="B4" s="61" t="s">
        <v>2095</v>
      </c>
      <c r="C4" s="35" t="n">
        <v>76</v>
      </c>
      <c r="D4" s="35" t="n">
        <v>69</v>
      </c>
      <c r="E4" s="35" t="n">
        <v>7</v>
      </c>
      <c r="F4" s="35" t="n">
        <v>0</v>
      </c>
      <c r="G4" s="92" t="n">
        <v>546456.21</v>
      </c>
      <c r="H4" s="92" t="n">
        <v>1094529.33</v>
      </c>
      <c r="I4" s="37" t="n">
        <v>38.3</v>
      </c>
      <c r="J4" s="37" t="n">
        <v>73.5</v>
      </c>
      <c r="K4" s="91" t="n">
        <f aca="false">SUMPRODUCT((Master_Data!$A$5:$A$1793="Lake Charles")*(Master_Data!$D$5:$D$1793="B")*(Master_Data!$G$5:$G$1793="NO")*Master_Data!$U$5:$U$1793)</f>
        <v>1427066.521297</v>
      </c>
      <c r="L4" s="91" t="n">
        <f aca="false">SUMPRODUCT((Master_Data!$A$5:$A$1793="Lake Charles")*(Master_Data!$D$5:$D$1793="B")*(Master_Data!$G$5:$G$1793="NO")*Master_Data!$V$5:$V$1793)</f>
        <v>2865079.523294</v>
      </c>
    </row>
    <row r="5" customFormat="false" ht="19.5" hidden="false" customHeight="true" outlineLevel="0" collapsed="false">
      <c r="A5" s="48" t="s">
        <v>2061</v>
      </c>
      <c r="B5" s="50" t="s">
        <v>2101</v>
      </c>
      <c r="C5" s="18" t="n">
        <v>150</v>
      </c>
      <c r="D5" s="18" t="n">
        <v>84</v>
      </c>
      <c r="E5" s="18" t="n">
        <v>65</v>
      </c>
      <c r="F5" s="18" t="n">
        <v>1</v>
      </c>
      <c r="G5" s="93" t="n">
        <v>56217.18</v>
      </c>
      <c r="H5" s="93" t="n">
        <v>168651.51</v>
      </c>
      <c r="I5" s="22" t="n">
        <v>37.1</v>
      </c>
      <c r="J5" s="22" t="n">
        <v>71.5</v>
      </c>
      <c r="K5" s="91" t="n">
        <f aca="false">SUMPRODUCT((Master_Data!$A$5:$A$1793="Lake Charles")*(Master_Data!$D$5:$D$1793="C")*(Master_Data!$G$5:$G$1793="NO")*Master_Data!$U$5:$U$1793)</f>
        <v>294524.196191</v>
      </c>
      <c r="L5" s="91" t="n">
        <f aca="false">SUMPRODUCT((Master_Data!$A$5:$A$1793="Lake Charles")*(Master_Data!$D$5:$D$1793="C")*(Master_Data!$G$5:$G$1793="NO")*Master_Data!$V$5:$V$1793)</f>
        <v>883572.045882</v>
      </c>
    </row>
    <row r="6" customFormat="false" ht="19.5" hidden="false" customHeight="true" outlineLevel="0" collapsed="false">
      <c r="A6" s="48" t="s">
        <v>2061</v>
      </c>
      <c r="B6" s="70" t="s">
        <v>2319</v>
      </c>
      <c r="C6" s="94" t="n">
        <v>4</v>
      </c>
      <c r="D6" s="94" t="n">
        <v>0</v>
      </c>
      <c r="E6" s="94" t="n">
        <v>4</v>
      </c>
      <c r="F6" s="94" t="n">
        <v>0</v>
      </c>
      <c r="G6" s="6" t="n">
        <v>0</v>
      </c>
      <c r="H6" s="6" t="n">
        <v>0</v>
      </c>
      <c r="I6" s="72" t="n">
        <v>36.8</v>
      </c>
      <c r="J6" s="72" t="n">
        <v>85.1</v>
      </c>
      <c r="K6" s="91" t="n">
        <f aca="false">SUMPRODUCT((Master_Data!$A$5:$A$1793="Lake Charles")*(Master_Data!$D$5:$D$1793="D")*(Master_Data!$G$5:$G$1793="NO")*Master_Data!$U$5:$U$1793)</f>
        <v>0</v>
      </c>
      <c r="L6" s="91" t="n">
        <f aca="false">SUMPRODUCT((Master_Data!$A$5:$A$1793="Lake Charles")*(Master_Data!$D$5:$D$1793="D")*(Master_Data!$G$5:$G$1793="NO")*Master_Data!$V$5:$V$1793)</f>
        <v>0</v>
      </c>
    </row>
    <row r="7" customFormat="false" ht="21.75" hidden="false" customHeight="true" outlineLevel="0" collapsed="false">
      <c r="A7" s="48" t="s">
        <v>4303</v>
      </c>
      <c r="K7" s="95" t="n">
        <f aca="false">SUMPRODUCT((Master_Data!$A$5:$A$1793="Lake Charles")*(Master_Data!$D$5:$D$1793&lt;&gt;"OUT_OF_SCOPE")*(Master_Data!$G$5:$G$1793="NO")*Master_Data!$U$5:$U$1793)</f>
        <v>7755043.95529</v>
      </c>
      <c r="L7" s="95" t="n">
        <f aca="false">SUMPRODUCT((Master_Data!$A$5:$A$1793="Lake Charles")*(Master_Data!$D$5:$D$1793&lt;&gt;"OUT_OF_SCOPE")*(Master_Data!$G$5:$G$1793="NO")*Master_Data!$V$5:$V$1793)</f>
        <v>14167421.56543</v>
      </c>
    </row>
    <row r="9" customFormat="false" ht="19.5" hidden="false" customHeight="true" outlineLevel="0" collapsed="false">
      <c r="A9" s="76" t="s">
        <v>2063</v>
      </c>
      <c r="B9" s="60" t="s">
        <v>2109</v>
      </c>
      <c r="C9" s="88" t="n">
        <v>31</v>
      </c>
      <c r="D9" s="19" t="n">
        <v>31</v>
      </c>
      <c r="E9" s="88" t="n">
        <v>0</v>
      </c>
      <c r="F9" s="88" t="n">
        <v>0</v>
      </c>
      <c r="G9" s="89" t="n">
        <v>1258834.17</v>
      </c>
      <c r="H9" s="89" t="n">
        <v>2098056.97</v>
      </c>
      <c r="I9" s="90" t="n">
        <v>44.9</v>
      </c>
      <c r="J9" s="90" t="n">
        <v>75.3</v>
      </c>
      <c r="K9" s="91" t="n">
        <f aca="false">SUMPRODUCT((Master_Data!$A$5:$A$1793="Green Bay")*(Master_Data!$D$5:$D$1793="A")*(Master_Data!$G$5:$G$1793="NO")*Master_Data!$U$5:$U$1793)</f>
        <v>1783181.177464</v>
      </c>
      <c r="L9" s="91" t="n">
        <f aca="false">SUMPRODUCT((Master_Data!$A$5:$A$1793="Green Bay")*(Master_Data!$D$5:$D$1793="A")*(Master_Data!$G$5:$G$1793="NO")*Master_Data!$V$5:$V$1793)</f>
        <v>2971968.632969</v>
      </c>
    </row>
    <row r="10" customFormat="false" ht="19.5" hidden="false" customHeight="true" outlineLevel="0" collapsed="false">
      <c r="A10" s="76" t="s">
        <v>2063</v>
      </c>
      <c r="B10" s="61" t="s">
        <v>2095</v>
      </c>
      <c r="C10" s="35" t="n">
        <v>102</v>
      </c>
      <c r="D10" s="35" t="n">
        <v>98</v>
      </c>
      <c r="E10" s="35" t="n">
        <v>4</v>
      </c>
      <c r="F10" s="35" t="n">
        <v>0</v>
      </c>
      <c r="G10" s="92" t="n">
        <v>630005.97</v>
      </c>
      <c r="H10" s="92" t="n">
        <v>1260011.94</v>
      </c>
      <c r="I10" s="37" t="n">
        <v>36.4</v>
      </c>
      <c r="J10" s="37" t="n">
        <v>73.9</v>
      </c>
      <c r="K10" s="91" t="n">
        <f aca="false">SUMPRODUCT((Master_Data!$A$5:$A$1793="Green Bay")*(Master_Data!$D$5:$D$1793="B")*(Master_Data!$G$5:$G$1793="NO")*Master_Data!$U$5:$U$1793)</f>
        <v>1694878.732988</v>
      </c>
      <c r="L10" s="91" t="n">
        <f aca="false">SUMPRODUCT((Master_Data!$A$5:$A$1793="Green Bay")*(Master_Data!$D$5:$D$1793="B")*(Master_Data!$G$5:$G$1793="NO")*Master_Data!$V$5:$V$1793)</f>
        <v>3389757.465976</v>
      </c>
    </row>
    <row r="11" customFormat="false" ht="19.5" hidden="false" customHeight="true" outlineLevel="0" collapsed="false">
      <c r="A11" s="76" t="s">
        <v>2063</v>
      </c>
      <c r="B11" s="50" t="s">
        <v>2101</v>
      </c>
      <c r="C11" s="18" t="n">
        <v>348</v>
      </c>
      <c r="D11" s="18" t="n">
        <v>230</v>
      </c>
      <c r="E11" s="18" t="n">
        <v>118</v>
      </c>
      <c r="F11" s="18" t="n">
        <v>0</v>
      </c>
      <c r="G11" s="93" t="n">
        <v>91943.09</v>
      </c>
      <c r="H11" s="93" t="n">
        <v>275829.51</v>
      </c>
      <c r="I11" s="22" t="n">
        <v>31</v>
      </c>
      <c r="J11" s="22" t="n">
        <v>67.2</v>
      </c>
      <c r="K11" s="91" t="n">
        <f aca="false">SUMPRODUCT((Master_Data!$A$5:$A$1793="Green Bay")*(Master_Data!$D$5:$D$1793="C")*(Master_Data!$G$5:$G$1793="NO")*Master_Data!$U$5:$U$1793)</f>
        <v>414111.564655</v>
      </c>
      <c r="L11" s="91" t="n">
        <f aca="false">SUMPRODUCT((Master_Data!$A$5:$A$1793="Green Bay")*(Master_Data!$D$5:$D$1793="C")*(Master_Data!$G$5:$G$1793="NO")*Master_Data!$V$5:$V$1793)</f>
        <v>1242336.780436</v>
      </c>
    </row>
    <row r="12" customFormat="false" ht="19.5" hidden="false" customHeight="true" outlineLevel="0" collapsed="false">
      <c r="A12" s="76" t="s">
        <v>2063</v>
      </c>
      <c r="B12" s="70" t="s">
        <v>2319</v>
      </c>
      <c r="C12" s="94" t="n">
        <v>11</v>
      </c>
      <c r="D12" s="94" t="n">
        <v>0</v>
      </c>
      <c r="E12" s="94" t="n">
        <v>11</v>
      </c>
      <c r="F12" s="94" t="n">
        <v>0</v>
      </c>
      <c r="G12" s="6" t="n">
        <v>0</v>
      </c>
      <c r="H12" s="6" t="n">
        <v>0</v>
      </c>
      <c r="I12" s="72" t="n">
        <v>46.5</v>
      </c>
      <c r="J12" s="72" t="n">
        <v>70.1</v>
      </c>
      <c r="K12" s="91" t="n">
        <f aca="false">SUMPRODUCT((Master_Data!$A$5:$A$1793="Green Bay")*(Master_Data!$D$5:$D$1793="D")*(Master_Data!$G$5:$G$1793="NO")*Master_Data!$U$5:$U$1793)</f>
        <v>0</v>
      </c>
      <c r="L12" s="91" t="n">
        <f aca="false">SUMPRODUCT((Master_Data!$A$5:$A$1793="Green Bay")*(Master_Data!$D$5:$D$1793="D")*(Master_Data!$G$5:$G$1793="NO")*Master_Data!$V$5:$V$1793)</f>
        <v>0</v>
      </c>
    </row>
    <row r="13" customFormat="false" ht="21.75" hidden="false" customHeight="true" outlineLevel="0" collapsed="false">
      <c r="A13" s="76" t="s">
        <v>4304</v>
      </c>
      <c r="K13" s="96" t="n">
        <f aca="false">SUMPRODUCT((Master_Data!$A$5:$A$1793="Green Bay")*(Master_Data!$D$5:$D$1793&lt;&gt;"OUT_OF_SCOPE")*(Master_Data!$G$5:$G$1793="NO")*Master_Data!$U$5:$U$1793)</f>
        <v>3892171.475107</v>
      </c>
      <c r="L13" s="96" t="n">
        <f aca="false">SUMPRODUCT((Master_Data!$A$5:$A$1793="Green Bay")*(Master_Data!$D$5:$D$1793&lt;&gt;"OUT_OF_SCOPE")*(Master_Data!$G$5:$G$1793="NO")*Master_Data!$V$5:$V$1793)</f>
        <v>7604062.879381</v>
      </c>
    </row>
    <row r="15" customFormat="false" ht="19.5" hidden="false" customHeight="true" outlineLevel="0" collapsed="false">
      <c r="A15" s="79" t="s">
        <v>2065</v>
      </c>
      <c r="B15" s="60" t="s">
        <v>2109</v>
      </c>
      <c r="C15" s="88" t="n">
        <v>39</v>
      </c>
      <c r="D15" s="19" t="n">
        <v>38</v>
      </c>
      <c r="E15" s="88" t="n">
        <v>1</v>
      </c>
      <c r="F15" s="88" t="n">
        <v>0</v>
      </c>
      <c r="G15" s="89" t="n">
        <v>1178739.53</v>
      </c>
      <c r="H15" s="89" t="n">
        <v>1964565.9</v>
      </c>
      <c r="I15" s="90" t="n">
        <v>52.6</v>
      </c>
      <c r="J15" s="90" t="n">
        <v>72.7</v>
      </c>
      <c r="K15" s="91" t="n">
        <f aca="false">SUMPRODUCT((Master_Data!$A$5:$A$1793="Dayton")*(Master_Data!$D$5:$D$1793="A")*(Master_Data!$G$5:$G$1793="NO")*Master_Data!$U$5:$U$1793)</f>
        <v>2075857.911058</v>
      </c>
      <c r="L15" s="91" t="n">
        <f aca="false">SUMPRODUCT((Master_Data!$A$5:$A$1793="Dayton")*(Master_Data!$D$5:$D$1793="A")*(Master_Data!$G$5:$G$1793="NO")*Master_Data!$V$5:$V$1793)</f>
        <v>3459763.238238</v>
      </c>
    </row>
    <row r="16" customFormat="false" ht="19.5" hidden="false" customHeight="true" outlineLevel="0" collapsed="false">
      <c r="A16" s="79" t="s">
        <v>2065</v>
      </c>
      <c r="B16" s="61" t="s">
        <v>2095</v>
      </c>
      <c r="C16" s="35" t="n">
        <v>84</v>
      </c>
      <c r="D16" s="35" t="n">
        <v>76</v>
      </c>
      <c r="E16" s="35" t="n">
        <v>8</v>
      </c>
      <c r="F16" s="35" t="n">
        <v>0</v>
      </c>
      <c r="G16" s="92" t="n">
        <v>358744.81</v>
      </c>
      <c r="H16" s="92" t="n">
        <v>717489.62</v>
      </c>
      <c r="I16" s="37" t="n">
        <v>43.7</v>
      </c>
      <c r="J16" s="37" t="n">
        <v>69.4</v>
      </c>
      <c r="K16" s="91" t="n">
        <f aca="false">SUMPRODUCT((Master_Data!$A$5:$A$1793="Dayton")*(Master_Data!$D$5:$D$1793="B")*(Master_Data!$G$5:$G$1793="NO")*Master_Data!$U$5:$U$1793)</f>
        <v>977661.519339</v>
      </c>
      <c r="L16" s="91" t="n">
        <f aca="false">SUMPRODUCT((Master_Data!$A$5:$A$1793="Dayton")*(Master_Data!$D$5:$D$1793="B")*(Master_Data!$G$5:$G$1793="NO")*Master_Data!$V$5:$V$1793)</f>
        <v>1955323.038678</v>
      </c>
    </row>
    <row r="17" customFormat="false" ht="19.5" hidden="false" customHeight="true" outlineLevel="0" collapsed="false">
      <c r="A17" s="79" t="s">
        <v>2065</v>
      </c>
      <c r="B17" s="50" t="s">
        <v>2101</v>
      </c>
      <c r="C17" s="18" t="n">
        <v>201</v>
      </c>
      <c r="D17" s="18" t="n">
        <v>91</v>
      </c>
      <c r="E17" s="18" t="n">
        <v>110</v>
      </c>
      <c r="F17" s="18" t="n">
        <v>0</v>
      </c>
      <c r="G17" s="93" t="n">
        <v>57766.86</v>
      </c>
      <c r="H17" s="93" t="n">
        <v>173300.67</v>
      </c>
      <c r="I17" s="22" t="n">
        <v>37.2</v>
      </c>
      <c r="J17" s="22" t="n">
        <v>67.9</v>
      </c>
      <c r="K17" s="91" t="n">
        <f aca="false">SUMPRODUCT((Master_Data!$A$5:$A$1793="Dayton")*(Master_Data!$D$5:$D$1793="C")*(Master_Data!$G$5:$G$1793="NO")*Master_Data!$U$5:$U$1793)</f>
        <v>267302.787537</v>
      </c>
      <c r="L17" s="91" t="n">
        <f aca="false">SUMPRODUCT((Master_Data!$A$5:$A$1793="Dayton")*(Master_Data!$D$5:$D$1793="C")*(Master_Data!$G$5:$G$1793="NO")*Master_Data!$V$5:$V$1793)</f>
        <v>801908.701273</v>
      </c>
    </row>
    <row r="18" customFormat="false" ht="21.75" hidden="false" customHeight="true" outlineLevel="0" collapsed="false">
      <c r="A18" s="79" t="s">
        <v>4305</v>
      </c>
      <c r="K18" s="97" t="n">
        <f aca="false">SUMPRODUCT((Master_Data!$A$5:$A$1793="Dayton")*(Master_Data!$D$5:$D$1793&lt;&gt;"OUT_OF_SCOPE")*(Master_Data!$G$5:$G$1793="NO")*Master_Data!$U$5:$U$1793)</f>
        <v>3320822.217934</v>
      </c>
      <c r="L18" s="97" t="n">
        <f aca="false">SUMPRODUCT((Master_Data!$A$5:$A$1793="Dayton")*(Master_Data!$D$5:$D$1793&lt;&gt;"OUT_OF_SCOPE")*(Master_Data!$G$5:$G$1793="NO")*Master_Data!$V$5:$V$1793)</f>
        <v>6216994.978189</v>
      </c>
    </row>
    <row r="20" customFormat="false" ht="19.5" hidden="false" customHeight="true" outlineLevel="0" collapsed="false">
      <c r="A20" s="80" t="s">
        <v>2067</v>
      </c>
      <c r="B20" s="60" t="s">
        <v>2109</v>
      </c>
      <c r="C20" s="88" t="n">
        <v>7</v>
      </c>
      <c r="D20" s="19" t="n">
        <v>7</v>
      </c>
      <c r="E20" s="88" t="n">
        <v>0</v>
      </c>
      <c r="F20" s="88" t="n">
        <v>0</v>
      </c>
      <c r="G20" s="89" t="n">
        <v>1925613.67</v>
      </c>
      <c r="H20" s="89" t="n">
        <v>3209356.11</v>
      </c>
      <c r="I20" s="90" t="n">
        <v>48.2</v>
      </c>
      <c r="J20" s="90" t="n">
        <v>71.8</v>
      </c>
      <c r="K20" s="91" t="n">
        <f aca="false">SUMPRODUCT((Master_Data!$A$5:$A$1793="Louisa")*(Master_Data!$D$5:$D$1793="A")*(Master_Data!$G$5:$G$1793="NO")*Master_Data!$U$5:$U$1793)</f>
        <v>381468.465558</v>
      </c>
      <c r="L20" s="91" t="n">
        <f aca="false">SUMPRODUCT((Master_Data!$A$5:$A$1793="Louisa")*(Master_Data!$D$5:$D$1793="A")*(Master_Data!$G$5:$G$1793="NO")*Master_Data!$V$5:$V$1793)</f>
        <v>635780.773519</v>
      </c>
    </row>
    <row r="21" customFormat="false" ht="19.5" hidden="false" customHeight="true" outlineLevel="0" collapsed="false">
      <c r="A21" s="80" t="s">
        <v>2067</v>
      </c>
      <c r="B21" s="61" t="s">
        <v>2095</v>
      </c>
      <c r="C21" s="35" t="n">
        <v>7</v>
      </c>
      <c r="D21" s="35" t="n">
        <v>7</v>
      </c>
      <c r="E21" s="35" t="n">
        <v>0</v>
      </c>
      <c r="F21" s="35" t="n">
        <v>0</v>
      </c>
      <c r="G21" s="92" t="n">
        <v>140506.33</v>
      </c>
      <c r="H21" s="92" t="n">
        <v>281012.66</v>
      </c>
      <c r="I21" s="37" t="n">
        <v>64.1</v>
      </c>
      <c r="J21" s="37" t="n">
        <v>81.9</v>
      </c>
      <c r="K21" s="91" t="n">
        <f aca="false">SUMPRODUCT((Master_Data!$A$5:$A$1793="Louisa")*(Master_Data!$D$5:$D$1793="B")*(Master_Data!$G$5:$G$1793="NO")*Master_Data!$U$5:$U$1793)</f>
        <v>280705.717108</v>
      </c>
      <c r="L21" s="91" t="n">
        <f aca="false">SUMPRODUCT((Master_Data!$A$5:$A$1793="Louisa")*(Master_Data!$D$5:$D$1793="B")*(Master_Data!$G$5:$G$1793="NO")*Master_Data!$V$5:$V$1793)</f>
        <v>561411.434216</v>
      </c>
    </row>
    <row r="22" customFormat="false" ht="19.5" hidden="false" customHeight="true" outlineLevel="0" collapsed="false">
      <c r="A22" s="80" t="s">
        <v>2067</v>
      </c>
      <c r="B22" s="50" t="s">
        <v>2101</v>
      </c>
      <c r="C22" s="18" t="n">
        <v>16</v>
      </c>
      <c r="D22" s="18" t="n">
        <v>15</v>
      </c>
      <c r="E22" s="18" t="n">
        <v>1</v>
      </c>
      <c r="F22" s="18" t="n">
        <v>0</v>
      </c>
      <c r="G22" s="93" t="n">
        <v>27888.01</v>
      </c>
      <c r="H22" s="93" t="n">
        <v>83664.08</v>
      </c>
      <c r="I22" s="22" t="n">
        <v>58.4</v>
      </c>
      <c r="J22" s="22" t="n">
        <v>62</v>
      </c>
      <c r="K22" s="91" t="n">
        <f aca="false">SUMPRODUCT((Master_Data!$A$5:$A$1793="Louisa")*(Master_Data!$D$5:$D$1793="C")*(Master_Data!$G$5:$G$1793="NO")*Master_Data!$U$5:$U$1793)</f>
        <v>75969.88264</v>
      </c>
      <c r="L22" s="91" t="n">
        <f aca="false">SUMPRODUCT((Master_Data!$A$5:$A$1793="Louisa")*(Master_Data!$D$5:$D$1793="C")*(Master_Data!$G$5:$G$1793="NO")*Master_Data!$V$5:$V$1793)</f>
        <v>227909.910501</v>
      </c>
    </row>
    <row r="23" customFormat="false" ht="21.75" hidden="false" customHeight="true" outlineLevel="0" collapsed="false">
      <c r="A23" s="80" t="s">
        <v>4306</v>
      </c>
      <c r="K23" s="98" t="n">
        <f aca="false">SUMPRODUCT((Master_Data!$A$5:$A$1793="Louisa")*(Master_Data!$D$5:$D$1793&lt;&gt;"OUT_OF_SCOPE")*(Master_Data!$G$5:$G$1793="NO")*Master_Data!$U$5:$U$1793)</f>
        <v>738144.065306</v>
      </c>
      <c r="L23" s="98" t="n">
        <f aca="false">SUMPRODUCT((Master_Data!$A$5:$A$1793="Louisa")*(Master_Data!$D$5:$D$1793&lt;&gt;"OUT_OF_SCOPE")*(Master_Data!$G$5:$G$1793="NO")*Master_Data!$V$5:$V$1793)</f>
        <v>1425102.118236</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 collapsed="false" customWidth="true" hidden="false" outlineLevel="0" max="3" min="3" style="0" width="20"/>
  </cols>
  <sheetData>
    <row r="1" customFormat="false" ht="33.75" hidden="false" customHeight="true" outlineLevel="0" collapsed="false">
      <c r="A1" s="99" t="s">
        <v>4307</v>
      </c>
      <c r="B1" s="99"/>
      <c r="C1" s="99"/>
    </row>
    <row r="2" customFormat="false" ht="25.5" hidden="false" customHeight="true" outlineLevel="0" collapsed="false">
      <c r="A2" s="100" t="s">
        <v>4308</v>
      </c>
      <c r="B2" s="100" t="s">
        <v>4309</v>
      </c>
      <c r="C2" s="100" t="s">
        <v>4310</v>
      </c>
    </row>
    <row r="3" customFormat="false" ht="79.5" hidden="false" customHeight="true" outlineLevel="0" collapsed="false">
      <c r="A3" s="101" t="s">
        <v>4311</v>
      </c>
      <c r="B3" s="102" t="s">
        <v>4312</v>
      </c>
      <c r="C3" s="102" t="s">
        <v>4313</v>
      </c>
    </row>
    <row r="4" customFormat="false" ht="79.5" hidden="false" customHeight="true" outlineLevel="0" collapsed="false">
      <c r="A4" s="101" t="s">
        <v>4314</v>
      </c>
      <c r="B4" s="102" t="s">
        <v>4315</v>
      </c>
      <c r="C4" s="102" t="s">
        <v>4316</v>
      </c>
    </row>
    <row r="5" customFormat="false" ht="79.5" hidden="false" customHeight="true" outlineLevel="0" collapsed="false">
      <c r="A5" s="101" t="s">
        <v>4317</v>
      </c>
      <c r="B5" s="102" t="s">
        <v>4318</v>
      </c>
      <c r="C5" s="102" t="s">
        <v>4319</v>
      </c>
    </row>
    <row r="6" customFormat="false" ht="79.5" hidden="false" customHeight="true" outlineLevel="0" collapsed="false">
      <c r="A6" s="101" t="s">
        <v>4320</v>
      </c>
      <c r="B6" s="102" t="s">
        <v>4321</v>
      </c>
      <c r="C6" s="102" t="s">
        <v>4322</v>
      </c>
    </row>
    <row r="7" customFormat="false" ht="79.5" hidden="false" customHeight="true" outlineLevel="0" collapsed="false">
      <c r="A7" s="103" t="s">
        <v>4323</v>
      </c>
      <c r="B7" s="104" t="s">
        <v>4324</v>
      </c>
      <c r="C7" s="104" t="s">
        <v>4325</v>
      </c>
    </row>
    <row r="8" customFormat="false" ht="79.5" hidden="false" customHeight="true" outlineLevel="0" collapsed="false">
      <c r="A8" s="103" t="s">
        <v>4326</v>
      </c>
      <c r="B8" s="104" t="s">
        <v>4327</v>
      </c>
      <c r="C8" s="104" t="s">
        <v>4325</v>
      </c>
    </row>
    <row r="9" customFormat="false" ht="79.5" hidden="false" customHeight="true" outlineLevel="0" collapsed="false">
      <c r="A9" s="103" t="s">
        <v>4328</v>
      </c>
      <c r="B9" s="104" t="s">
        <v>4329</v>
      </c>
      <c r="C9" s="104" t="s">
        <v>4330</v>
      </c>
    </row>
    <row r="10" customFormat="false" ht="79.5" hidden="false" customHeight="true" outlineLevel="0" collapsed="false">
      <c r="A10" s="105" t="s">
        <v>4331</v>
      </c>
      <c r="B10" s="106" t="s">
        <v>4332</v>
      </c>
      <c r="C10" s="106" t="s">
        <v>4333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2026-06-24T14:27:43Z</dcterms:created>
  <dc:creator>openpyxl</dc:creator>
  <dc:description/>
  <dc:language>en-US</dc:language>
  <cp:lastModifiedBy/>
  <dcterms:modified xsi:type="dcterms:W3CDTF">2026-06-24T14:27:55Z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